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EasyLoverJeremy\Documents\NYU\2014Fall\Glucksman\Glucksman\Scripts\"/>
    </mc:Choice>
  </mc:AlternateContent>
  <bookViews>
    <workbookView xWindow="0" yWindow="0" windowWidth="15330" windowHeight="7380"/>
  </bookViews>
  <sheets>
    <sheet name="Plavix2011-2013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0"/>
</workbook>
</file>

<file path=xl/calcChain.xml><?xml version="1.0" encoding="utf-8"?>
<calcChain xmlns="http://schemas.openxmlformats.org/spreadsheetml/2006/main">
  <c r="Z619" i="1" l="1"/>
  <c r="U619" i="1"/>
  <c r="V619" i="1"/>
  <c r="W619" i="1"/>
  <c r="X619" i="1"/>
  <c r="Y619" i="1"/>
  <c r="T619" i="1"/>
  <c r="BB5" i="1"/>
  <c r="BC5" i="1"/>
  <c r="BD5" i="1"/>
  <c r="BE5" i="1"/>
  <c r="BF5" i="1"/>
  <c r="BG5" i="1"/>
  <c r="BH5" i="1"/>
  <c r="BI5" i="1"/>
  <c r="BB6" i="1"/>
  <c r="BC6" i="1"/>
  <c r="BD6" i="1"/>
  <c r="BE6" i="1"/>
  <c r="BF6" i="1"/>
  <c r="BG6" i="1"/>
  <c r="BH6" i="1"/>
  <c r="BI6" i="1"/>
  <c r="BB7" i="1"/>
  <c r="BC7" i="1"/>
  <c r="BD7" i="1"/>
  <c r="BE7" i="1"/>
  <c r="BF7" i="1"/>
  <c r="BG7" i="1"/>
  <c r="BH7" i="1"/>
  <c r="BI7" i="1"/>
  <c r="BB8" i="1"/>
  <c r="BC8" i="1"/>
  <c r="BD8" i="1"/>
  <c r="BE8" i="1"/>
  <c r="BF8" i="1"/>
  <c r="BG8" i="1"/>
  <c r="BH8" i="1"/>
  <c r="BI8" i="1"/>
  <c r="BB9" i="1"/>
  <c r="BC9" i="1"/>
  <c r="BD9" i="1"/>
  <c r="BE9" i="1"/>
  <c r="BF9" i="1"/>
  <c r="BG9" i="1"/>
  <c r="BH9" i="1"/>
  <c r="BI9" i="1"/>
  <c r="BB10" i="1"/>
  <c r="BC10" i="1"/>
  <c r="BD10" i="1"/>
  <c r="BE10" i="1"/>
  <c r="BF10" i="1"/>
  <c r="BG10" i="1"/>
  <c r="BH10" i="1"/>
  <c r="BI10" i="1"/>
  <c r="BB11" i="1"/>
  <c r="BC11" i="1"/>
  <c r="BD11" i="1"/>
  <c r="BE11" i="1"/>
  <c r="BF11" i="1"/>
  <c r="BG11" i="1"/>
  <c r="BH11" i="1"/>
  <c r="BI11" i="1"/>
  <c r="BB12" i="1"/>
  <c r="BC12" i="1"/>
  <c r="BD12" i="1"/>
  <c r="BE12" i="1"/>
  <c r="BF12" i="1"/>
  <c r="BG12" i="1"/>
  <c r="BH12" i="1"/>
  <c r="BI12" i="1"/>
  <c r="BB13" i="1"/>
  <c r="BC13" i="1"/>
  <c r="BD13" i="1"/>
  <c r="BE13" i="1"/>
  <c r="BF13" i="1"/>
  <c r="BG13" i="1"/>
  <c r="BH13" i="1"/>
  <c r="BI13" i="1"/>
  <c r="BB14" i="1"/>
  <c r="BC14" i="1"/>
  <c r="BD14" i="1"/>
  <c r="BE14" i="1"/>
  <c r="BF14" i="1"/>
  <c r="BG14" i="1"/>
  <c r="BH14" i="1"/>
  <c r="BI14" i="1"/>
  <c r="BB15" i="1"/>
  <c r="BC15" i="1"/>
  <c r="BD15" i="1"/>
  <c r="BE15" i="1"/>
  <c r="BF15" i="1"/>
  <c r="BG15" i="1"/>
  <c r="BH15" i="1"/>
  <c r="BI15" i="1"/>
  <c r="BB16" i="1"/>
  <c r="BC16" i="1"/>
  <c r="BD16" i="1"/>
  <c r="BE16" i="1"/>
  <c r="BF16" i="1"/>
  <c r="BG16" i="1"/>
  <c r="BH16" i="1"/>
  <c r="BI16" i="1"/>
  <c r="BB17" i="1"/>
  <c r="BC17" i="1"/>
  <c r="BD17" i="1"/>
  <c r="BE17" i="1"/>
  <c r="BF17" i="1"/>
  <c r="BG17" i="1"/>
  <c r="BH17" i="1"/>
  <c r="BI17" i="1"/>
  <c r="BB18" i="1"/>
  <c r="BC18" i="1"/>
  <c r="BD18" i="1"/>
  <c r="BE18" i="1"/>
  <c r="BF18" i="1"/>
  <c r="BG18" i="1"/>
  <c r="BH18" i="1"/>
  <c r="BI18" i="1"/>
  <c r="BB19" i="1"/>
  <c r="BC19" i="1"/>
  <c r="BD19" i="1"/>
  <c r="BE19" i="1"/>
  <c r="BF19" i="1"/>
  <c r="BG19" i="1"/>
  <c r="BH19" i="1"/>
  <c r="BI19" i="1"/>
  <c r="BB20" i="1"/>
  <c r="BC20" i="1"/>
  <c r="BD20" i="1"/>
  <c r="BE20" i="1"/>
  <c r="BF20" i="1"/>
  <c r="BG20" i="1"/>
  <c r="BH20" i="1"/>
  <c r="BI20" i="1"/>
  <c r="BB21" i="1"/>
  <c r="BC21" i="1"/>
  <c r="BD21" i="1"/>
  <c r="BE21" i="1"/>
  <c r="BF21" i="1"/>
  <c r="BG21" i="1"/>
  <c r="BH21" i="1"/>
  <c r="BI21" i="1"/>
  <c r="BB22" i="1"/>
  <c r="BC22" i="1"/>
  <c r="BD22" i="1"/>
  <c r="BE22" i="1"/>
  <c r="BF22" i="1"/>
  <c r="BG22" i="1"/>
  <c r="BH22" i="1"/>
  <c r="BI22" i="1"/>
  <c r="BB23" i="1"/>
  <c r="BC23" i="1"/>
  <c r="BD23" i="1"/>
  <c r="BE23" i="1"/>
  <c r="BF23" i="1"/>
  <c r="BG23" i="1"/>
  <c r="BH23" i="1"/>
  <c r="BI23" i="1"/>
  <c r="BB24" i="1"/>
  <c r="BC24" i="1"/>
  <c r="BD24" i="1"/>
  <c r="BE24" i="1"/>
  <c r="BF24" i="1"/>
  <c r="BG24" i="1"/>
  <c r="BH24" i="1"/>
  <c r="BI24" i="1"/>
  <c r="BB25" i="1"/>
  <c r="BC25" i="1"/>
  <c r="BD25" i="1"/>
  <c r="BE25" i="1"/>
  <c r="BF25" i="1"/>
  <c r="BG25" i="1"/>
  <c r="BH25" i="1"/>
  <c r="BI25" i="1"/>
  <c r="BB26" i="1"/>
  <c r="BC26" i="1"/>
  <c r="BD26" i="1"/>
  <c r="BE26" i="1"/>
  <c r="BF26" i="1"/>
  <c r="BG26" i="1"/>
  <c r="BH26" i="1"/>
  <c r="BI26" i="1"/>
  <c r="BB27" i="1"/>
  <c r="BC27" i="1"/>
  <c r="BD27" i="1"/>
  <c r="BE27" i="1"/>
  <c r="BF27" i="1"/>
  <c r="BG27" i="1"/>
  <c r="BH27" i="1"/>
  <c r="BI27" i="1"/>
  <c r="BB28" i="1"/>
  <c r="BC28" i="1"/>
  <c r="BD28" i="1"/>
  <c r="BE28" i="1"/>
  <c r="BF28" i="1"/>
  <c r="BG28" i="1"/>
  <c r="BH28" i="1"/>
  <c r="BI28" i="1"/>
  <c r="BB29" i="1"/>
  <c r="BC29" i="1"/>
  <c r="BD29" i="1"/>
  <c r="BE29" i="1"/>
  <c r="BF29" i="1"/>
  <c r="BG29" i="1"/>
  <c r="BH29" i="1"/>
  <c r="BI29" i="1"/>
  <c r="BB30" i="1"/>
  <c r="BC30" i="1"/>
  <c r="BD30" i="1"/>
  <c r="BE30" i="1"/>
  <c r="BF30" i="1"/>
  <c r="BG30" i="1"/>
  <c r="BH30" i="1"/>
  <c r="BI30" i="1"/>
  <c r="BB31" i="1"/>
  <c r="BC31" i="1"/>
  <c r="BD31" i="1"/>
  <c r="BE31" i="1"/>
  <c r="BF31" i="1"/>
  <c r="BG31" i="1"/>
  <c r="BH31" i="1"/>
  <c r="BI31" i="1"/>
  <c r="BB32" i="1"/>
  <c r="BC32" i="1"/>
  <c r="BD32" i="1"/>
  <c r="BE32" i="1"/>
  <c r="BF32" i="1"/>
  <c r="BG32" i="1"/>
  <c r="BH32" i="1"/>
  <c r="BI32" i="1"/>
  <c r="BB33" i="1"/>
  <c r="BC33" i="1"/>
  <c r="BD33" i="1"/>
  <c r="BE33" i="1"/>
  <c r="BF33" i="1"/>
  <c r="BG33" i="1"/>
  <c r="BH33" i="1"/>
  <c r="BI33" i="1"/>
  <c r="BB34" i="1"/>
  <c r="BC34" i="1"/>
  <c r="BD34" i="1"/>
  <c r="BE34" i="1"/>
  <c r="BF34" i="1"/>
  <c r="BG34" i="1"/>
  <c r="BH34" i="1"/>
  <c r="BI34" i="1"/>
  <c r="BB35" i="1"/>
  <c r="BC35" i="1"/>
  <c r="BD35" i="1"/>
  <c r="BE35" i="1"/>
  <c r="BF35" i="1"/>
  <c r="BG35" i="1"/>
  <c r="BH35" i="1"/>
  <c r="BI35" i="1"/>
  <c r="BB36" i="1"/>
  <c r="BC36" i="1"/>
  <c r="BD36" i="1"/>
  <c r="BE36" i="1"/>
  <c r="BF36" i="1"/>
  <c r="BG36" i="1"/>
  <c r="BH36" i="1"/>
  <c r="BI36" i="1"/>
  <c r="BB37" i="1"/>
  <c r="BC37" i="1"/>
  <c r="BD37" i="1"/>
  <c r="BE37" i="1"/>
  <c r="BF37" i="1"/>
  <c r="BG37" i="1"/>
  <c r="BH37" i="1"/>
  <c r="BI37" i="1"/>
  <c r="BB38" i="1"/>
  <c r="BC38" i="1"/>
  <c r="BD38" i="1"/>
  <c r="BE38" i="1"/>
  <c r="BF38" i="1"/>
  <c r="BG38" i="1"/>
  <c r="BH38" i="1"/>
  <c r="BI38" i="1"/>
  <c r="BB39" i="1"/>
  <c r="BC39" i="1"/>
  <c r="BD39" i="1"/>
  <c r="BE39" i="1"/>
  <c r="BF39" i="1"/>
  <c r="BG39" i="1"/>
  <c r="BH39" i="1"/>
  <c r="BI39" i="1"/>
  <c r="BB40" i="1"/>
  <c r="BC40" i="1"/>
  <c r="BD40" i="1"/>
  <c r="BE40" i="1"/>
  <c r="BF40" i="1"/>
  <c r="BG40" i="1"/>
  <c r="BH40" i="1"/>
  <c r="BI40" i="1"/>
  <c r="BB41" i="1"/>
  <c r="BC41" i="1"/>
  <c r="BD41" i="1"/>
  <c r="BE41" i="1"/>
  <c r="BF41" i="1"/>
  <c r="BG41" i="1"/>
  <c r="BH41" i="1"/>
  <c r="BI41" i="1"/>
  <c r="BB42" i="1"/>
  <c r="BC42" i="1"/>
  <c r="BD42" i="1"/>
  <c r="BE42" i="1"/>
  <c r="BF42" i="1"/>
  <c r="BG42" i="1"/>
  <c r="BH42" i="1"/>
  <c r="BI42" i="1"/>
  <c r="BB43" i="1"/>
  <c r="BC43" i="1"/>
  <c r="BD43" i="1"/>
  <c r="BE43" i="1"/>
  <c r="BF43" i="1"/>
  <c r="BG43" i="1"/>
  <c r="BH43" i="1"/>
  <c r="BI43" i="1"/>
  <c r="BB44" i="1"/>
  <c r="BC44" i="1"/>
  <c r="BD44" i="1"/>
  <c r="BE44" i="1"/>
  <c r="BF44" i="1"/>
  <c r="BG44" i="1"/>
  <c r="BH44" i="1"/>
  <c r="BI44" i="1"/>
  <c r="BB45" i="1"/>
  <c r="BC45" i="1"/>
  <c r="BD45" i="1"/>
  <c r="BE45" i="1"/>
  <c r="BF45" i="1"/>
  <c r="BG45" i="1"/>
  <c r="BH45" i="1"/>
  <c r="BI45" i="1"/>
  <c r="BB46" i="1"/>
  <c r="BC46" i="1"/>
  <c r="BD46" i="1"/>
  <c r="BE46" i="1"/>
  <c r="BF46" i="1"/>
  <c r="BG46" i="1"/>
  <c r="BH46" i="1"/>
  <c r="BI46" i="1"/>
  <c r="BB47" i="1"/>
  <c r="BC47" i="1"/>
  <c r="BD47" i="1"/>
  <c r="BE47" i="1"/>
  <c r="BF47" i="1"/>
  <c r="BG47" i="1"/>
  <c r="BH47" i="1"/>
  <c r="BI47" i="1"/>
  <c r="BB48" i="1"/>
  <c r="BC48" i="1"/>
  <c r="BD48" i="1"/>
  <c r="BE48" i="1"/>
  <c r="BF48" i="1"/>
  <c r="BG48" i="1"/>
  <c r="BH48" i="1"/>
  <c r="BI48" i="1"/>
  <c r="BB49" i="1"/>
  <c r="BC49" i="1"/>
  <c r="BD49" i="1"/>
  <c r="BE49" i="1"/>
  <c r="BF49" i="1"/>
  <c r="BG49" i="1"/>
  <c r="BH49" i="1"/>
  <c r="BI49" i="1"/>
  <c r="BB50" i="1"/>
  <c r="BC50" i="1"/>
  <c r="BD50" i="1"/>
  <c r="BE50" i="1"/>
  <c r="BF50" i="1"/>
  <c r="BG50" i="1"/>
  <c r="BH50" i="1"/>
  <c r="BI50" i="1"/>
  <c r="BB51" i="1"/>
  <c r="BC51" i="1"/>
  <c r="BD51" i="1"/>
  <c r="BE51" i="1"/>
  <c r="BF51" i="1"/>
  <c r="BG51" i="1"/>
  <c r="BH51" i="1"/>
  <c r="BI51" i="1"/>
  <c r="BB52" i="1"/>
  <c r="BC52" i="1"/>
  <c r="BD52" i="1"/>
  <c r="BE52" i="1"/>
  <c r="BF52" i="1"/>
  <c r="BG52" i="1"/>
  <c r="BH52" i="1"/>
  <c r="BI52" i="1"/>
  <c r="BB53" i="1"/>
  <c r="BC53" i="1"/>
  <c r="BD53" i="1"/>
  <c r="BE53" i="1"/>
  <c r="BF53" i="1"/>
  <c r="BG53" i="1"/>
  <c r="BH53" i="1"/>
  <c r="BI53" i="1"/>
  <c r="BB54" i="1"/>
  <c r="BC54" i="1"/>
  <c r="BD54" i="1"/>
  <c r="BE54" i="1"/>
  <c r="BF54" i="1"/>
  <c r="BG54" i="1"/>
  <c r="BH54" i="1"/>
  <c r="BI54" i="1"/>
  <c r="BB55" i="1"/>
  <c r="BC55" i="1"/>
  <c r="BD55" i="1"/>
  <c r="BE55" i="1"/>
  <c r="BF55" i="1"/>
  <c r="BG55" i="1"/>
  <c r="BH55" i="1"/>
  <c r="BI55" i="1"/>
  <c r="BB56" i="1"/>
  <c r="BC56" i="1"/>
  <c r="BD56" i="1"/>
  <c r="BE56" i="1"/>
  <c r="BF56" i="1"/>
  <c r="BG56" i="1"/>
  <c r="BH56" i="1"/>
  <c r="BI56" i="1"/>
  <c r="BB57" i="1"/>
  <c r="BC57" i="1"/>
  <c r="BD57" i="1"/>
  <c r="BE57" i="1"/>
  <c r="BF57" i="1"/>
  <c r="BG57" i="1"/>
  <c r="BH57" i="1"/>
  <c r="BI57" i="1"/>
  <c r="BB58" i="1"/>
  <c r="BC58" i="1"/>
  <c r="BD58" i="1"/>
  <c r="BE58" i="1"/>
  <c r="BF58" i="1"/>
  <c r="BG58" i="1"/>
  <c r="BH58" i="1"/>
  <c r="BI58" i="1"/>
  <c r="BB59" i="1"/>
  <c r="BC59" i="1"/>
  <c r="BD59" i="1"/>
  <c r="BE59" i="1"/>
  <c r="BF59" i="1"/>
  <c r="BG59" i="1"/>
  <c r="BH59" i="1"/>
  <c r="BI59" i="1"/>
  <c r="BB60" i="1"/>
  <c r="BC60" i="1"/>
  <c r="BD60" i="1"/>
  <c r="BE60" i="1"/>
  <c r="BF60" i="1"/>
  <c r="BG60" i="1"/>
  <c r="BH60" i="1"/>
  <c r="BI60" i="1"/>
  <c r="BB61" i="1"/>
  <c r="BC61" i="1"/>
  <c r="BD61" i="1"/>
  <c r="BE61" i="1"/>
  <c r="BF61" i="1"/>
  <c r="BG61" i="1"/>
  <c r="BH61" i="1"/>
  <c r="BI61" i="1"/>
  <c r="BB62" i="1"/>
  <c r="BC62" i="1"/>
  <c r="BD62" i="1"/>
  <c r="BE62" i="1"/>
  <c r="BF62" i="1"/>
  <c r="BG62" i="1"/>
  <c r="BH62" i="1"/>
  <c r="BI62" i="1"/>
  <c r="BB63" i="1"/>
  <c r="BC63" i="1"/>
  <c r="BD63" i="1"/>
  <c r="BE63" i="1"/>
  <c r="BF63" i="1"/>
  <c r="BG63" i="1"/>
  <c r="BH63" i="1"/>
  <c r="BI63" i="1"/>
  <c r="BB64" i="1"/>
  <c r="BC64" i="1"/>
  <c r="BD64" i="1"/>
  <c r="BE64" i="1"/>
  <c r="BF64" i="1"/>
  <c r="BG64" i="1"/>
  <c r="BH64" i="1"/>
  <c r="BI64" i="1"/>
  <c r="BB65" i="1"/>
  <c r="BC65" i="1"/>
  <c r="BD65" i="1"/>
  <c r="BE65" i="1"/>
  <c r="BF65" i="1"/>
  <c r="BG65" i="1"/>
  <c r="BH65" i="1"/>
  <c r="BI65" i="1"/>
  <c r="BB66" i="1"/>
  <c r="BC66" i="1"/>
  <c r="BD66" i="1"/>
  <c r="BE66" i="1"/>
  <c r="BF66" i="1"/>
  <c r="BG66" i="1"/>
  <c r="BH66" i="1"/>
  <c r="BI66" i="1"/>
  <c r="BB67" i="1"/>
  <c r="BC67" i="1"/>
  <c r="BD67" i="1"/>
  <c r="BE67" i="1"/>
  <c r="BF67" i="1"/>
  <c r="BG67" i="1"/>
  <c r="BH67" i="1"/>
  <c r="BI67" i="1"/>
  <c r="BB68" i="1"/>
  <c r="BC68" i="1"/>
  <c r="BD68" i="1"/>
  <c r="BE68" i="1"/>
  <c r="BF68" i="1"/>
  <c r="BG68" i="1"/>
  <c r="BH68" i="1"/>
  <c r="BI68" i="1"/>
  <c r="BB69" i="1"/>
  <c r="BC69" i="1"/>
  <c r="BD69" i="1"/>
  <c r="BE69" i="1"/>
  <c r="BF69" i="1"/>
  <c r="BG69" i="1"/>
  <c r="BH69" i="1"/>
  <c r="BI69" i="1"/>
  <c r="BB70" i="1"/>
  <c r="BC70" i="1"/>
  <c r="BD70" i="1"/>
  <c r="BE70" i="1"/>
  <c r="BF70" i="1"/>
  <c r="BG70" i="1"/>
  <c r="BH70" i="1"/>
  <c r="BI70" i="1"/>
  <c r="BB71" i="1"/>
  <c r="BC71" i="1"/>
  <c r="BD71" i="1"/>
  <c r="BE71" i="1"/>
  <c r="BF71" i="1"/>
  <c r="BG71" i="1"/>
  <c r="BH71" i="1"/>
  <c r="BI71" i="1"/>
  <c r="BB72" i="1"/>
  <c r="BC72" i="1"/>
  <c r="BD72" i="1"/>
  <c r="BE72" i="1"/>
  <c r="BF72" i="1"/>
  <c r="BG72" i="1"/>
  <c r="BH72" i="1"/>
  <c r="BI72" i="1"/>
  <c r="BB73" i="1"/>
  <c r="BC73" i="1"/>
  <c r="BD73" i="1"/>
  <c r="BE73" i="1"/>
  <c r="BF73" i="1"/>
  <c r="BG73" i="1"/>
  <c r="BH73" i="1"/>
  <c r="BI73" i="1"/>
  <c r="BB74" i="1"/>
  <c r="BC74" i="1"/>
  <c r="BD74" i="1"/>
  <c r="BE74" i="1"/>
  <c r="BF74" i="1"/>
  <c r="BG74" i="1"/>
  <c r="BH74" i="1"/>
  <c r="BI74" i="1"/>
  <c r="BB75" i="1"/>
  <c r="BC75" i="1"/>
  <c r="BD75" i="1"/>
  <c r="BE75" i="1"/>
  <c r="BF75" i="1"/>
  <c r="BG75" i="1"/>
  <c r="BH75" i="1"/>
  <c r="BI75" i="1"/>
  <c r="BB76" i="1"/>
  <c r="BC76" i="1"/>
  <c r="BD76" i="1"/>
  <c r="BE76" i="1"/>
  <c r="BF76" i="1"/>
  <c r="BG76" i="1"/>
  <c r="BH76" i="1"/>
  <c r="BI76" i="1"/>
  <c r="BB77" i="1"/>
  <c r="BC77" i="1"/>
  <c r="BD77" i="1"/>
  <c r="BE77" i="1"/>
  <c r="BF77" i="1"/>
  <c r="BG77" i="1"/>
  <c r="BH77" i="1"/>
  <c r="BI77" i="1"/>
  <c r="BB78" i="1"/>
  <c r="BC78" i="1"/>
  <c r="BD78" i="1"/>
  <c r="BE78" i="1"/>
  <c r="BF78" i="1"/>
  <c r="BG78" i="1"/>
  <c r="BH78" i="1"/>
  <c r="BI78" i="1"/>
  <c r="BB79" i="1"/>
  <c r="BC79" i="1"/>
  <c r="BD79" i="1"/>
  <c r="BE79" i="1"/>
  <c r="BF79" i="1"/>
  <c r="BG79" i="1"/>
  <c r="BH79" i="1"/>
  <c r="BI79" i="1"/>
  <c r="BB80" i="1"/>
  <c r="BC80" i="1"/>
  <c r="BD80" i="1"/>
  <c r="BE80" i="1"/>
  <c r="BF80" i="1"/>
  <c r="BG80" i="1"/>
  <c r="BH80" i="1"/>
  <c r="BI80" i="1"/>
  <c r="BB81" i="1"/>
  <c r="BC81" i="1"/>
  <c r="BD81" i="1"/>
  <c r="BE81" i="1"/>
  <c r="BF81" i="1"/>
  <c r="BG81" i="1"/>
  <c r="BH81" i="1"/>
  <c r="BI81" i="1"/>
  <c r="BB82" i="1"/>
  <c r="BC82" i="1"/>
  <c r="BD82" i="1"/>
  <c r="BE82" i="1"/>
  <c r="BF82" i="1"/>
  <c r="BG82" i="1"/>
  <c r="BH82" i="1"/>
  <c r="BI82" i="1"/>
  <c r="BB83" i="1"/>
  <c r="BC83" i="1"/>
  <c r="BD83" i="1"/>
  <c r="BE83" i="1"/>
  <c r="BF83" i="1"/>
  <c r="BG83" i="1"/>
  <c r="BH83" i="1"/>
  <c r="BI83" i="1"/>
  <c r="BB84" i="1"/>
  <c r="BC84" i="1"/>
  <c r="BD84" i="1"/>
  <c r="BE84" i="1"/>
  <c r="BF84" i="1"/>
  <c r="BG84" i="1"/>
  <c r="BH84" i="1"/>
  <c r="BI84" i="1"/>
  <c r="BB85" i="1"/>
  <c r="BC85" i="1"/>
  <c r="BD85" i="1"/>
  <c r="BE85" i="1"/>
  <c r="BF85" i="1"/>
  <c r="BG85" i="1"/>
  <c r="BH85" i="1"/>
  <c r="BI85" i="1"/>
  <c r="BB86" i="1"/>
  <c r="BC86" i="1"/>
  <c r="BD86" i="1"/>
  <c r="BE86" i="1"/>
  <c r="BF86" i="1"/>
  <c r="BG86" i="1"/>
  <c r="BH86" i="1"/>
  <c r="BI86" i="1"/>
  <c r="BB87" i="1"/>
  <c r="BC87" i="1"/>
  <c r="BD87" i="1"/>
  <c r="BE87" i="1"/>
  <c r="BF87" i="1"/>
  <c r="BG87" i="1"/>
  <c r="BH87" i="1"/>
  <c r="BI87" i="1"/>
  <c r="BB88" i="1"/>
  <c r="BC88" i="1"/>
  <c r="BD88" i="1"/>
  <c r="BE88" i="1"/>
  <c r="BF88" i="1"/>
  <c r="BG88" i="1"/>
  <c r="BH88" i="1"/>
  <c r="BI88" i="1"/>
  <c r="BB89" i="1"/>
  <c r="BC89" i="1"/>
  <c r="BD89" i="1"/>
  <c r="BE89" i="1"/>
  <c r="BF89" i="1"/>
  <c r="BG89" i="1"/>
  <c r="BH89" i="1"/>
  <c r="BI89" i="1"/>
  <c r="BB90" i="1"/>
  <c r="BC90" i="1"/>
  <c r="BD90" i="1"/>
  <c r="BE90" i="1"/>
  <c r="BF90" i="1"/>
  <c r="BG90" i="1"/>
  <c r="BH90" i="1"/>
  <c r="BI90" i="1"/>
  <c r="BB91" i="1"/>
  <c r="BC91" i="1"/>
  <c r="BD91" i="1"/>
  <c r="BE91" i="1"/>
  <c r="BF91" i="1"/>
  <c r="BG91" i="1"/>
  <c r="BH91" i="1"/>
  <c r="BI91" i="1"/>
  <c r="BB92" i="1"/>
  <c r="BC92" i="1"/>
  <c r="BD92" i="1"/>
  <c r="BE92" i="1"/>
  <c r="BF92" i="1"/>
  <c r="BG92" i="1"/>
  <c r="BH92" i="1"/>
  <c r="BI92" i="1"/>
  <c r="BB93" i="1"/>
  <c r="BC93" i="1"/>
  <c r="BD93" i="1"/>
  <c r="BE93" i="1"/>
  <c r="BF93" i="1"/>
  <c r="BG93" i="1"/>
  <c r="BH93" i="1"/>
  <c r="BI93" i="1"/>
  <c r="BB94" i="1"/>
  <c r="BC94" i="1"/>
  <c r="BD94" i="1"/>
  <c r="BE94" i="1"/>
  <c r="BF94" i="1"/>
  <c r="BG94" i="1"/>
  <c r="BH94" i="1"/>
  <c r="BI94" i="1"/>
  <c r="BB95" i="1"/>
  <c r="BC95" i="1"/>
  <c r="BD95" i="1"/>
  <c r="BE95" i="1"/>
  <c r="BF95" i="1"/>
  <c r="BG95" i="1"/>
  <c r="BH95" i="1"/>
  <c r="BI95" i="1"/>
  <c r="BB96" i="1"/>
  <c r="BC96" i="1"/>
  <c r="BD96" i="1"/>
  <c r="BE96" i="1"/>
  <c r="BF96" i="1"/>
  <c r="BG96" i="1"/>
  <c r="BH96" i="1"/>
  <c r="BI96" i="1"/>
  <c r="BB97" i="1"/>
  <c r="BC97" i="1"/>
  <c r="BD97" i="1"/>
  <c r="BE97" i="1"/>
  <c r="BF97" i="1"/>
  <c r="BG97" i="1"/>
  <c r="BH97" i="1"/>
  <c r="BI97" i="1"/>
  <c r="BB98" i="1"/>
  <c r="BC98" i="1"/>
  <c r="BD98" i="1"/>
  <c r="BE98" i="1"/>
  <c r="BF98" i="1"/>
  <c r="BG98" i="1"/>
  <c r="BH98" i="1"/>
  <c r="BI98" i="1"/>
  <c r="BB99" i="1"/>
  <c r="BC99" i="1"/>
  <c r="BD99" i="1"/>
  <c r="BE99" i="1"/>
  <c r="BF99" i="1"/>
  <c r="BG99" i="1"/>
  <c r="BH99" i="1"/>
  <c r="BI99" i="1"/>
  <c r="BB100" i="1"/>
  <c r="BC100" i="1"/>
  <c r="BD100" i="1"/>
  <c r="BE100" i="1"/>
  <c r="BF100" i="1"/>
  <c r="BG100" i="1"/>
  <c r="BH100" i="1"/>
  <c r="BI100" i="1"/>
  <c r="BB101" i="1"/>
  <c r="BC101" i="1"/>
  <c r="BD101" i="1"/>
  <c r="BE101" i="1"/>
  <c r="BF101" i="1"/>
  <c r="BG101" i="1"/>
  <c r="BH101" i="1"/>
  <c r="BI101" i="1"/>
  <c r="BB102" i="1"/>
  <c r="BC102" i="1"/>
  <c r="BD102" i="1"/>
  <c r="BE102" i="1"/>
  <c r="BF102" i="1"/>
  <c r="BG102" i="1"/>
  <c r="BH102" i="1"/>
  <c r="BI102" i="1"/>
  <c r="BB103" i="1"/>
  <c r="BC103" i="1"/>
  <c r="BD103" i="1"/>
  <c r="BE103" i="1"/>
  <c r="BF103" i="1"/>
  <c r="BG103" i="1"/>
  <c r="BH103" i="1"/>
  <c r="BI103" i="1"/>
  <c r="BB104" i="1"/>
  <c r="BC104" i="1"/>
  <c r="BD104" i="1"/>
  <c r="BE104" i="1"/>
  <c r="BF104" i="1"/>
  <c r="BG104" i="1"/>
  <c r="BH104" i="1"/>
  <c r="BI104" i="1"/>
  <c r="BB105" i="1"/>
  <c r="BC105" i="1"/>
  <c r="BD105" i="1"/>
  <c r="BE105" i="1"/>
  <c r="BF105" i="1"/>
  <c r="BG105" i="1"/>
  <c r="BH105" i="1"/>
  <c r="BI105" i="1"/>
  <c r="BB106" i="1"/>
  <c r="BC106" i="1"/>
  <c r="BD106" i="1"/>
  <c r="BE106" i="1"/>
  <c r="BF106" i="1"/>
  <c r="BG106" i="1"/>
  <c r="BH106" i="1"/>
  <c r="BI106" i="1"/>
  <c r="BB107" i="1"/>
  <c r="BC107" i="1"/>
  <c r="BD107" i="1"/>
  <c r="BE107" i="1"/>
  <c r="BF107" i="1"/>
  <c r="BG107" i="1"/>
  <c r="BH107" i="1"/>
  <c r="BI107" i="1"/>
  <c r="BB108" i="1"/>
  <c r="BC108" i="1"/>
  <c r="BD108" i="1"/>
  <c r="BE108" i="1"/>
  <c r="BF108" i="1"/>
  <c r="BG108" i="1"/>
  <c r="BH108" i="1"/>
  <c r="BI108" i="1"/>
  <c r="BB109" i="1"/>
  <c r="BC109" i="1"/>
  <c r="BD109" i="1"/>
  <c r="BE109" i="1"/>
  <c r="BF109" i="1"/>
  <c r="BG109" i="1"/>
  <c r="BH109" i="1"/>
  <c r="BI109" i="1"/>
  <c r="BB110" i="1"/>
  <c r="BC110" i="1"/>
  <c r="BD110" i="1"/>
  <c r="BE110" i="1"/>
  <c r="BF110" i="1"/>
  <c r="BG110" i="1"/>
  <c r="BH110" i="1"/>
  <c r="BI110" i="1"/>
  <c r="BB111" i="1"/>
  <c r="BC111" i="1"/>
  <c r="BD111" i="1"/>
  <c r="BE111" i="1"/>
  <c r="BF111" i="1"/>
  <c r="BG111" i="1"/>
  <c r="BH111" i="1"/>
  <c r="BI111" i="1"/>
  <c r="BB112" i="1"/>
  <c r="BC112" i="1"/>
  <c r="BD112" i="1"/>
  <c r="BE112" i="1"/>
  <c r="BF112" i="1"/>
  <c r="BG112" i="1"/>
  <c r="BH112" i="1"/>
  <c r="BI112" i="1"/>
  <c r="BB113" i="1"/>
  <c r="BC113" i="1"/>
  <c r="BD113" i="1"/>
  <c r="BE113" i="1"/>
  <c r="BF113" i="1"/>
  <c r="BG113" i="1"/>
  <c r="BH113" i="1"/>
  <c r="BI113" i="1"/>
  <c r="BB114" i="1"/>
  <c r="BC114" i="1"/>
  <c r="BD114" i="1"/>
  <c r="BE114" i="1"/>
  <c r="BF114" i="1"/>
  <c r="BG114" i="1"/>
  <c r="BH114" i="1"/>
  <c r="BI114" i="1"/>
  <c r="BB115" i="1"/>
  <c r="BC115" i="1"/>
  <c r="BD115" i="1"/>
  <c r="BE115" i="1"/>
  <c r="BF115" i="1"/>
  <c r="BG115" i="1"/>
  <c r="BH115" i="1"/>
  <c r="BI115" i="1"/>
  <c r="BB116" i="1"/>
  <c r="BC116" i="1"/>
  <c r="BD116" i="1"/>
  <c r="BE116" i="1"/>
  <c r="BF116" i="1"/>
  <c r="BG116" i="1"/>
  <c r="BH116" i="1"/>
  <c r="BI116" i="1"/>
  <c r="BB117" i="1"/>
  <c r="BC117" i="1"/>
  <c r="BD117" i="1"/>
  <c r="BE117" i="1"/>
  <c r="BF117" i="1"/>
  <c r="BG117" i="1"/>
  <c r="BH117" i="1"/>
  <c r="BI117" i="1"/>
  <c r="BB118" i="1"/>
  <c r="BC118" i="1"/>
  <c r="BD118" i="1"/>
  <c r="BE118" i="1"/>
  <c r="BF118" i="1"/>
  <c r="BG118" i="1"/>
  <c r="BH118" i="1"/>
  <c r="BI118" i="1"/>
  <c r="BB119" i="1"/>
  <c r="BC119" i="1"/>
  <c r="BD119" i="1"/>
  <c r="BE119" i="1"/>
  <c r="BF119" i="1"/>
  <c r="BG119" i="1"/>
  <c r="BH119" i="1"/>
  <c r="BI119" i="1"/>
  <c r="BB120" i="1"/>
  <c r="BC120" i="1"/>
  <c r="BD120" i="1"/>
  <c r="BE120" i="1"/>
  <c r="BF120" i="1"/>
  <c r="BG120" i="1"/>
  <c r="BH120" i="1"/>
  <c r="BI120" i="1"/>
  <c r="BB121" i="1"/>
  <c r="BC121" i="1"/>
  <c r="BD121" i="1"/>
  <c r="BE121" i="1"/>
  <c r="BF121" i="1"/>
  <c r="BG121" i="1"/>
  <c r="BH121" i="1"/>
  <c r="BI121" i="1"/>
  <c r="BB122" i="1"/>
  <c r="BC122" i="1"/>
  <c r="BD122" i="1"/>
  <c r="BE122" i="1"/>
  <c r="BF122" i="1"/>
  <c r="BG122" i="1"/>
  <c r="BH122" i="1"/>
  <c r="BI122" i="1"/>
  <c r="BB123" i="1"/>
  <c r="BC123" i="1"/>
  <c r="BD123" i="1"/>
  <c r="BE123" i="1"/>
  <c r="BF123" i="1"/>
  <c r="BG123" i="1"/>
  <c r="BH123" i="1"/>
  <c r="BI123" i="1"/>
  <c r="BB124" i="1"/>
  <c r="BC124" i="1"/>
  <c r="BD124" i="1"/>
  <c r="BE124" i="1"/>
  <c r="BF124" i="1"/>
  <c r="BG124" i="1"/>
  <c r="BH124" i="1"/>
  <c r="BI124" i="1"/>
  <c r="BB125" i="1"/>
  <c r="BC125" i="1"/>
  <c r="BD125" i="1"/>
  <c r="BE125" i="1"/>
  <c r="BF125" i="1"/>
  <c r="BG125" i="1"/>
  <c r="BH125" i="1"/>
  <c r="BI125" i="1"/>
  <c r="BB126" i="1"/>
  <c r="BC126" i="1"/>
  <c r="BD126" i="1"/>
  <c r="BE126" i="1"/>
  <c r="BF126" i="1"/>
  <c r="BG126" i="1"/>
  <c r="BH126" i="1"/>
  <c r="BI126" i="1"/>
  <c r="BB127" i="1"/>
  <c r="BC127" i="1"/>
  <c r="BD127" i="1"/>
  <c r="BE127" i="1"/>
  <c r="BF127" i="1"/>
  <c r="BG127" i="1"/>
  <c r="BH127" i="1"/>
  <c r="BI127" i="1"/>
  <c r="BB128" i="1"/>
  <c r="BC128" i="1"/>
  <c r="BD128" i="1"/>
  <c r="BE128" i="1"/>
  <c r="BF128" i="1"/>
  <c r="BG128" i="1"/>
  <c r="BH128" i="1"/>
  <c r="BI128" i="1"/>
  <c r="BB129" i="1"/>
  <c r="BC129" i="1"/>
  <c r="BD129" i="1"/>
  <c r="BE129" i="1"/>
  <c r="BF129" i="1"/>
  <c r="BG129" i="1"/>
  <c r="BH129" i="1"/>
  <c r="BI129" i="1"/>
  <c r="BB130" i="1"/>
  <c r="BC130" i="1"/>
  <c r="BD130" i="1"/>
  <c r="BE130" i="1"/>
  <c r="BF130" i="1"/>
  <c r="BG130" i="1"/>
  <c r="BH130" i="1"/>
  <c r="BI130" i="1"/>
  <c r="BB131" i="1"/>
  <c r="BC131" i="1"/>
  <c r="BD131" i="1"/>
  <c r="BE131" i="1"/>
  <c r="BF131" i="1"/>
  <c r="BG131" i="1"/>
  <c r="BH131" i="1"/>
  <c r="BI131" i="1"/>
  <c r="BB132" i="1"/>
  <c r="BC132" i="1"/>
  <c r="BD132" i="1"/>
  <c r="BE132" i="1"/>
  <c r="BF132" i="1"/>
  <c r="BG132" i="1"/>
  <c r="BH132" i="1"/>
  <c r="BI132" i="1"/>
  <c r="BB133" i="1"/>
  <c r="BC133" i="1"/>
  <c r="BD133" i="1"/>
  <c r="BE133" i="1"/>
  <c r="BF133" i="1"/>
  <c r="BG133" i="1"/>
  <c r="BH133" i="1"/>
  <c r="BI133" i="1"/>
  <c r="BB134" i="1"/>
  <c r="BC134" i="1"/>
  <c r="BD134" i="1"/>
  <c r="BE134" i="1"/>
  <c r="BF134" i="1"/>
  <c r="BG134" i="1"/>
  <c r="BH134" i="1"/>
  <c r="BI134" i="1"/>
  <c r="BB135" i="1"/>
  <c r="BC135" i="1"/>
  <c r="BD135" i="1"/>
  <c r="BE135" i="1"/>
  <c r="BF135" i="1"/>
  <c r="BG135" i="1"/>
  <c r="BH135" i="1"/>
  <c r="BI135" i="1"/>
  <c r="BB136" i="1"/>
  <c r="BC136" i="1"/>
  <c r="BD136" i="1"/>
  <c r="BE136" i="1"/>
  <c r="BF136" i="1"/>
  <c r="BG136" i="1"/>
  <c r="BH136" i="1"/>
  <c r="BI136" i="1"/>
  <c r="BB137" i="1"/>
  <c r="BC137" i="1"/>
  <c r="BD137" i="1"/>
  <c r="BE137" i="1"/>
  <c r="BF137" i="1"/>
  <c r="BG137" i="1"/>
  <c r="BH137" i="1"/>
  <c r="BI137" i="1"/>
  <c r="BB138" i="1"/>
  <c r="BC138" i="1"/>
  <c r="BD138" i="1"/>
  <c r="BE138" i="1"/>
  <c r="BF138" i="1"/>
  <c r="BG138" i="1"/>
  <c r="BH138" i="1"/>
  <c r="BI138" i="1"/>
  <c r="BB139" i="1"/>
  <c r="BC139" i="1"/>
  <c r="BD139" i="1"/>
  <c r="BE139" i="1"/>
  <c r="BF139" i="1"/>
  <c r="BG139" i="1"/>
  <c r="BH139" i="1"/>
  <c r="BI139" i="1"/>
  <c r="BB140" i="1"/>
  <c r="BC140" i="1"/>
  <c r="BD140" i="1"/>
  <c r="BE140" i="1"/>
  <c r="BF140" i="1"/>
  <c r="BG140" i="1"/>
  <c r="BH140" i="1"/>
  <c r="BI140" i="1"/>
  <c r="BB141" i="1"/>
  <c r="BC141" i="1"/>
  <c r="BD141" i="1"/>
  <c r="BE141" i="1"/>
  <c r="BF141" i="1"/>
  <c r="BG141" i="1"/>
  <c r="BH141" i="1"/>
  <c r="BI141" i="1"/>
  <c r="BB142" i="1"/>
  <c r="BC142" i="1"/>
  <c r="BD142" i="1"/>
  <c r="BE142" i="1"/>
  <c r="BF142" i="1"/>
  <c r="BG142" i="1"/>
  <c r="BH142" i="1"/>
  <c r="BI142" i="1"/>
  <c r="BB143" i="1"/>
  <c r="BC143" i="1"/>
  <c r="BD143" i="1"/>
  <c r="BE143" i="1"/>
  <c r="BF143" i="1"/>
  <c r="BG143" i="1"/>
  <c r="BH143" i="1"/>
  <c r="BI143" i="1"/>
  <c r="BB144" i="1"/>
  <c r="BC144" i="1"/>
  <c r="BD144" i="1"/>
  <c r="BE144" i="1"/>
  <c r="BF144" i="1"/>
  <c r="BG144" i="1"/>
  <c r="BH144" i="1"/>
  <c r="BI144" i="1"/>
  <c r="BB145" i="1"/>
  <c r="BC145" i="1"/>
  <c r="BD145" i="1"/>
  <c r="BE145" i="1"/>
  <c r="BF145" i="1"/>
  <c r="BG145" i="1"/>
  <c r="BH145" i="1"/>
  <c r="BI145" i="1"/>
  <c r="BB146" i="1"/>
  <c r="BC146" i="1"/>
  <c r="BD146" i="1"/>
  <c r="BE146" i="1"/>
  <c r="BF146" i="1"/>
  <c r="BG146" i="1"/>
  <c r="BH146" i="1"/>
  <c r="BI146" i="1"/>
  <c r="BB147" i="1"/>
  <c r="BC147" i="1"/>
  <c r="BD147" i="1"/>
  <c r="BE147" i="1"/>
  <c r="BF147" i="1"/>
  <c r="BG147" i="1"/>
  <c r="BH147" i="1"/>
  <c r="BI147" i="1"/>
  <c r="BB148" i="1"/>
  <c r="BC148" i="1"/>
  <c r="BD148" i="1"/>
  <c r="BE148" i="1"/>
  <c r="BF148" i="1"/>
  <c r="BG148" i="1"/>
  <c r="BH148" i="1"/>
  <c r="BI148" i="1"/>
  <c r="BB149" i="1"/>
  <c r="BC149" i="1"/>
  <c r="BD149" i="1"/>
  <c r="BE149" i="1"/>
  <c r="BF149" i="1"/>
  <c r="BG149" i="1"/>
  <c r="BH149" i="1"/>
  <c r="BI149" i="1"/>
  <c r="BB150" i="1"/>
  <c r="BC150" i="1"/>
  <c r="BD150" i="1"/>
  <c r="BE150" i="1"/>
  <c r="BF150" i="1"/>
  <c r="BG150" i="1"/>
  <c r="BH150" i="1"/>
  <c r="BI150" i="1"/>
  <c r="BB151" i="1"/>
  <c r="BC151" i="1"/>
  <c r="BD151" i="1"/>
  <c r="BE151" i="1"/>
  <c r="BF151" i="1"/>
  <c r="BG151" i="1"/>
  <c r="BH151" i="1"/>
  <c r="BI151" i="1"/>
  <c r="BB152" i="1"/>
  <c r="BC152" i="1"/>
  <c r="BD152" i="1"/>
  <c r="BE152" i="1"/>
  <c r="BF152" i="1"/>
  <c r="BG152" i="1"/>
  <c r="BH152" i="1"/>
  <c r="BI152" i="1"/>
  <c r="BB153" i="1"/>
  <c r="BC153" i="1"/>
  <c r="BD153" i="1"/>
  <c r="BE153" i="1"/>
  <c r="BF153" i="1"/>
  <c r="BG153" i="1"/>
  <c r="BH153" i="1"/>
  <c r="BI153" i="1"/>
  <c r="BB154" i="1"/>
  <c r="BC154" i="1"/>
  <c r="BD154" i="1"/>
  <c r="BE154" i="1"/>
  <c r="BF154" i="1"/>
  <c r="BG154" i="1"/>
  <c r="BH154" i="1"/>
  <c r="BI154" i="1"/>
  <c r="BB155" i="1"/>
  <c r="BC155" i="1"/>
  <c r="BD155" i="1"/>
  <c r="BE155" i="1"/>
  <c r="BF155" i="1"/>
  <c r="BG155" i="1"/>
  <c r="BH155" i="1"/>
  <c r="BI155" i="1"/>
  <c r="BB156" i="1"/>
  <c r="BC156" i="1"/>
  <c r="BD156" i="1"/>
  <c r="BE156" i="1"/>
  <c r="BF156" i="1"/>
  <c r="BG156" i="1"/>
  <c r="BH156" i="1"/>
  <c r="BI156" i="1"/>
  <c r="BB157" i="1"/>
  <c r="BC157" i="1"/>
  <c r="BD157" i="1"/>
  <c r="BE157" i="1"/>
  <c r="BF157" i="1"/>
  <c r="BG157" i="1"/>
  <c r="BH157" i="1"/>
  <c r="BI157" i="1"/>
  <c r="BB158" i="1"/>
  <c r="BC158" i="1"/>
  <c r="BD158" i="1"/>
  <c r="BE158" i="1"/>
  <c r="BF158" i="1"/>
  <c r="BG158" i="1"/>
  <c r="BH158" i="1"/>
  <c r="BI158" i="1"/>
  <c r="BB159" i="1"/>
  <c r="BC159" i="1"/>
  <c r="BD159" i="1"/>
  <c r="BE159" i="1"/>
  <c r="BF159" i="1"/>
  <c r="BG159" i="1"/>
  <c r="BH159" i="1"/>
  <c r="BI159" i="1"/>
  <c r="BB160" i="1"/>
  <c r="BC160" i="1"/>
  <c r="BD160" i="1"/>
  <c r="BE160" i="1"/>
  <c r="BF160" i="1"/>
  <c r="BG160" i="1"/>
  <c r="BH160" i="1"/>
  <c r="BI160" i="1"/>
  <c r="BB161" i="1"/>
  <c r="BC161" i="1"/>
  <c r="BD161" i="1"/>
  <c r="BE161" i="1"/>
  <c r="BF161" i="1"/>
  <c r="BG161" i="1"/>
  <c r="BH161" i="1"/>
  <c r="BI161" i="1"/>
  <c r="BB162" i="1"/>
  <c r="BC162" i="1"/>
  <c r="BD162" i="1"/>
  <c r="BE162" i="1"/>
  <c r="BF162" i="1"/>
  <c r="BG162" i="1"/>
  <c r="BH162" i="1"/>
  <c r="BI162" i="1"/>
  <c r="BB163" i="1"/>
  <c r="BC163" i="1"/>
  <c r="BD163" i="1"/>
  <c r="BE163" i="1"/>
  <c r="BF163" i="1"/>
  <c r="BG163" i="1"/>
  <c r="BH163" i="1"/>
  <c r="BI163" i="1"/>
  <c r="BB164" i="1"/>
  <c r="BC164" i="1"/>
  <c r="BD164" i="1"/>
  <c r="BE164" i="1"/>
  <c r="BF164" i="1"/>
  <c r="BG164" i="1"/>
  <c r="BH164" i="1"/>
  <c r="BI164" i="1"/>
  <c r="BB165" i="1"/>
  <c r="BC165" i="1"/>
  <c r="BD165" i="1"/>
  <c r="BE165" i="1"/>
  <c r="BF165" i="1"/>
  <c r="BG165" i="1"/>
  <c r="BH165" i="1"/>
  <c r="BI165" i="1"/>
  <c r="BB166" i="1"/>
  <c r="BC166" i="1"/>
  <c r="BD166" i="1"/>
  <c r="BE166" i="1"/>
  <c r="BF166" i="1"/>
  <c r="BG166" i="1"/>
  <c r="BH166" i="1"/>
  <c r="BI166" i="1"/>
  <c r="BB167" i="1"/>
  <c r="BC167" i="1"/>
  <c r="BD167" i="1"/>
  <c r="BE167" i="1"/>
  <c r="BF167" i="1"/>
  <c r="BG167" i="1"/>
  <c r="BH167" i="1"/>
  <c r="BI167" i="1"/>
  <c r="BB168" i="1"/>
  <c r="BC168" i="1"/>
  <c r="BD168" i="1"/>
  <c r="BE168" i="1"/>
  <c r="BF168" i="1"/>
  <c r="BG168" i="1"/>
  <c r="BH168" i="1"/>
  <c r="BI168" i="1"/>
  <c r="BB169" i="1"/>
  <c r="BC169" i="1"/>
  <c r="BD169" i="1"/>
  <c r="BE169" i="1"/>
  <c r="BF169" i="1"/>
  <c r="BG169" i="1"/>
  <c r="BH169" i="1"/>
  <c r="BI169" i="1"/>
  <c r="BB170" i="1"/>
  <c r="BC170" i="1"/>
  <c r="BD170" i="1"/>
  <c r="BE170" i="1"/>
  <c r="BF170" i="1"/>
  <c r="BG170" i="1"/>
  <c r="BH170" i="1"/>
  <c r="BI170" i="1"/>
  <c r="BB171" i="1"/>
  <c r="BC171" i="1"/>
  <c r="BD171" i="1"/>
  <c r="BE171" i="1"/>
  <c r="BF171" i="1"/>
  <c r="BG171" i="1"/>
  <c r="BH171" i="1"/>
  <c r="BI171" i="1"/>
  <c r="BB172" i="1"/>
  <c r="BC172" i="1"/>
  <c r="BD172" i="1"/>
  <c r="BE172" i="1"/>
  <c r="BF172" i="1"/>
  <c r="BG172" i="1"/>
  <c r="BH172" i="1"/>
  <c r="BI172" i="1"/>
  <c r="BB173" i="1"/>
  <c r="BC173" i="1"/>
  <c r="BD173" i="1"/>
  <c r="BE173" i="1"/>
  <c r="BF173" i="1"/>
  <c r="BG173" i="1"/>
  <c r="BH173" i="1"/>
  <c r="BI173" i="1"/>
  <c r="BB174" i="1"/>
  <c r="BC174" i="1"/>
  <c r="BD174" i="1"/>
  <c r="BE174" i="1"/>
  <c r="BF174" i="1"/>
  <c r="BG174" i="1"/>
  <c r="BH174" i="1"/>
  <c r="BI174" i="1"/>
  <c r="BB175" i="1"/>
  <c r="BC175" i="1"/>
  <c r="BD175" i="1"/>
  <c r="BE175" i="1"/>
  <c r="BF175" i="1"/>
  <c r="BG175" i="1"/>
  <c r="BH175" i="1"/>
  <c r="BI175" i="1"/>
  <c r="BB176" i="1"/>
  <c r="BC176" i="1"/>
  <c r="BD176" i="1"/>
  <c r="BE176" i="1"/>
  <c r="BF176" i="1"/>
  <c r="BG176" i="1"/>
  <c r="BH176" i="1"/>
  <c r="BI176" i="1"/>
  <c r="BB177" i="1"/>
  <c r="BC177" i="1"/>
  <c r="BD177" i="1"/>
  <c r="BE177" i="1"/>
  <c r="BF177" i="1"/>
  <c r="BG177" i="1"/>
  <c r="BH177" i="1"/>
  <c r="BI177" i="1"/>
  <c r="BB178" i="1"/>
  <c r="BC178" i="1"/>
  <c r="BD178" i="1"/>
  <c r="BE178" i="1"/>
  <c r="BF178" i="1"/>
  <c r="BG178" i="1"/>
  <c r="BH178" i="1"/>
  <c r="BI178" i="1"/>
  <c r="BB179" i="1"/>
  <c r="BC179" i="1"/>
  <c r="BD179" i="1"/>
  <c r="BE179" i="1"/>
  <c r="BF179" i="1"/>
  <c r="BG179" i="1"/>
  <c r="BH179" i="1"/>
  <c r="BI179" i="1"/>
  <c r="BB180" i="1"/>
  <c r="BC180" i="1"/>
  <c r="BD180" i="1"/>
  <c r="BE180" i="1"/>
  <c r="BF180" i="1"/>
  <c r="BG180" i="1"/>
  <c r="BH180" i="1"/>
  <c r="BI180" i="1"/>
  <c r="BB181" i="1"/>
  <c r="BC181" i="1"/>
  <c r="BD181" i="1"/>
  <c r="BE181" i="1"/>
  <c r="BF181" i="1"/>
  <c r="BG181" i="1"/>
  <c r="BH181" i="1"/>
  <c r="BI181" i="1"/>
  <c r="BB182" i="1"/>
  <c r="BC182" i="1"/>
  <c r="BD182" i="1"/>
  <c r="BE182" i="1"/>
  <c r="BF182" i="1"/>
  <c r="BG182" i="1"/>
  <c r="BH182" i="1"/>
  <c r="BI182" i="1"/>
  <c r="BB183" i="1"/>
  <c r="BC183" i="1"/>
  <c r="BD183" i="1"/>
  <c r="BE183" i="1"/>
  <c r="BF183" i="1"/>
  <c r="BG183" i="1"/>
  <c r="BH183" i="1"/>
  <c r="BI183" i="1"/>
  <c r="BB184" i="1"/>
  <c r="BC184" i="1"/>
  <c r="BD184" i="1"/>
  <c r="BE184" i="1"/>
  <c r="BF184" i="1"/>
  <c r="BG184" i="1"/>
  <c r="BH184" i="1"/>
  <c r="BI184" i="1"/>
  <c r="BB185" i="1"/>
  <c r="BC185" i="1"/>
  <c r="BD185" i="1"/>
  <c r="BE185" i="1"/>
  <c r="BF185" i="1"/>
  <c r="BG185" i="1"/>
  <c r="BH185" i="1"/>
  <c r="BI185" i="1"/>
  <c r="BB186" i="1"/>
  <c r="BC186" i="1"/>
  <c r="BD186" i="1"/>
  <c r="BE186" i="1"/>
  <c r="BF186" i="1"/>
  <c r="BG186" i="1"/>
  <c r="BH186" i="1"/>
  <c r="BI186" i="1"/>
  <c r="BB187" i="1"/>
  <c r="BC187" i="1"/>
  <c r="BD187" i="1"/>
  <c r="BE187" i="1"/>
  <c r="BF187" i="1"/>
  <c r="BG187" i="1"/>
  <c r="BH187" i="1"/>
  <c r="BI187" i="1"/>
  <c r="BB188" i="1"/>
  <c r="BC188" i="1"/>
  <c r="BD188" i="1"/>
  <c r="BE188" i="1"/>
  <c r="BF188" i="1"/>
  <c r="BG188" i="1"/>
  <c r="BH188" i="1"/>
  <c r="BI188" i="1"/>
  <c r="BB189" i="1"/>
  <c r="BC189" i="1"/>
  <c r="BD189" i="1"/>
  <c r="BE189" i="1"/>
  <c r="BF189" i="1"/>
  <c r="BG189" i="1"/>
  <c r="BH189" i="1"/>
  <c r="BI189" i="1"/>
  <c r="BB190" i="1"/>
  <c r="BC190" i="1"/>
  <c r="BD190" i="1"/>
  <c r="BE190" i="1"/>
  <c r="BF190" i="1"/>
  <c r="BG190" i="1"/>
  <c r="BH190" i="1"/>
  <c r="BI190" i="1"/>
  <c r="BB191" i="1"/>
  <c r="BC191" i="1"/>
  <c r="BD191" i="1"/>
  <c r="BE191" i="1"/>
  <c r="BF191" i="1"/>
  <c r="BG191" i="1"/>
  <c r="BH191" i="1"/>
  <c r="BI191" i="1"/>
  <c r="BB192" i="1"/>
  <c r="BC192" i="1"/>
  <c r="BD192" i="1"/>
  <c r="BE192" i="1"/>
  <c r="BF192" i="1"/>
  <c r="BG192" i="1"/>
  <c r="BH192" i="1"/>
  <c r="BI192" i="1"/>
  <c r="BB193" i="1"/>
  <c r="BC193" i="1"/>
  <c r="BD193" i="1"/>
  <c r="BE193" i="1"/>
  <c r="BF193" i="1"/>
  <c r="BG193" i="1"/>
  <c r="BH193" i="1"/>
  <c r="BI193" i="1"/>
  <c r="BB194" i="1"/>
  <c r="BC194" i="1"/>
  <c r="BD194" i="1"/>
  <c r="BE194" i="1"/>
  <c r="BF194" i="1"/>
  <c r="BG194" i="1"/>
  <c r="BH194" i="1"/>
  <c r="BI194" i="1"/>
  <c r="BB195" i="1"/>
  <c r="BC195" i="1"/>
  <c r="BD195" i="1"/>
  <c r="BE195" i="1"/>
  <c r="BF195" i="1"/>
  <c r="BG195" i="1"/>
  <c r="BH195" i="1"/>
  <c r="BI195" i="1"/>
  <c r="BB196" i="1"/>
  <c r="BC196" i="1"/>
  <c r="BD196" i="1"/>
  <c r="BE196" i="1"/>
  <c r="BF196" i="1"/>
  <c r="BG196" i="1"/>
  <c r="BH196" i="1"/>
  <c r="BI196" i="1"/>
  <c r="BB197" i="1"/>
  <c r="BC197" i="1"/>
  <c r="BD197" i="1"/>
  <c r="BE197" i="1"/>
  <c r="BF197" i="1"/>
  <c r="BG197" i="1"/>
  <c r="BH197" i="1"/>
  <c r="BI197" i="1"/>
  <c r="BB198" i="1"/>
  <c r="BC198" i="1"/>
  <c r="BD198" i="1"/>
  <c r="BE198" i="1"/>
  <c r="BF198" i="1"/>
  <c r="BG198" i="1"/>
  <c r="BH198" i="1"/>
  <c r="BI198" i="1"/>
  <c r="BB199" i="1"/>
  <c r="BC199" i="1"/>
  <c r="BD199" i="1"/>
  <c r="BE199" i="1"/>
  <c r="BF199" i="1"/>
  <c r="BG199" i="1"/>
  <c r="BH199" i="1"/>
  <c r="BI199" i="1"/>
  <c r="BB200" i="1"/>
  <c r="BC200" i="1"/>
  <c r="BD200" i="1"/>
  <c r="BE200" i="1"/>
  <c r="BF200" i="1"/>
  <c r="BG200" i="1"/>
  <c r="BH200" i="1"/>
  <c r="BI200" i="1"/>
  <c r="BB201" i="1"/>
  <c r="BC201" i="1"/>
  <c r="BD201" i="1"/>
  <c r="BE201" i="1"/>
  <c r="BF201" i="1"/>
  <c r="BG201" i="1"/>
  <c r="BH201" i="1"/>
  <c r="BI201" i="1"/>
  <c r="BB202" i="1"/>
  <c r="BC202" i="1"/>
  <c r="BD202" i="1"/>
  <c r="BE202" i="1"/>
  <c r="BF202" i="1"/>
  <c r="BG202" i="1"/>
  <c r="BH202" i="1"/>
  <c r="BI202" i="1"/>
  <c r="BB203" i="1"/>
  <c r="BC203" i="1"/>
  <c r="BD203" i="1"/>
  <c r="BE203" i="1"/>
  <c r="BF203" i="1"/>
  <c r="BG203" i="1"/>
  <c r="BH203" i="1"/>
  <c r="BI203" i="1"/>
  <c r="BB204" i="1"/>
  <c r="BC204" i="1"/>
  <c r="BD204" i="1"/>
  <c r="BE204" i="1"/>
  <c r="BF204" i="1"/>
  <c r="BG204" i="1"/>
  <c r="BH204" i="1"/>
  <c r="BI204" i="1"/>
  <c r="BB205" i="1"/>
  <c r="BC205" i="1"/>
  <c r="BD205" i="1"/>
  <c r="BE205" i="1"/>
  <c r="BF205" i="1"/>
  <c r="BG205" i="1"/>
  <c r="BH205" i="1"/>
  <c r="BI205" i="1"/>
  <c r="BB206" i="1"/>
  <c r="BC206" i="1"/>
  <c r="BD206" i="1"/>
  <c r="BE206" i="1"/>
  <c r="BF206" i="1"/>
  <c r="BG206" i="1"/>
  <c r="BH206" i="1"/>
  <c r="BI206" i="1"/>
  <c r="BB207" i="1"/>
  <c r="BC207" i="1"/>
  <c r="BD207" i="1"/>
  <c r="BE207" i="1"/>
  <c r="BF207" i="1"/>
  <c r="BG207" i="1"/>
  <c r="BH207" i="1"/>
  <c r="BI207" i="1"/>
  <c r="BB208" i="1"/>
  <c r="BC208" i="1"/>
  <c r="BD208" i="1"/>
  <c r="BE208" i="1"/>
  <c r="BF208" i="1"/>
  <c r="BG208" i="1"/>
  <c r="BH208" i="1"/>
  <c r="BI208" i="1"/>
  <c r="BB209" i="1"/>
  <c r="BC209" i="1"/>
  <c r="BD209" i="1"/>
  <c r="BE209" i="1"/>
  <c r="BF209" i="1"/>
  <c r="BG209" i="1"/>
  <c r="BH209" i="1"/>
  <c r="BI209" i="1"/>
  <c r="BB210" i="1"/>
  <c r="BC210" i="1"/>
  <c r="BD210" i="1"/>
  <c r="BE210" i="1"/>
  <c r="BF210" i="1"/>
  <c r="BG210" i="1"/>
  <c r="BH210" i="1"/>
  <c r="BI210" i="1"/>
  <c r="BB211" i="1"/>
  <c r="BC211" i="1"/>
  <c r="BD211" i="1"/>
  <c r="BE211" i="1"/>
  <c r="BF211" i="1"/>
  <c r="BG211" i="1"/>
  <c r="BH211" i="1"/>
  <c r="BI211" i="1"/>
  <c r="BB212" i="1"/>
  <c r="BC212" i="1"/>
  <c r="BD212" i="1"/>
  <c r="BE212" i="1"/>
  <c r="BF212" i="1"/>
  <c r="BG212" i="1"/>
  <c r="BH212" i="1"/>
  <c r="BI212" i="1"/>
  <c r="BB213" i="1"/>
  <c r="BC213" i="1"/>
  <c r="BD213" i="1"/>
  <c r="BE213" i="1"/>
  <c r="BF213" i="1"/>
  <c r="BG213" i="1"/>
  <c r="BH213" i="1"/>
  <c r="BI213" i="1"/>
  <c r="BB214" i="1"/>
  <c r="BC214" i="1"/>
  <c r="BD214" i="1"/>
  <c r="BE214" i="1"/>
  <c r="BF214" i="1"/>
  <c r="BG214" i="1"/>
  <c r="BH214" i="1"/>
  <c r="BI214" i="1"/>
  <c r="BB215" i="1"/>
  <c r="BC215" i="1"/>
  <c r="BD215" i="1"/>
  <c r="BE215" i="1"/>
  <c r="BF215" i="1"/>
  <c r="BG215" i="1"/>
  <c r="BH215" i="1"/>
  <c r="BI215" i="1"/>
  <c r="BB216" i="1"/>
  <c r="BC216" i="1"/>
  <c r="BD216" i="1"/>
  <c r="BE216" i="1"/>
  <c r="BF216" i="1"/>
  <c r="BG216" i="1"/>
  <c r="BH216" i="1"/>
  <c r="BI216" i="1"/>
  <c r="BB217" i="1"/>
  <c r="BC217" i="1"/>
  <c r="BD217" i="1"/>
  <c r="BE217" i="1"/>
  <c r="BF217" i="1"/>
  <c r="BG217" i="1"/>
  <c r="BH217" i="1"/>
  <c r="BI217" i="1"/>
  <c r="BB218" i="1"/>
  <c r="BC218" i="1"/>
  <c r="BD218" i="1"/>
  <c r="BE218" i="1"/>
  <c r="BF218" i="1"/>
  <c r="BG218" i="1"/>
  <c r="BH218" i="1"/>
  <c r="BI218" i="1"/>
  <c r="BB219" i="1"/>
  <c r="BC219" i="1"/>
  <c r="BD219" i="1"/>
  <c r="BE219" i="1"/>
  <c r="BF219" i="1"/>
  <c r="BG219" i="1"/>
  <c r="BH219" i="1"/>
  <c r="BI219" i="1"/>
  <c r="BB220" i="1"/>
  <c r="BC220" i="1"/>
  <c r="BD220" i="1"/>
  <c r="BE220" i="1"/>
  <c r="BF220" i="1"/>
  <c r="BG220" i="1"/>
  <c r="BH220" i="1"/>
  <c r="BI220" i="1"/>
  <c r="BB221" i="1"/>
  <c r="BC221" i="1"/>
  <c r="BD221" i="1"/>
  <c r="BE221" i="1"/>
  <c r="BF221" i="1"/>
  <c r="BG221" i="1"/>
  <c r="BH221" i="1"/>
  <c r="BI221" i="1"/>
  <c r="BB222" i="1"/>
  <c r="BC222" i="1"/>
  <c r="BD222" i="1"/>
  <c r="BE222" i="1"/>
  <c r="BF222" i="1"/>
  <c r="BG222" i="1"/>
  <c r="BH222" i="1"/>
  <c r="BI222" i="1"/>
  <c r="BB223" i="1"/>
  <c r="BC223" i="1"/>
  <c r="BD223" i="1"/>
  <c r="BE223" i="1"/>
  <c r="BF223" i="1"/>
  <c r="BG223" i="1"/>
  <c r="BH223" i="1"/>
  <c r="BI223" i="1"/>
  <c r="BB224" i="1"/>
  <c r="BC224" i="1"/>
  <c r="BD224" i="1"/>
  <c r="BE224" i="1"/>
  <c r="BF224" i="1"/>
  <c r="BG224" i="1"/>
  <c r="BH224" i="1"/>
  <c r="BI224" i="1"/>
  <c r="BB225" i="1"/>
  <c r="BC225" i="1"/>
  <c r="BD225" i="1"/>
  <c r="BE225" i="1"/>
  <c r="BF225" i="1"/>
  <c r="BG225" i="1"/>
  <c r="BH225" i="1"/>
  <c r="BI225" i="1"/>
  <c r="BB226" i="1"/>
  <c r="BC226" i="1"/>
  <c r="BD226" i="1"/>
  <c r="BE226" i="1"/>
  <c r="BF226" i="1"/>
  <c r="BG226" i="1"/>
  <c r="BH226" i="1"/>
  <c r="BI226" i="1"/>
  <c r="BB227" i="1"/>
  <c r="BC227" i="1"/>
  <c r="BD227" i="1"/>
  <c r="BE227" i="1"/>
  <c r="BF227" i="1"/>
  <c r="BG227" i="1"/>
  <c r="BH227" i="1"/>
  <c r="BI227" i="1"/>
  <c r="BB228" i="1"/>
  <c r="BC228" i="1"/>
  <c r="BD228" i="1"/>
  <c r="BE228" i="1"/>
  <c r="BF228" i="1"/>
  <c r="BG228" i="1"/>
  <c r="BH228" i="1"/>
  <c r="BI228" i="1"/>
  <c r="BB229" i="1"/>
  <c r="BC229" i="1"/>
  <c r="BD229" i="1"/>
  <c r="BE229" i="1"/>
  <c r="BF229" i="1"/>
  <c r="BG229" i="1"/>
  <c r="BH229" i="1"/>
  <c r="BI229" i="1"/>
  <c r="BB230" i="1"/>
  <c r="BC230" i="1"/>
  <c r="BD230" i="1"/>
  <c r="BE230" i="1"/>
  <c r="BF230" i="1"/>
  <c r="BG230" i="1"/>
  <c r="BH230" i="1"/>
  <c r="BI230" i="1"/>
  <c r="BB231" i="1"/>
  <c r="BC231" i="1"/>
  <c r="BD231" i="1"/>
  <c r="BE231" i="1"/>
  <c r="BF231" i="1"/>
  <c r="BG231" i="1"/>
  <c r="BH231" i="1"/>
  <c r="BI231" i="1"/>
  <c r="BB232" i="1"/>
  <c r="BC232" i="1"/>
  <c r="BD232" i="1"/>
  <c r="BE232" i="1"/>
  <c r="BF232" i="1"/>
  <c r="BG232" i="1"/>
  <c r="BH232" i="1"/>
  <c r="BI232" i="1"/>
  <c r="BB233" i="1"/>
  <c r="BC233" i="1"/>
  <c r="BD233" i="1"/>
  <c r="BE233" i="1"/>
  <c r="BF233" i="1"/>
  <c r="BG233" i="1"/>
  <c r="BH233" i="1"/>
  <c r="BI233" i="1"/>
  <c r="BB234" i="1"/>
  <c r="BC234" i="1"/>
  <c r="BD234" i="1"/>
  <c r="BE234" i="1"/>
  <c r="BF234" i="1"/>
  <c r="BG234" i="1"/>
  <c r="BH234" i="1"/>
  <c r="BI234" i="1"/>
  <c r="BB235" i="1"/>
  <c r="BC235" i="1"/>
  <c r="BD235" i="1"/>
  <c r="BE235" i="1"/>
  <c r="BF235" i="1"/>
  <c r="BG235" i="1"/>
  <c r="BH235" i="1"/>
  <c r="BI235" i="1"/>
  <c r="BB236" i="1"/>
  <c r="BC236" i="1"/>
  <c r="BD236" i="1"/>
  <c r="BE236" i="1"/>
  <c r="BF236" i="1"/>
  <c r="BG236" i="1"/>
  <c r="BH236" i="1"/>
  <c r="BI236" i="1"/>
  <c r="BB237" i="1"/>
  <c r="BC237" i="1"/>
  <c r="BD237" i="1"/>
  <c r="BE237" i="1"/>
  <c r="BF237" i="1"/>
  <c r="BG237" i="1"/>
  <c r="BH237" i="1"/>
  <c r="BI237" i="1"/>
  <c r="BB238" i="1"/>
  <c r="BC238" i="1"/>
  <c r="BD238" i="1"/>
  <c r="BE238" i="1"/>
  <c r="BF238" i="1"/>
  <c r="BG238" i="1"/>
  <c r="BH238" i="1"/>
  <c r="BI238" i="1"/>
  <c r="BB239" i="1"/>
  <c r="BC239" i="1"/>
  <c r="BD239" i="1"/>
  <c r="BE239" i="1"/>
  <c r="BF239" i="1"/>
  <c r="BG239" i="1"/>
  <c r="BH239" i="1"/>
  <c r="BI239" i="1"/>
  <c r="BB240" i="1"/>
  <c r="BC240" i="1"/>
  <c r="BD240" i="1"/>
  <c r="BE240" i="1"/>
  <c r="BF240" i="1"/>
  <c r="BG240" i="1"/>
  <c r="BH240" i="1"/>
  <c r="BI240" i="1"/>
  <c r="BB241" i="1"/>
  <c r="BC241" i="1"/>
  <c r="BD241" i="1"/>
  <c r="BE241" i="1"/>
  <c r="BF241" i="1"/>
  <c r="BG241" i="1"/>
  <c r="BH241" i="1"/>
  <c r="BI241" i="1"/>
  <c r="BB242" i="1"/>
  <c r="BC242" i="1"/>
  <c r="BD242" i="1"/>
  <c r="BE242" i="1"/>
  <c r="BF242" i="1"/>
  <c r="BG242" i="1"/>
  <c r="BH242" i="1"/>
  <c r="BI242" i="1"/>
  <c r="BB243" i="1"/>
  <c r="BC243" i="1"/>
  <c r="BD243" i="1"/>
  <c r="BE243" i="1"/>
  <c r="BF243" i="1"/>
  <c r="BG243" i="1"/>
  <c r="BH243" i="1"/>
  <c r="BI243" i="1"/>
  <c r="BB244" i="1"/>
  <c r="BC244" i="1"/>
  <c r="BD244" i="1"/>
  <c r="BE244" i="1"/>
  <c r="BF244" i="1"/>
  <c r="BG244" i="1"/>
  <c r="BH244" i="1"/>
  <c r="BI244" i="1"/>
  <c r="BB245" i="1"/>
  <c r="BC245" i="1"/>
  <c r="BD245" i="1"/>
  <c r="BE245" i="1"/>
  <c r="BF245" i="1"/>
  <c r="BG245" i="1"/>
  <c r="BH245" i="1"/>
  <c r="BI245" i="1"/>
  <c r="BB246" i="1"/>
  <c r="BC246" i="1"/>
  <c r="BD246" i="1"/>
  <c r="BE246" i="1"/>
  <c r="BF246" i="1"/>
  <c r="BG246" i="1"/>
  <c r="BH246" i="1"/>
  <c r="BI246" i="1"/>
  <c r="BB247" i="1"/>
  <c r="BC247" i="1"/>
  <c r="BD247" i="1"/>
  <c r="BE247" i="1"/>
  <c r="BF247" i="1"/>
  <c r="BG247" i="1"/>
  <c r="BH247" i="1"/>
  <c r="BI247" i="1"/>
  <c r="BB248" i="1"/>
  <c r="BC248" i="1"/>
  <c r="BD248" i="1"/>
  <c r="BE248" i="1"/>
  <c r="BF248" i="1"/>
  <c r="BG248" i="1"/>
  <c r="BH248" i="1"/>
  <c r="BI248" i="1"/>
  <c r="BB249" i="1"/>
  <c r="BC249" i="1"/>
  <c r="BD249" i="1"/>
  <c r="BE249" i="1"/>
  <c r="BF249" i="1"/>
  <c r="BG249" i="1"/>
  <c r="BH249" i="1"/>
  <c r="BI249" i="1"/>
  <c r="BB250" i="1"/>
  <c r="BC250" i="1"/>
  <c r="BD250" i="1"/>
  <c r="BE250" i="1"/>
  <c r="BF250" i="1"/>
  <c r="BG250" i="1"/>
  <c r="BH250" i="1"/>
  <c r="BI250" i="1"/>
  <c r="BB251" i="1"/>
  <c r="BC251" i="1"/>
  <c r="BD251" i="1"/>
  <c r="BE251" i="1"/>
  <c r="BF251" i="1"/>
  <c r="BG251" i="1"/>
  <c r="BH251" i="1"/>
  <c r="BI251" i="1"/>
  <c r="BB252" i="1"/>
  <c r="BC252" i="1"/>
  <c r="BD252" i="1"/>
  <c r="BE252" i="1"/>
  <c r="BF252" i="1"/>
  <c r="BG252" i="1"/>
  <c r="BH252" i="1"/>
  <c r="BI252" i="1"/>
  <c r="BB253" i="1"/>
  <c r="BC253" i="1"/>
  <c r="BD253" i="1"/>
  <c r="BE253" i="1"/>
  <c r="BF253" i="1"/>
  <c r="BG253" i="1"/>
  <c r="BH253" i="1"/>
  <c r="BI253" i="1"/>
  <c r="BB254" i="1"/>
  <c r="BC254" i="1"/>
  <c r="BD254" i="1"/>
  <c r="BE254" i="1"/>
  <c r="BF254" i="1"/>
  <c r="BG254" i="1"/>
  <c r="BH254" i="1"/>
  <c r="BI254" i="1"/>
  <c r="BB255" i="1"/>
  <c r="BC255" i="1"/>
  <c r="BD255" i="1"/>
  <c r="BE255" i="1"/>
  <c r="BF255" i="1"/>
  <c r="BG255" i="1"/>
  <c r="BH255" i="1"/>
  <c r="BI255" i="1"/>
  <c r="BB256" i="1"/>
  <c r="BC256" i="1"/>
  <c r="BD256" i="1"/>
  <c r="BE256" i="1"/>
  <c r="BF256" i="1"/>
  <c r="BG256" i="1"/>
  <c r="BH256" i="1"/>
  <c r="BI256" i="1"/>
  <c r="BB257" i="1"/>
  <c r="BC257" i="1"/>
  <c r="BD257" i="1"/>
  <c r="BE257" i="1"/>
  <c r="BF257" i="1"/>
  <c r="BG257" i="1"/>
  <c r="BH257" i="1"/>
  <c r="BI257" i="1"/>
  <c r="BB258" i="1"/>
  <c r="BC258" i="1"/>
  <c r="BD258" i="1"/>
  <c r="BE258" i="1"/>
  <c r="BF258" i="1"/>
  <c r="BG258" i="1"/>
  <c r="BH258" i="1"/>
  <c r="BI258" i="1"/>
  <c r="BB259" i="1"/>
  <c r="BC259" i="1"/>
  <c r="BD259" i="1"/>
  <c r="BE259" i="1"/>
  <c r="BF259" i="1"/>
  <c r="BG259" i="1"/>
  <c r="BH259" i="1"/>
  <c r="BI259" i="1"/>
  <c r="BB260" i="1"/>
  <c r="BC260" i="1"/>
  <c r="BD260" i="1"/>
  <c r="BE260" i="1"/>
  <c r="BF260" i="1"/>
  <c r="BG260" i="1"/>
  <c r="BH260" i="1"/>
  <c r="BI260" i="1"/>
  <c r="BB261" i="1"/>
  <c r="BC261" i="1"/>
  <c r="BD261" i="1"/>
  <c r="BE261" i="1"/>
  <c r="BF261" i="1"/>
  <c r="BG261" i="1"/>
  <c r="BH261" i="1"/>
  <c r="BI261" i="1"/>
  <c r="BB262" i="1"/>
  <c r="BC262" i="1"/>
  <c r="BD262" i="1"/>
  <c r="BE262" i="1"/>
  <c r="BF262" i="1"/>
  <c r="BG262" i="1"/>
  <c r="BH262" i="1"/>
  <c r="BI262" i="1"/>
  <c r="BB263" i="1"/>
  <c r="BC263" i="1"/>
  <c r="BD263" i="1"/>
  <c r="BE263" i="1"/>
  <c r="BF263" i="1"/>
  <c r="BG263" i="1"/>
  <c r="BH263" i="1"/>
  <c r="BI263" i="1"/>
  <c r="BB264" i="1"/>
  <c r="BC264" i="1"/>
  <c r="BD264" i="1"/>
  <c r="BE264" i="1"/>
  <c r="BF264" i="1"/>
  <c r="BG264" i="1"/>
  <c r="BH264" i="1"/>
  <c r="BI264" i="1"/>
  <c r="BB265" i="1"/>
  <c r="BC265" i="1"/>
  <c r="BD265" i="1"/>
  <c r="BE265" i="1"/>
  <c r="BF265" i="1"/>
  <c r="BG265" i="1"/>
  <c r="BH265" i="1"/>
  <c r="BI265" i="1"/>
  <c r="BB266" i="1"/>
  <c r="BC266" i="1"/>
  <c r="BD266" i="1"/>
  <c r="BE266" i="1"/>
  <c r="BF266" i="1"/>
  <c r="BG266" i="1"/>
  <c r="BH266" i="1"/>
  <c r="BI266" i="1"/>
  <c r="BB267" i="1"/>
  <c r="BC267" i="1"/>
  <c r="BD267" i="1"/>
  <c r="BE267" i="1"/>
  <c r="BF267" i="1"/>
  <c r="BG267" i="1"/>
  <c r="BH267" i="1"/>
  <c r="BI267" i="1"/>
  <c r="BB268" i="1"/>
  <c r="BC268" i="1"/>
  <c r="BD268" i="1"/>
  <c r="BE268" i="1"/>
  <c r="BF268" i="1"/>
  <c r="BG268" i="1"/>
  <c r="BH268" i="1"/>
  <c r="BI268" i="1"/>
  <c r="BB269" i="1"/>
  <c r="BC269" i="1"/>
  <c r="BD269" i="1"/>
  <c r="BE269" i="1"/>
  <c r="BF269" i="1"/>
  <c r="BG269" i="1"/>
  <c r="BH269" i="1"/>
  <c r="BI269" i="1"/>
  <c r="BB270" i="1"/>
  <c r="BC270" i="1"/>
  <c r="BD270" i="1"/>
  <c r="BE270" i="1"/>
  <c r="BF270" i="1"/>
  <c r="BG270" i="1"/>
  <c r="BH270" i="1"/>
  <c r="BI270" i="1"/>
  <c r="BB271" i="1"/>
  <c r="BC271" i="1"/>
  <c r="BD271" i="1"/>
  <c r="BE271" i="1"/>
  <c r="BF271" i="1"/>
  <c r="BG271" i="1"/>
  <c r="BH271" i="1"/>
  <c r="BI271" i="1"/>
  <c r="BB272" i="1"/>
  <c r="BC272" i="1"/>
  <c r="BD272" i="1"/>
  <c r="BE272" i="1"/>
  <c r="BF272" i="1"/>
  <c r="BG272" i="1"/>
  <c r="BH272" i="1"/>
  <c r="BI272" i="1"/>
  <c r="BB273" i="1"/>
  <c r="BC273" i="1"/>
  <c r="BD273" i="1"/>
  <c r="BE273" i="1"/>
  <c r="BF273" i="1"/>
  <c r="BG273" i="1"/>
  <c r="BH273" i="1"/>
  <c r="BI273" i="1"/>
  <c r="BB274" i="1"/>
  <c r="BC274" i="1"/>
  <c r="BD274" i="1"/>
  <c r="BE274" i="1"/>
  <c r="BF274" i="1"/>
  <c r="BG274" i="1"/>
  <c r="BH274" i="1"/>
  <c r="BI274" i="1"/>
  <c r="BB275" i="1"/>
  <c r="BC275" i="1"/>
  <c r="BD275" i="1"/>
  <c r="BE275" i="1"/>
  <c r="BF275" i="1"/>
  <c r="BG275" i="1"/>
  <c r="BH275" i="1"/>
  <c r="BI275" i="1"/>
  <c r="BB276" i="1"/>
  <c r="BC276" i="1"/>
  <c r="BD276" i="1"/>
  <c r="BE276" i="1"/>
  <c r="BF276" i="1"/>
  <c r="BG276" i="1"/>
  <c r="BH276" i="1"/>
  <c r="BI276" i="1"/>
  <c r="BB277" i="1"/>
  <c r="BC277" i="1"/>
  <c r="BD277" i="1"/>
  <c r="BE277" i="1"/>
  <c r="BF277" i="1"/>
  <c r="BG277" i="1"/>
  <c r="BH277" i="1"/>
  <c r="BI277" i="1"/>
  <c r="BB278" i="1"/>
  <c r="BC278" i="1"/>
  <c r="BD278" i="1"/>
  <c r="BE278" i="1"/>
  <c r="BF278" i="1"/>
  <c r="BG278" i="1"/>
  <c r="BH278" i="1"/>
  <c r="BI278" i="1"/>
  <c r="BB279" i="1"/>
  <c r="BC279" i="1"/>
  <c r="BD279" i="1"/>
  <c r="BE279" i="1"/>
  <c r="BF279" i="1"/>
  <c r="BG279" i="1"/>
  <c r="BH279" i="1"/>
  <c r="BI279" i="1"/>
  <c r="BB280" i="1"/>
  <c r="BC280" i="1"/>
  <c r="BD280" i="1"/>
  <c r="BE280" i="1"/>
  <c r="BF280" i="1"/>
  <c r="BG280" i="1"/>
  <c r="BH280" i="1"/>
  <c r="BI280" i="1"/>
  <c r="BB281" i="1"/>
  <c r="BC281" i="1"/>
  <c r="BD281" i="1"/>
  <c r="BE281" i="1"/>
  <c r="BF281" i="1"/>
  <c r="BG281" i="1"/>
  <c r="BH281" i="1"/>
  <c r="BI281" i="1"/>
  <c r="BB282" i="1"/>
  <c r="BC282" i="1"/>
  <c r="BD282" i="1"/>
  <c r="BE282" i="1"/>
  <c r="BF282" i="1"/>
  <c r="BG282" i="1"/>
  <c r="BH282" i="1"/>
  <c r="BI282" i="1"/>
  <c r="BB283" i="1"/>
  <c r="BC283" i="1"/>
  <c r="BD283" i="1"/>
  <c r="BE283" i="1"/>
  <c r="BF283" i="1"/>
  <c r="BG283" i="1"/>
  <c r="BH283" i="1"/>
  <c r="BI283" i="1"/>
  <c r="BB284" i="1"/>
  <c r="BC284" i="1"/>
  <c r="BD284" i="1"/>
  <c r="BE284" i="1"/>
  <c r="BF284" i="1"/>
  <c r="BG284" i="1"/>
  <c r="BH284" i="1"/>
  <c r="BI284" i="1"/>
  <c r="BB285" i="1"/>
  <c r="BC285" i="1"/>
  <c r="BD285" i="1"/>
  <c r="BE285" i="1"/>
  <c r="BF285" i="1"/>
  <c r="BG285" i="1"/>
  <c r="BH285" i="1"/>
  <c r="BI285" i="1"/>
  <c r="BB286" i="1"/>
  <c r="BC286" i="1"/>
  <c r="BD286" i="1"/>
  <c r="BE286" i="1"/>
  <c r="BF286" i="1"/>
  <c r="BG286" i="1"/>
  <c r="BH286" i="1"/>
  <c r="BI286" i="1"/>
  <c r="BB287" i="1"/>
  <c r="BC287" i="1"/>
  <c r="BD287" i="1"/>
  <c r="BE287" i="1"/>
  <c r="BF287" i="1"/>
  <c r="BG287" i="1"/>
  <c r="BH287" i="1"/>
  <c r="BI287" i="1"/>
  <c r="BB288" i="1"/>
  <c r="BC288" i="1"/>
  <c r="BD288" i="1"/>
  <c r="BE288" i="1"/>
  <c r="BF288" i="1"/>
  <c r="BG288" i="1"/>
  <c r="BH288" i="1"/>
  <c r="BI288" i="1"/>
  <c r="BB289" i="1"/>
  <c r="BC289" i="1"/>
  <c r="BD289" i="1"/>
  <c r="BE289" i="1"/>
  <c r="BF289" i="1"/>
  <c r="BG289" i="1"/>
  <c r="BH289" i="1"/>
  <c r="BI289" i="1"/>
  <c r="BB290" i="1"/>
  <c r="BC290" i="1"/>
  <c r="BD290" i="1"/>
  <c r="BE290" i="1"/>
  <c r="BF290" i="1"/>
  <c r="BG290" i="1"/>
  <c r="BH290" i="1"/>
  <c r="BI290" i="1"/>
  <c r="BB291" i="1"/>
  <c r="BC291" i="1"/>
  <c r="BD291" i="1"/>
  <c r="BE291" i="1"/>
  <c r="BF291" i="1"/>
  <c r="BG291" i="1"/>
  <c r="BH291" i="1"/>
  <c r="BI291" i="1"/>
  <c r="BB292" i="1"/>
  <c r="BC292" i="1"/>
  <c r="BD292" i="1"/>
  <c r="BE292" i="1"/>
  <c r="BF292" i="1"/>
  <c r="BG292" i="1"/>
  <c r="BH292" i="1"/>
  <c r="BI292" i="1"/>
  <c r="BB293" i="1"/>
  <c r="BC293" i="1"/>
  <c r="BD293" i="1"/>
  <c r="BE293" i="1"/>
  <c r="BF293" i="1"/>
  <c r="BG293" i="1"/>
  <c r="BH293" i="1"/>
  <c r="BI293" i="1"/>
  <c r="BB294" i="1"/>
  <c r="BC294" i="1"/>
  <c r="BD294" i="1"/>
  <c r="BE294" i="1"/>
  <c r="BF294" i="1"/>
  <c r="BG294" i="1"/>
  <c r="BH294" i="1"/>
  <c r="BI294" i="1"/>
  <c r="BB295" i="1"/>
  <c r="BC295" i="1"/>
  <c r="BD295" i="1"/>
  <c r="BE295" i="1"/>
  <c r="BF295" i="1"/>
  <c r="BG295" i="1"/>
  <c r="BH295" i="1"/>
  <c r="BI295" i="1"/>
  <c r="BB296" i="1"/>
  <c r="BC296" i="1"/>
  <c r="BD296" i="1"/>
  <c r="BE296" i="1"/>
  <c r="BF296" i="1"/>
  <c r="BG296" i="1"/>
  <c r="BH296" i="1"/>
  <c r="BI296" i="1"/>
  <c r="BB297" i="1"/>
  <c r="BC297" i="1"/>
  <c r="BD297" i="1"/>
  <c r="BE297" i="1"/>
  <c r="BF297" i="1"/>
  <c r="BG297" i="1"/>
  <c r="BH297" i="1"/>
  <c r="BI297" i="1"/>
  <c r="BB298" i="1"/>
  <c r="BC298" i="1"/>
  <c r="BD298" i="1"/>
  <c r="BE298" i="1"/>
  <c r="BF298" i="1"/>
  <c r="BG298" i="1"/>
  <c r="BH298" i="1"/>
  <c r="BI298" i="1"/>
  <c r="BB299" i="1"/>
  <c r="BC299" i="1"/>
  <c r="BD299" i="1"/>
  <c r="BE299" i="1"/>
  <c r="BF299" i="1"/>
  <c r="BG299" i="1"/>
  <c r="BH299" i="1"/>
  <c r="BI299" i="1"/>
  <c r="BB300" i="1"/>
  <c r="BC300" i="1"/>
  <c r="BD300" i="1"/>
  <c r="BE300" i="1"/>
  <c r="BF300" i="1"/>
  <c r="BG300" i="1"/>
  <c r="BH300" i="1"/>
  <c r="BI300" i="1"/>
  <c r="BB301" i="1"/>
  <c r="BC301" i="1"/>
  <c r="BD301" i="1"/>
  <c r="BE301" i="1"/>
  <c r="BF301" i="1"/>
  <c r="BG301" i="1"/>
  <c r="BH301" i="1"/>
  <c r="BI301" i="1"/>
  <c r="BB302" i="1"/>
  <c r="BC302" i="1"/>
  <c r="BD302" i="1"/>
  <c r="BE302" i="1"/>
  <c r="BF302" i="1"/>
  <c r="BG302" i="1"/>
  <c r="BH302" i="1"/>
  <c r="BI302" i="1"/>
  <c r="BB303" i="1"/>
  <c r="BC303" i="1"/>
  <c r="BD303" i="1"/>
  <c r="BE303" i="1"/>
  <c r="BF303" i="1"/>
  <c r="BG303" i="1"/>
  <c r="BH303" i="1"/>
  <c r="BI303" i="1"/>
  <c r="BB304" i="1"/>
  <c r="BC304" i="1"/>
  <c r="BD304" i="1"/>
  <c r="BE304" i="1"/>
  <c r="BF304" i="1"/>
  <c r="BG304" i="1"/>
  <c r="BH304" i="1"/>
  <c r="BI304" i="1"/>
  <c r="BB305" i="1"/>
  <c r="BC305" i="1"/>
  <c r="BD305" i="1"/>
  <c r="BE305" i="1"/>
  <c r="BF305" i="1"/>
  <c r="BG305" i="1"/>
  <c r="BH305" i="1"/>
  <c r="BI305" i="1"/>
  <c r="BB306" i="1"/>
  <c r="BC306" i="1"/>
  <c r="BD306" i="1"/>
  <c r="BE306" i="1"/>
  <c r="BF306" i="1"/>
  <c r="BG306" i="1"/>
  <c r="BH306" i="1"/>
  <c r="BI306" i="1"/>
  <c r="BB307" i="1"/>
  <c r="BC307" i="1"/>
  <c r="BD307" i="1"/>
  <c r="BE307" i="1"/>
  <c r="BF307" i="1"/>
  <c r="BG307" i="1"/>
  <c r="BH307" i="1"/>
  <c r="BI307" i="1"/>
  <c r="BB308" i="1"/>
  <c r="BC308" i="1"/>
  <c r="BD308" i="1"/>
  <c r="BE308" i="1"/>
  <c r="BF308" i="1"/>
  <c r="BG308" i="1"/>
  <c r="BH308" i="1"/>
  <c r="BI308" i="1"/>
  <c r="BB309" i="1"/>
  <c r="BC309" i="1"/>
  <c r="BD309" i="1"/>
  <c r="BE309" i="1"/>
  <c r="BF309" i="1"/>
  <c r="BG309" i="1"/>
  <c r="BH309" i="1"/>
  <c r="BI309" i="1"/>
  <c r="BB310" i="1"/>
  <c r="BC310" i="1"/>
  <c r="BD310" i="1"/>
  <c r="BE310" i="1"/>
  <c r="BF310" i="1"/>
  <c r="BG310" i="1"/>
  <c r="BH310" i="1"/>
  <c r="BI310" i="1"/>
  <c r="BB311" i="1"/>
  <c r="BC311" i="1"/>
  <c r="BD311" i="1"/>
  <c r="BE311" i="1"/>
  <c r="BF311" i="1"/>
  <c r="BG311" i="1"/>
  <c r="BH311" i="1"/>
  <c r="BI311" i="1"/>
  <c r="BB312" i="1"/>
  <c r="BC312" i="1"/>
  <c r="BD312" i="1"/>
  <c r="BE312" i="1"/>
  <c r="BF312" i="1"/>
  <c r="BG312" i="1"/>
  <c r="BH312" i="1"/>
  <c r="BI312" i="1"/>
  <c r="BB313" i="1"/>
  <c r="BC313" i="1"/>
  <c r="BD313" i="1"/>
  <c r="BE313" i="1"/>
  <c r="BF313" i="1"/>
  <c r="BG313" i="1"/>
  <c r="BH313" i="1"/>
  <c r="BI313" i="1"/>
  <c r="BB314" i="1"/>
  <c r="BC314" i="1"/>
  <c r="BD314" i="1"/>
  <c r="BE314" i="1"/>
  <c r="BF314" i="1"/>
  <c r="BG314" i="1"/>
  <c r="BH314" i="1"/>
  <c r="BI314" i="1"/>
  <c r="BB315" i="1"/>
  <c r="BC315" i="1"/>
  <c r="BD315" i="1"/>
  <c r="BE315" i="1"/>
  <c r="BF315" i="1"/>
  <c r="BG315" i="1"/>
  <c r="BH315" i="1"/>
  <c r="BI315" i="1"/>
  <c r="BB316" i="1"/>
  <c r="BC316" i="1"/>
  <c r="BD316" i="1"/>
  <c r="BE316" i="1"/>
  <c r="BF316" i="1"/>
  <c r="BG316" i="1"/>
  <c r="BH316" i="1"/>
  <c r="BI316" i="1"/>
  <c r="BB317" i="1"/>
  <c r="BC317" i="1"/>
  <c r="BD317" i="1"/>
  <c r="BE317" i="1"/>
  <c r="BF317" i="1"/>
  <c r="BG317" i="1"/>
  <c r="BH317" i="1"/>
  <c r="BI317" i="1"/>
  <c r="BB318" i="1"/>
  <c r="BC318" i="1"/>
  <c r="BD318" i="1"/>
  <c r="BE318" i="1"/>
  <c r="BF318" i="1"/>
  <c r="BG318" i="1"/>
  <c r="BH318" i="1"/>
  <c r="BI318" i="1"/>
  <c r="BB319" i="1"/>
  <c r="BC319" i="1"/>
  <c r="BD319" i="1"/>
  <c r="BE319" i="1"/>
  <c r="BF319" i="1"/>
  <c r="BG319" i="1"/>
  <c r="BH319" i="1"/>
  <c r="BI319" i="1"/>
  <c r="BB320" i="1"/>
  <c r="BC320" i="1"/>
  <c r="BD320" i="1"/>
  <c r="BE320" i="1"/>
  <c r="BF320" i="1"/>
  <c r="BG320" i="1"/>
  <c r="BH320" i="1"/>
  <c r="BI320" i="1"/>
  <c r="BB321" i="1"/>
  <c r="BC321" i="1"/>
  <c r="BD321" i="1"/>
  <c r="BE321" i="1"/>
  <c r="BF321" i="1"/>
  <c r="BG321" i="1"/>
  <c r="BH321" i="1"/>
  <c r="BI321" i="1"/>
  <c r="BB322" i="1"/>
  <c r="BC322" i="1"/>
  <c r="BD322" i="1"/>
  <c r="BE322" i="1"/>
  <c r="BF322" i="1"/>
  <c r="BG322" i="1"/>
  <c r="BH322" i="1"/>
  <c r="BI322" i="1"/>
  <c r="BB323" i="1"/>
  <c r="BC323" i="1"/>
  <c r="BD323" i="1"/>
  <c r="BE323" i="1"/>
  <c r="BF323" i="1"/>
  <c r="BG323" i="1"/>
  <c r="BH323" i="1"/>
  <c r="BI323" i="1"/>
  <c r="BB324" i="1"/>
  <c r="BC324" i="1"/>
  <c r="BD324" i="1"/>
  <c r="BE324" i="1"/>
  <c r="BF324" i="1"/>
  <c r="BG324" i="1"/>
  <c r="BH324" i="1"/>
  <c r="BI324" i="1"/>
  <c r="BB325" i="1"/>
  <c r="BC325" i="1"/>
  <c r="BD325" i="1"/>
  <c r="BE325" i="1"/>
  <c r="BF325" i="1"/>
  <c r="BG325" i="1"/>
  <c r="BH325" i="1"/>
  <c r="BI325" i="1"/>
  <c r="BB326" i="1"/>
  <c r="BC326" i="1"/>
  <c r="BD326" i="1"/>
  <c r="BE326" i="1"/>
  <c r="BF326" i="1"/>
  <c r="BG326" i="1"/>
  <c r="BH326" i="1"/>
  <c r="BI326" i="1"/>
  <c r="BB327" i="1"/>
  <c r="BC327" i="1"/>
  <c r="BD327" i="1"/>
  <c r="BE327" i="1"/>
  <c r="BF327" i="1"/>
  <c r="BG327" i="1"/>
  <c r="BH327" i="1"/>
  <c r="BI327" i="1"/>
  <c r="BB328" i="1"/>
  <c r="BC328" i="1"/>
  <c r="BD328" i="1"/>
  <c r="BE328" i="1"/>
  <c r="BF328" i="1"/>
  <c r="BG328" i="1"/>
  <c r="BH328" i="1"/>
  <c r="BI328" i="1"/>
  <c r="BB329" i="1"/>
  <c r="BC329" i="1"/>
  <c r="BD329" i="1"/>
  <c r="BE329" i="1"/>
  <c r="BF329" i="1"/>
  <c r="BG329" i="1"/>
  <c r="BH329" i="1"/>
  <c r="BI329" i="1"/>
  <c r="BB330" i="1"/>
  <c r="BC330" i="1"/>
  <c r="BD330" i="1"/>
  <c r="BE330" i="1"/>
  <c r="BF330" i="1"/>
  <c r="BG330" i="1"/>
  <c r="BH330" i="1"/>
  <c r="BI330" i="1"/>
  <c r="BB331" i="1"/>
  <c r="BC331" i="1"/>
  <c r="BD331" i="1"/>
  <c r="BE331" i="1"/>
  <c r="BF331" i="1"/>
  <c r="BG331" i="1"/>
  <c r="BH331" i="1"/>
  <c r="BI331" i="1"/>
  <c r="BB332" i="1"/>
  <c r="BC332" i="1"/>
  <c r="BD332" i="1"/>
  <c r="BE332" i="1"/>
  <c r="BF332" i="1"/>
  <c r="BG332" i="1"/>
  <c r="BH332" i="1"/>
  <c r="BI332" i="1"/>
  <c r="BB333" i="1"/>
  <c r="BC333" i="1"/>
  <c r="BD333" i="1"/>
  <c r="BE333" i="1"/>
  <c r="BF333" i="1"/>
  <c r="BG333" i="1"/>
  <c r="BH333" i="1"/>
  <c r="BI333" i="1"/>
  <c r="BB334" i="1"/>
  <c r="BC334" i="1"/>
  <c r="BD334" i="1"/>
  <c r="BE334" i="1"/>
  <c r="BF334" i="1"/>
  <c r="BG334" i="1"/>
  <c r="BH334" i="1"/>
  <c r="BI334" i="1"/>
  <c r="BB335" i="1"/>
  <c r="BC335" i="1"/>
  <c r="BD335" i="1"/>
  <c r="BE335" i="1"/>
  <c r="BF335" i="1"/>
  <c r="BG335" i="1"/>
  <c r="BH335" i="1"/>
  <c r="BI335" i="1"/>
  <c r="BB336" i="1"/>
  <c r="BC336" i="1"/>
  <c r="BD336" i="1"/>
  <c r="BE336" i="1"/>
  <c r="BF336" i="1"/>
  <c r="BG336" i="1"/>
  <c r="BH336" i="1"/>
  <c r="BI336" i="1"/>
  <c r="BB337" i="1"/>
  <c r="BC337" i="1"/>
  <c r="BD337" i="1"/>
  <c r="BE337" i="1"/>
  <c r="BF337" i="1"/>
  <c r="BG337" i="1"/>
  <c r="BH337" i="1"/>
  <c r="BI337" i="1"/>
  <c r="BB338" i="1"/>
  <c r="BC338" i="1"/>
  <c r="BD338" i="1"/>
  <c r="BE338" i="1"/>
  <c r="BF338" i="1"/>
  <c r="BG338" i="1"/>
  <c r="BH338" i="1"/>
  <c r="BI338" i="1"/>
  <c r="BB339" i="1"/>
  <c r="BC339" i="1"/>
  <c r="BD339" i="1"/>
  <c r="BE339" i="1"/>
  <c r="BF339" i="1"/>
  <c r="BG339" i="1"/>
  <c r="BH339" i="1"/>
  <c r="BI339" i="1"/>
  <c r="BB340" i="1"/>
  <c r="BC340" i="1"/>
  <c r="BD340" i="1"/>
  <c r="BE340" i="1"/>
  <c r="BF340" i="1"/>
  <c r="BG340" i="1"/>
  <c r="BH340" i="1"/>
  <c r="BI340" i="1"/>
  <c r="BB341" i="1"/>
  <c r="BC341" i="1"/>
  <c r="BD341" i="1"/>
  <c r="BE341" i="1"/>
  <c r="BF341" i="1"/>
  <c r="BG341" i="1"/>
  <c r="BH341" i="1"/>
  <c r="BI341" i="1"/>
  <c r="BB342" i="1"/>
  <c r="BC342" i="1"/>
  <c r="BD342" i="1"/>
  <c r="BE342" i="1"/>
  <c r="BF342" i="1"/>
  <c r="BG342" i="1"/>
  <c r="BH342" i="1"/>
  <c r="BI342" i="1"/>
  <c r="BB343" i="1"/>
  <c r="BC343" i="1"/>
  <c r="BD343" i="1"/>
  <c r="BE343" i="1"/>
  <c r="BF343" i="1"/>
  <c r="BG343" i="1"/>
  <c r="BH343" i="1"/>
  <c r="BI343" i="1"/>
  <c r="BB344" i="1"/>
  <c r="BC344" i="1"/>
  <c r="BD344" i="1"/>
  <c r="BE344" i="1"/>
  <c r="BF344" i="1"/>
  <c r="BG344" i="1"/>
  <c r="BH344" i="1"/>
  <c r="BI344" i="1"/>
  <c r="BB345" i="1"/>
  <c r="BC345" i="1"/>
  <c r="BD345" i="1"/>
  <c r="BE345" i="1"/>
  <c r="BF345" i="1"/>
  <c r="BG345" i="1"/>
  <c r="BH345" i="1"/>
  <c r="BI345" i="1"/>
  <c r="BB346" i="1"/>
  <c r="BC346" i="1"/>
  <c r="BD346" i="1"/>
  <c r="BE346" i="1"/>
  <c r="BF346" i="1"/>
  <c r="BG346" i="1"/>
  <c r="BH346" i="1"/>
  <c r="BI346" i="1"/>
  <c r="BB347" i="1"/>
  <c r="BC347" i="1"/>
  <c r="BD347" i="1"/>
  <c r="BE347" i="1"/>
  <c r="BF347" i="1"/>
  <c r="BG347" i="1"/>
  <c r="BH347" i="1"/>
  <c r="BI347" i="1"/>
  <c r="BB348" i="1"/>
  <c r="BC348" i="1"/>
  <c r="BD348" i="1"/>
  <c r="BE348" i="1"/>
  <c r="BF348" i="1"/>
  <c r="BG348" i="1"/>
  <c r="BH348" i="1"/>
  <c r="BI348" i="1"/>
  <c r="BB349" i="1"/>
  <c r="BC349" i="1"/>
  <c r="BD349" i="1"/>
  <c r="BE349" i="1"/>
  <c r="BF349" i="1"/>
  <c r="BG349" i="1"/>
  <c r="BH349" i="1"/>
  <c r="BI349" i="1"/>
  <c r="BB350" i="1"/>
  <c r="BC350" i="1"/>
  <c r="BD350" i="1"/>
  <c r="BE350" i="1"/>
  <c r="BF350" i="1"/>
  <c r="BG350" i="1"/>
  <c r="BH350" i="1"/>
  <c r="BI350" i="1"/>
  <c r="BB351" i="1"/>
  <c r="BC351" i="1"/>
  <c r="BD351" i="1"/>
  <c r="BE351" i="1"/>
  <c r="BF351" i="1"/>
  <c r="BG351" i="1"/>
  <c r="BH351" i="1"/>
  <c r="BI351" i="1"/>
  <c r="BB352" i="1"/>
  <c r="BC352" i="1"/>
  <c r="BD352" i="1"/>
  <c r="BE352" i="1"/>
  <c r="BF352" i="1"/>
  <c r="BG352" i="1"/>
  <c r="BH352" i="1"/>
  <c r="BI352" i="1"/>
  <c r="BB353" i="1"/>
  <c r="BC353" i="1"/>
  <c r="BD353" i="1"/>
  <c r="BE353" i="1"/>
  <c r="BF353" i="1"/>
  <c r="BG353" i="1"/>
  <c r="BH353" i="1"/>
  <c r="BI353" i="1"/>
  <c r="BB354" i="1"/>
  <c r="BC354" i="1"/>
  <c r="BD354" i="1"/>
  <c r="BE354" i="1"/>
  <c r="BF354" i="1"/>
  <c r="BG354" i="1"/>
  <c r="BH354" i="1"/>
  <c r="BI354" i="1"/>
  <c r="BB355" i="1"/>
  <c r="BC355" i="1"/>
  <c r="BD355" i="1"/>
  <c r="BE355" i="1"/>
  <c r="BF355" i="1"/>
  <c r="BG355" i="1"/>
  <c r="BH355" i="1"/>
  <c r="BI355" i="1"/>
  <c r="BB356" i="1"/>
  <c r="BC356" i="1"/>
  <c r="BD356" i="1"/>
  <c r="BE356" i="1"/>
  <c r="BF356" i="1"/>
  <c r="BG356" i="1"/>
  <c r="BH356" i="1"/>
  <c r="BI356" i="1"/>
  <c r="BB357" i="1"/>
  <c r="BC357" i="1"/>
  <c r="BD357" i="1"/>
  <c r="BE357" i="1"/>
  <c r="BF357" i="1"/>
  <c r="BG357" i="1"/>
  <c r="BH357" i="1"/>
  <c r="BI357" i="1"/>
  <c r="BB358" i="1"/>
  <c r="BC358" i="1"/>
  <c r="BD358" i="1"/>
  <c r="BE358" i="1"/>
  <c r="BF358" i="1"/>
  <c r="BG358" i="1"/>
  <c r="BH358" i="1"/>
  <c r="BI358" i="1"/>
  <c r="BB359" i="1"/>
  <c r="BC359" i="1"/>
  <c r="BD359" i="1"/>
  <c r="BE359" i="1"/>
  <c r="BF359" i="1"/>
  <c r="BG359" i="1"/>
  <c r="BH359" i="1"/>
  <c r="BI359" i="1"/>
  <c r="BB360" i="1"/>
  <c r="BC360" i="1"/>
  <c r="BD360" i="1"/>
  <c r="BE360" i="1"/>
  <c r="BF360" i="1"/>
  <c r="BG360" i="1"/>
  <c r="BH360" i="1"/>
  <c r="BI360" i="1"/>
  <c r="BB361" i="1"/>
  <c r="BC361" i="1"/>
  <c r="BD361" i="1"/>
  <c r="BE361" i="1"/>
  <c r="BF361" i="1"/>
  <c r="BG361" i="1"/>
  <c r="BH361" i="1"/>
  <c r="BI361" i="1"/>
  <c r="BB362" i="1"/>
  <c r="BC362" i="1"/>
  <c r="BD362" i="1"/>
  <c r="BE362" i="1"/>
  <c r="BF362" i="1"/>
  <c r="BG362" i="1"/>
  <c r="BH362" i="1"/>
  <c r="BI362" i="1"/>
  <c r="BB363" i="1"/>
  <c r="BC363" i="1"/>
  <c r="BD363" i="1"/>
  <c r="BE363" i="1"/>
  <c r="BF363" i="1"/>
  <c r="BG363" i="1"/>
  <c r="BH363" i="1"/>
  <c r="BI363" i="1"/>
  <c r="BB364" i="1"/>
  <c r="BC364" i="1"/>
  <c r="BD364" i="1"/>
  <c r="BE364" i="1"/>
  <c r="BF364" i="1"/>
  <c r="BG364" i="1"/>
  <c r="BH364" i="1"/>
  <c r="BI364" i="1"/>
  <c r="BB365" i="1"/>
  <c r="BC365" i="1"/>
  <c r="BD365" i="1"/>
  <c r="BE365" i="1"/>
  <c r="BF365" i="1"/>
  <c r="BG365" i="1"/>
  <c r="BH365" i="1"/>
  <c r="BI365" i="1"/>
  <c r="BB366" i="1"/>
  <c r="BC366" i="1"/>
  <c r="BD366" i="1"/>
  <c r="BE366" i="1"/>
  <c r="BF366" i="1"/>
  <c r="BG366" i="1"/>
  <c r="BH366" i="1"/>
  <c r="BI366" i="1"/>
  <c r="BB367" i="1"/>
  <c r="BC367" i="1"/>
  <c r="BD367" i="1"/>
  <c r="BE367" i="1"/>
  <c r="BF367" i="1"/>
  <c r="BG367" i="1"/>
  <c r="BH367" i="1"/>
  <c r="BI367" i="1"/>
  <c r="BB368" i="1"/>
  <c r="BC368" i="1"/>
  <c r="BD368" i="1"/>
  <c r="BE368" i="1"/>
  <c r="BF368" i="1"/>
  <c r="BG368" i="1"/>
  <c r="BH368" i="1"/>
  <c r="BI368" i="1"/>
  <c r="BB369" i="1"/>
  <c r="BC369" i="1"/>
  <c r="BD369" i="1"/>
  <c r="BE369" i="1"/>
  <c r="BF369" i="1"/>
  <c r="BG369" i="1"/>
  <c r="BH369" i="1"/>
  <c r="BI369" i="1"/>
  <c r="BB370" i="1"/>
  <c r="BC370" i="1"/>
  <c r="BD370" i="1"/>
  <c r="BE370" i="1"/>
  <c r="BF370" i="1"/>
  <c r="BG370" i="1"/>
  <c r="BH370" i="1"/>
  <c r="BI370" i="1"/>
  <c r="BB371" i="1"/>
  <c r="BC371" i="1"/>
  <c r="BD371" i="1"/>
  <c r="BE371" i="1"/>
  <c r="BF371" i="1"/>
  <c r="BG371" i="1"/>
  <c r="BH371" i="1"/>
  <c r="BI371" i="1"/>
  <c r="BB372" i="1"/>
  <c r="BC372" i="1"/>
  <c r="BD372" i="1"/>
  <c r="BE372" i="1"/>
  <c r="BF372" i="1"/>
  <c r="BG372" i="1"/>
  <c r="BH372" i="1"/>
  <c r="BI372" i="1"/>
  <c r="BB373" i="1"/>
  <c r="BC373" i="1"/>
  <c r="BD373" i="1"/>
  <c r="BE373" i="1"/>
  <c r="BF373" i="1"/>
  <c r="BG373" i="1"/>
  <c r="BH373" i="1"/>
  <c r="BI373" i="1"/>
  <c r="BB374" i="1"/>
  <c r="BC374" i="1"/>
  <c r="BD374" i="1"/>
  <c r="BE374" i="1"/>
  <c r="BF374" i="1"/>
  <c r="BG374" i="1"/>
  <c r="BH374" i="1"/>
  <c r="BI374" i="1"/>
  <c r="BB375" i="1"/>
  <c r="BC375" i="1"/>
  <c r="BD375" i="1"/>
  <c r="BE375" i="1"/>
  <c r="BF375" i="1"/>
  <c r="BG375" i="1"/>
  <c r="BH375" i="1"/>
  <c r="BI375" i="1"/>
  <c r="BB376" i="1"/>
  <c r="BC376" i="1"/>
  <c r="BD376" i="1"/>
  <c r="BE376" i="1"/>
  <c r="BF376" i="1"/>
  <c r="BG376" i="1"/>
  <c r="BH376" i="1"/>
  <c r="BI376" i="1"/>
  <c r="BB377" i="1"/>
  <c r="BC377" i="1"/>
  <c r="BD377" i="1"/>
  <c r="BE377" i="1"/>
  <c r="BF377" i="1"/>
  <c r="BG377" i="1"/>
  <c r="BH377" i="1"/>
  <c r="BI377" i="1"/>
  <c r="BB378" i="1"/>
  <c r="BC378" i="1"/>
  <c r="BD378" i="1"/>
  <c r="BE378" i="1"/>
  <c r="BF378" i="1"/>
  <c r="BG378" i="1"/>
  <c r="BH378" i="1"/>
  <c r="BI378" i="1"/>
  <c r="BB379" i="1"/>
  <c r="BC379" i="1"/>
  <c r="BD379" i="1"/>
  <c r="BE379" i="1"/>
  <c r="BF379" i="1"/>
  <c r="BG379" i="1"/>
  <c r="BH379" i="1"/>
  <c r="BI379" i="1"/>
  <c r="BB380" i="1"/>
  <c r="BC380" i="1"/>
  <c r="BD380" i="1"/>
  <c r="BE380" i="1"/>
  <c r="BF380" i="1"/>
  <c r="BG380" i="1"/>
  <c r="BH380" i="1"/>
  <c r="BI380" i="1"/>
  <c r="BB381" i="1"/>
  <c r="BC381" i="1"/>
  <c r="BD381" i="1"/>
  <c r="BE381" i="1"/>
  <c r="BF381" i="1"/>
  <c r="BG381" i="1"/>
  <c r="BH381" i="1"/>
  <c r="BI381" i="1"/>
  <c r="BB382" i="1"/>
  <c r="BC382" i="1"/>
  <c r="BD382" i="1"/>
  <c r="BE382" i="1"/>
  <c r="BF382" i="1"/>
  <c r="BG382" i="1"/>
  <c r="BH382" i="1"/>
  <c r="BI382" i="1"/>
  <c r="BB383" i="1"/>
  <c r="BC383" i="1"/>
  <c r="BD383" i="1"/>
  <c r="BE383" i="1"/>
  <c r="BF383" i="1"/>
  <c r="BG383" i="1"/>
  <c r="BH383" i="1"/>
  <c r="BI383" i="1"/>
  <c r="BB384" i="1"/>
  <c r="BC384" i="1"/>
  <c r="BD384" i="1"/>
  <c r="BE384" i="1"/>
  <c r="BF384" i="1"/>
  <c r="BG384" i="1"/>
  <c r="BH384" i="1"/>
  <c r="BI384" i="1"/>
  <c r="BB385" i="1"/>
  <c r="BC385" i="1"/>
  <c r="BD385" i="1"/>
  <c r="BE385" i="1"/>
  <c r="BF385" i="1"/>
  <c r="BG385" i="1"/>
  <c r="BH385" i="1"/>
  <c r="BI385" i="1"/>
  <c r="BB386" i="1"/>
  <c r="BC386" i="1"/>
  <c r="BD386" i="1"/>
  <c r="BE386" i="1"/>
  <c r="BF386" i="1"/>
  <c r="BG386" i="1"/>
  <c r="BH386" i="1"/>
  <c r="BI386" i="1"/>
  <c r="BB387" i="1"/>
  <c r="BC387" i="1"/>
  <c r="BD387" i="1"/>
  <c r="BE387" i="1"/>
  <c r="BF387" i="1"/>
  <c r="BG387" i="1"/>
  <c r="BH387" i="1"/>
  <c r="BI387" i="1"/>
  <c r="BB388" i="1"/>
  <c r="BC388" i="1"/>
  <c r="BD388" i="1"/>
  <c r="BE388" i="1"/>
  <c r="BF388" i="1"/>
  <c r="BG388" i="1"/>
  <c r="BH388" i="1"/>
  <c r="BI388" i="1"/>
  <c r="BB389" i="1"/>
  <c r="BC389" i="1"/>
  <c r="BD389" i="1"/>
  <c r="BE389" i="1"/>
  <c r="BF389" i="1"/>
  <c r="BG389" i="1"/>
  <c r="BH389" i="1"/>
  <c r="BI389" i="1"/>
  <c r="BB390" i="1"/>
  <c r="BC390" i="1"/>
  <c r="BD390" i="1"/>
  <c r="BE390" i="1"/>
  <c r="BF390" i="1"/>
  <c r="BG390" i="1"/>
  <c r="BH390" i="1"/>
  <c r="BI390" i="1"/>
  <c r="BB391" i="1"/>
  <c r="BC391" i="1"/>
  <c r="BD391" i="1"/>
  <c r="BE391" i="1"/>
  <c r="BF391" i="1"/>
  <c r="BG391" i="1"/>
  <c r="BH391" i="1"/>
  <c r="BI391" i="1"/>
  <c r="BB392" i="1"/>
  <c r="BC392" i="1"/>
  <c r="BD392" i="1"/>
  <c r="BE392" i="1"/>
  <c r="BF392" i="1"/>
  <c r="BG392" i="1"/>
  <c r="BH392" i="1"/>
  <c r="BI392" i="1"/>
  <c r="BB393" i="1"/>
  <c r="BC393" i="1"/>
  <c r="BD393" i="1"/>
  <c r="BE393" i="1"/>
  <c r="BF393" i="1"/>
  <c r="BG393" i="1"/>
  <c r="BH393" i="1"/>
  <c r="BI393" i="1"/>
  <c r="BB394" i="1"/>
  <c r="BC394" i="1"/>
  <c r="BD394" i="1"/>
  <c r="BE394" i="1"/>
  <c r="BF394" i="1"/>
  <c r="BG394" i="1"/>
  <c r="BH394" i="1"/>
  <c r="BI394" i="1"/>
  <c r="BB395" i="1"/>
  <c r="BC395" i="1"/>
  <c r="BD395" i="1"/>
  <c r="BE395" i="1"/>
  <c r="BF395" i="1"/>
  <c r="BG395" i="1"/>
  <c r="BH395" i="1"/>
  <c r="BI395" i="1"/>
  <c r="BB396" i="1"/>
  <c r="BC396" i="1"/>
  <c r="BD396" i="1"/>
  <c r="BE396" i="1"/>
  <c r="BF396" i="1"/>
  <c r="BG396" i="1"/>
  <c r="BH396" i="1"/>
  <c r="BI396" i="1"/>
  <c r="BB397" i="1"/>
  <c r="BC397" i="1"/>
  <c r="BD397" i="1"/>
  <c r="BE397" i="1"/>
  <c r="BF397" i="1"/>
  <c r="BG397" i="1"/>
  <c r="BH397" i="1"/>
  <c r="BI397" i="1"/>
  <c r="BB398" i="1"/>
  <c r="BC398" i="1"/>
  <c r="BD398" i="1"/>
  <c r="BE398" i="1"/>
  <c r="BF398" i="1"/>
  <c r="BG398" i="1"/>
  <c r="BH398" i="1"/>
  <c r="BI398" i="1"/>
  <c r="BB399" i="1"/>
  <c r="BC399" i="1"/>
  <c r="BD399" i="1"/>
  <c r="BE399" i="1"/>
  <c r="BF399" i="1"/>
  <c r="BG399" i="1"/>
  <c r="BH399" i="1"/>
  <c r="BI399" i="1"/>
  <c r="BB400" i="1"/>
  <c r="BC400" i="1"/>
  <c r="BD400" i="1"/>
  <c r="BE400" i="1"/>
  <c r="BF400" i="1"/>
  <c r="BG400" i="1"/>
  <c r="BH400" i="1"/>
  <c r="BI400" i="1"/>
  <c r="BB401" i="1"/>
  <c r="BC401" i="1"/>
  <c r="BD401" i="1"/>
  <c r="BE401" i="1"/>
  <c r="BF401" i="1"/>
  <c r="BG401" i="1"/>
  <c r="BH401" i="1"/>
  <c r="BI401" i="1"/>
  <c r="BB402" i="1"/>
  <c r="BC402" i="1"/>
  <c r="BD402" i="1"/>
  <c r="BE402" i="1"/>
  <c r="BF402" i="1"/>
  <c r="BG402" i="1"/>
  <c r="BH402" i="1"/>
  <c r="BI402" i="1"/>
  <c r="BB403" i="1"/>
  <c r="BC403" i="1"/>
  <c r="BD403" i="1"/>
  <c r="BE403" i="1"/>
  <c r="BF403" i="1"/>
  <c r="BG403" i="1"/>
  <c r="BH403" i="1"/>
  <c r="BI403" i="1"/>
  <c r="BB404" i="1"/>
  <c r="BC404" i="1"/>
  <c r="BD404" i="1"/>
  <c r="BE404" i="1"/>
  <c r="BF404" i="1"/>
  <c r="BG404" i="1"/>
  <c r="BH404" i="1"/>
  <c r="BI404" i="1"/>
  <c r="BB405" i="1"/>
  <c r="BC405" i="1"/>
  <c r="BD405" i="1"/>
  <c r="BE405" i="1"/>
  <c r="BF405" i="1"/>
  <c r="BG405" i="1"/>
  <c r="BH405" i="1"/>
  <c r="BI405" i="1"/>
  <c r="BB406" i="1"/>
  <c r="BC406" i="1"/>
  <c r="BD406" i="1"/>
  <c r="BE406" i="1"/>
  <c r="BF406" i="1"/>
  <c r="BG406" i="1"/>
  <c r="BH406" i="1"/>
  <c r="BI406" i="1"/>
  <c r="BB407" i="1"/>
  <c r="BC407" i="1"/>
  <c r="BD407" i="1"/>
  <c r="BE407" i="1"/>
  <c r="BF407" i="1"/>
  <c r="BG407" i="1"/>
  <c r="BH407" i="1"/>
  <c r="BI407" i="1"/>
  <c r="BB408" i="1"/>
  <c r="BC408" i="1"/>
  <c r="BD408" i="1"/>
  <c r="BE408" i="1"/>
  <c r="BF408" i="1"/>
  <c r="BG408" i="1"/>
  <c r="BH408" i="1"/>
  <c r="BI408" i="1"/>
  <c r="BB409" i="1"/>
  <c r="BC409" i="1"/>
  <c r="BD409" i="1"/>
  <c r="BE409" i="1"/>
  <c r="BF409" i="1"/>
  <c r="BG409" i="1"/>
  <c r="BH409" i="1"/>
  <c r="BI409" i="1"/>
  <c r="BB410" i="1"/>
  <c r="BC410" i="1"/>
  <c r="BD410" i="1"/>
  <c r="BE410" i="1"/>
  <c r="BF410" i="1"/>
  <c r="BG410" i="1"/>
  <c r="BH410" i="1"/>
  <c r="BI410" i="1"/>
  <c r="BB411" i="1"/>
  <c r="BC411" i="1"/>
  <c r="BD411" i="1"/>
  <c r="BE411" i="1"/>
  <c r="BF411" i="1"/>
  <c r="BG411" i="1"/>
  <c r="BH411" i="1"/>
  <c r="BI411" i="1"/>
  <c r="BB412" i="1"/>
  <c r="BC412" i="1"/>
  <c r="BD412" i="1"/>
  <c r="BE412" i="1"/>
  <c r="BF412" i="1"/>
  <c r="BG412" i="1"/>
  <c r="BH412" i="1"/>
  <c r="BI412" i="1"/>
  <c r="BB413" i="1"/>
  <c r="BC413" i="1"/>
  <c r="BD413" i="1"/>
  <c r="BE413" i="1"/>
  <c r="BF413" i="1"/>
  <c r="BG413" i="1"/>
  <c r="BH413" i="1"/>
  <c r="BI413" i="1"/>
  <c r="BB414" i="1"/>
  <c r="BC414" i="1"/>
  <c r="BD414" i="1"/>
  <c r="BE414" i="1"/>
  <c r="BF414" i="1"/>
  <c r="BG414" i="1"/>
  <c r="BH414" i="1"/>
  <c r="BI414" i="1"/>
  <c r="BB415" i="1"/>
  <c r="BC415" i="1"/>
  <c r="BD415" i="1"/>
  <c r="BE415" i="1"/>
  <c r="BF415" i="1"/>
  <c r="BG415" i="1"/>
  <c r="BH415" i="1"/>
  <c r="BI415" i="1"/>
  <c r="BB416" i="1"/>
  <c r="BC416" i="1"/>
  <c r="BD416" i="1"/>
  <c r="BE416" i="1"/>
  <c r="BF416" i="1"/>
  <c r="BG416" i="1"/>
  <c r="BH416" i="1"/>
  <c r="BI416" i="1"/>
  <c r="BB417" i="1"/>
  <c r="BC417" i="1"/>
  <c r="BD417" i="1"/>
  <c r="BE417" i="1"/>
  <c r="BF417" i="1"/>
  <c r="BG417" i="1"/>
  <c r="BH417" i="1"/>
  <c r="BI417" i="1"/>
  <c r="BB418" i="1"/>
  <c r="BC418" i="1"/>
  <c r="BD418" i="1"/>
  <c r="BE418" i="1"/>
  <c r="BF418" i="1"/>
  <c r="BG418" i="1"/>
  <c r="BH418" i="1"/>
  <c r="BI418" i="1"/>
  <c r="BB419" i="1"/>
  <c r="BC419" i="1"/>
  <c r="BD419" i="1"/>
  <c r="BE419" i="1"/>
  <c r="BF419" i="1"/>
  <c r="BG419" i="1"/>
  <c r="BH419" i="1"/>
  <c r="BI419" i="1"/>
  <c r="BB420" i="1"/>
  <c r="BC420" i="1"/>
  <c r="BD420" i="1"/>
  <c r="BE420" i="1"/>
  <c r="BF420" i="1"/>
  <c r="BG420" i="1"/>
  <c r="BH420" i="1"/>
  <c r="BI420" i="1"/>
  <c r="BB421" i="1"/>
  <c r="BC421" i="1"/>
  <c r="BD421" i="1"/>
  <c r="BE421" i="1"/>
  <c r="BF421" i="1"/>
  <c r="BG421" i="1"/>
  <c r="BH421" i="1"/>
  <c r="BI421" i="1"/>
  <c r="BB422" i="1"/>
  <c r="BC422" i="1"/>
  <c r="BD422" i="1"/>
  <c r="BE422" i="1"/>
  <c r="BF422" i="1"/>
  <c r="BG422" i="1"/>
  <c r="BH422" i="1"/>
  <c r="BI422" i="1"/>
  <c r="BB423" i="1"/>
  <c r="BC423" i="1"/>
  <c r="BD423" i="1"/>
  <c r="BE423" i="1"/>
  <c r="BF423" i="1"/>
  <c r="BG423" i="1"/>
  <c r="BH423" i="1"/>
  <c r="BI423" i="1"/>
  <c r="BB424" i="1"/>
  <c r="BC424" i="1"/>
  <c r="BD424" i="1"/>
  <c r="BE424" i="1"/>
  <c r="BF424" i="1"/>
  <c r="BG424" i="1"/>
  <c r="BH424" i="1"/>
  <c r="BI424" i="1"/>
  <c r="BB425" i="1"/>
  <c r="BC425" i="1"/>
  <c r="BD425" i="1"/>
  <c r="BE425" i="1"/>
  <c r="BF425" i="1"/>
  <c r="BG425" i="1"/>
  <c r="BH425" i="1"/>
  <c r="BI425" i="1"/>
  <c r="BB426" i="1"/>
  <c r="BC426" i="1"/>
  <c r="BD426" i="1"/>
  <c r="BE426" i="1"/>
  <c r="BF426" i="1"/>
  <c r="BG426" i="1"/>
  <c r="BH426" i="1"/>
  <c r="BI426" i="1"/>
  <c r="BB427" i="1"/>
  <c r="BC427" i="1"/>
  <c r="BD427" i="1"/>
  <c r="BE427" i="1"/>
  <c r="BF427" i="1"/>
  <c r="BG427" i="1"/>
  <c r="BH427" i="1"/>
  <c r="BI427" i="1"/>
  <c r="BB428" i="1"/>
  <c r="BC428" i="1"/>
  <c r="BD428" i="1"/>
  <c r="BE428" i="1"/>
  <c r="BF428" i="1"/>
  <c r="BG428" i="1"/>
  <c r="BH428" i="1"/>
  <c r="BI428" i="1"/>
  <c r="BB429" i="1"/>
  <c r="BC429" i="1"/>
  <c r="BD429" i="1"/>
  <c r="BE429" i="1"/>
  <c r="BF429" i="1"/>
  <c r="BG429" i="1"/>
  <c r="BH429" i="1"/>
  <c r="BI429" i="1"/>
  <c r="BB430" i="1"/>
  <c r="BC430" i="1"/>
  <c r="BD430" i="1"/>
  <c r="BE430" i="1"/>
  <c r="BF430" i="1"/>
  <c r="BG430" i="1"/>
  <c r="BH430" i="1"/>
  <c r="BI430" i="1"/>
  <c r="BB431" i="1"/>
  <c r="BC431" i="1"/>
  <c r="BD431" i="1"/>
  <c r="BE431" i="1"/>
  <c r="BF431" i="1"/>
  <c r="BG431" i="1"/>
  <c r="BH431" i="1"/>
  <c r="BI431" i="1"/>
  <c r="BB432" i="1"/>
  <c r="BC432" i="1"/>
  <c r="BD432" i="1"/>
  <c r="BE432" i="1"/>
  <c r="BF432" i="1"/>
  <c r="BG432" i="1"/>
  <c r="BH432" i="1"/>
  <c r="BI432" i="1"/>
  <c r="BB433" i="1"/>
  <c r="BC433" i="1"/>
  <c r="BD433" i="1"/>
  <c r="BE433" i="1"/>
  <c r="BF433" i="1"/>
  <c r="BG433" i="1"/>
  <c r="BH433" i="1"/>
  <c r="BI433" i="1"/>
  <c r="BB434" i="1"/>
  <c r="BC434" i="1"/>
  <c r="BD434" i="1"/>
  <c r="BE434" i="1"/>
  <c r="BF434" i="1"/>
  <c r="BG434" i="1"/>
  <c r="BH434" i="1"/>
  <c r="BI434" i="1"/>
  <c r="BB435" i="1"/>
  <c r="BC435" i="1"/>
  <c r="BD435" i="1"/>
  <c r="BE435" i="1"/>
  <c r="BF435" i="1"/>
  <c r="BG435" i="1"/>
  <c r="BH435" i="1"/>
  <c r="BI435" i="1"/>
  <c r="BB436" i="1"/>
  <c r="BC436" i="1"/>
  <c r="BD436" i="1"/>
  <c r="BE436" i="1"/>
  <c r="BF436" i="1"/>
  <c r="BG436" i="1"/>
  <c r="BH436" i="1"/>
  <c r="BI436" i="1"/>
  <c r="BB437" i="1"/>
  <c r="BC437" i="1"/>
  <c r="BD437" i="1"/>
  <c r="BE437" i="1"/>
  <c r="BF437" i="1"/>
  <c r="BG437" i="1"/>
  <c r="BH437" i="1"/>
  <c r="BI437" i="1"/>
  <c r="BB438" i="1"/>
  <c r="BC438" i="1"/>
  <c r="BD438" i="1"/>
  <c r="BE438" i="1"/>
  <c r="BF438" i="1"/>
  <c r="BG438" i="1"/>
  <c r="BH438" i="1"/>
  <c r="BI438" i="1"/>
  <c r="BB439" i="1"/>
  <c r="BC439" i="1"/>
  <c r="BD439" i="1"/>
  <c r="BE439" i="1"/>
  <c r="BF439" i="1"/>
  <c r="BG439" i="1"/>
  <c r="BH439" i="1"/>
  <c r="BI439" i="1"/>
  <c r="BB440" i="1"/>
  <c r="BC440" i="1"/>
  <c r="BD440" i="1"/>
  <c r="BE440" i="1"/>
  <c r="BF440" i="1"/>
  <c r="BG440" i="1"/>
  <c r="BH440" i="1"/>
  <c r="BI440" i="1"/>
  <c r="BB441" i="1"/>
  <c r="BC441" i="1"/>
  <c r="BD441" i="1"/>
  <c r="BE441" i="1"/>
  <c r="BF441" i="1"/>
  <c r="BG441" i="1"/>
  <c r="BH441" i="1"/>
  <c r="BI441" i="1"/>
  <c r="BB442" i="1"/>
  <c r="BC442" i="1"/>
  <c r="BD442" i="1"/>
  <c r="BE442" i="1"/>
  <c r="BF442" i="1"/>
  <c r="BG442" i="1"/>
  <c r="BH442" i="1"/>
  <c r="BI442" i="1"/>
  <c r="BB443" i="1"/>
  <c r="BC443" i="1"/>
  <c r="BD443" i="1"/>
  <c r="BE443" i="1"/>
  <c r="BF443" i="1"/>
  <c r="BG443" i="1"/>
  <c r="BH443" i="1"/>
  <c r="BI443" i="1"/>
  <c r="BB444" i="1"/>
  <c r="BC444" i="1"/>
  <c r="BD444" i="1"/>
  <c r="BE444" i="1"/>
  <c r="BF444" i="1"/>
  <c r="BG444" i="1"/>
  <c r="BH444" i="1"/>
  <c r="BI444" i="1"/>
  <c r="BB445" i="1"/>
  <c r="BC445" i="1"/>
  <c r="BD445" i="1"/>
  <c r="BE445" i="1"/>
  <c r="BF445" i="1"/>
  <c r="BG445" i="1"/>
  <c r="BH445" i="1"/>
  <c r="BI445" i="1"/>
  <c r="BB446" i="1"/>
  <c r="BC446" i="1"/>
  <c r="BD446" i="1"/>
  <c r="BE446" i="1"/>
  <c r="BF446" i="1"/>
  <c r="BG446" i="1"/>
  <c r="BH446" i="1"/>
  <c r="BI446" i="1"/>
  <c r="BB447" i="1"/>
  <c r="BC447" i="1"/>
  <c r="BD447" i="1"/>
  <c r="BE447" i="1"/>
  <c r="BF447" i="1"/>
  <c r="BG447" i="1"/>
  <c r="BH447" i="1"/>
  <c r="BI447" i="1"/>
  <c r="BB448" i="1"/>
  <c r="BC448" i="1"/>
  <c r="BD448" i="1"/>
  <c r="BE448" i="1"/>
  <c r="BF448" i="1"/>
  <c r="BG448" i="1"/>
  <c r="BH448" i="1"/>
  <c r="BI448" i="1"/>
  <c r="BB449" i="1"/>
  <c r="BC449" i="1"/>
  <c r="BD449" i="1"/>
  <c r="BE449" i="1"/>
  <c r="BF449" i="1"/>
  <c r="BG449" i="1"/>
  <c r="BH449" i="1"/>
  <c r="BI449" i="1"/>
  <c r="BB450" i="1"/>
  <c r="BC450" i="1"/>
  <c r="BD450" i="1"/>
  <c r="BE450" i="1"/>
  <c r="BF450" i="1"/>
  <c r="BG450" i="1"/>
  <c r="BH450" i="1"/>
  <c r="BI450" i="1"/>
  <c r="BB451" i="1"/>
  <c r="BC451" i="1"/>
  <c r="BD451" i="1"/>
  <c r="BE451" i="1"/>
  <c r="BF451" i="1"/>
  <c r="BG451" i="1"/>
  <c r="BH451" i="1"/>
  <c r="BI451" i="1"/>
  <c r="BB452" i="1"/>
  <c r="BC452" i="1"/>
  <c r="BD452" i="1"/>
  <c r="BE452" i="1"/>
  <c r="BF452" i="1"/>
  <c r="BG452" i="1"/>
  <c r="BH452" i="1"/>
  <c r="BI452" i="1"/>
  <c r="BB453" i="1"/>
  <c r="BC453" i="1"/>
  <c r="BD453" i="1"/>
  <c r="BE453" i="1"/>
  <c r="BF453" i="1"/>
  <c r="BG453" i="1"/>
  <c r="BH453" i="1"/>
  <c r="BI453" i="1"/>
  <c r="BB454" i="1"/>
  <c r="BC454" i="1"/>
  <c r="BD454" i="1"/>
  <c r="BE454" i="1"/>
  <c r="BF454" i="1"/>
  <c r="BG454" i="1"/>
  <c r="BH454" i="1"/>
  <c r="BI454" i="1"/>
  <c r="BB455" i="1"/>
  <c r="BC455" i="1"/>
  <c r="BD455" i="1"/>
  <c r="BE455" i="1"/>
  <c r="BF455" i="1"/>
  <c r="BG455" i="1"/>
  <c r="BH455" i="1"/>
  <c r="BI455" i="1"/>
  <c r="BB456" i="1"/>
  <c r="BC456" i="1"/>
  <c r="BD456" i="1"/>
  <c r="BE456" i="1"/>
  <c r="BF456" i="1"/>
  <c r="BG456" i="1"/>
  <c r="BH456" i="1"/>
  <c r="BI456" i="1"/>
  <c r="BB457" i="1"/>
  <c r="BC457" i="1"/>
  <c r="BD457" i="1"/>
  <c r="BE457" i="1"/>
  <c r="BF457" i="1"/>
  <c r="BG457" i="1"/>
  <c r="BH457" i="1"/>
  <c r="BI457" i="1"/>
  <c r="BB458" i="1"/>
  <c r="BC458" i="1"/>
  <c r="BD458" i="1"/>
  <c r="BE458" i="1"/>
  <c r="BF458" i="1"/>
  <c r="BG458" i="1"/>
  <c r="BH458" i="1"/>
  <c r="BI458" i="1"/>
  <c r="BB459" i="1"/>
  <c r="BC459" i="1"/>
  <c r="BD459" i="1"/>
  <c r="BE459" i="1"/>
  <c r="BF459" i="1"/>
  <c r="BG459" i="1"/>
  <c r="BH459" i="1"/>
  <c r="BI459" i="1"/>
  <c r="BB460" i="1"/>
  <c r="BC460" i="1"/>
  <c r="BD460" i="1"/>
  <c r="BE460" i="1"/>
  <c r="BF460" i="1"/>
  <c r="BG460" i="1"/>
  <c r="BH460" i="1"/>
  <c r="BI460" i="1"/>
  <c r="BB461" i="1"/>
  <c r="BC461" i="1"/>
  <c r="BD461" i="1"/>
  <c r="BE461" i="1"/>
  <c r="BF461" i="1"/>
  <c r="BG461" i="1"/>
  <c r="BH461" i="1"/>
  <c r="BI461" i="1"/>
  <c r="BB462" i="1"/>
  <c r="BC462" i="1"/>
  <c r="BD462" i="1"/>
  <c r="BE462" i="1"/>
  <c r="BF462" i="1"/>
  <c r="BG462" i="1"/>
  <c r="BH462" i="1"/>
  <c r="BI462" i="1"/>
  <c r="BB463" i="1"/>
  <c r="BC463" i="1"/>
  <c r="BD463" i="1"/>
  <c r="BE463" i="1"/>
  <c r="BF463" i="1"/>
  <c r="BG463" i="1"/>
  <c r="BH463" i="1"/>
  <c r="BI463" i="1"/>
  <c r="BB464" i="1"/>
  <c r="BC464" i="1"/>
  <c r="BD464" i="1"/>
  <c r="BE464" i="1"/>
  <c r="BF464" i="1"/>
  <c r="BG464" i="1"/>
  <c r="BH464" i="1"/>
  <c r="BI464" i="1"/>
  <c r="BB465" i="1"/>
  <c r="BC465" i="1"/>
  <c r="BD465" i="1"/>
  <c r="BE465" i="1"/>
  <c r="BF465" i="1"/>
  <c r="BG465" i="1"/>
  <c r="BH465" i="1"/>
  <c r="BI465" i="1"/>
  <c r="BB466" i="1"/>
  <c r="BC466" i="1"/>
  <c r="BD466" i="1"/>
  <c r="BE466" i="1"/>
  <c r="BF466" i="1"/>
  <c r="BG466" i="1"/>
  <c r="BH466" i="1"/>
  <c r="BI466" i="1"/>
  <c r="BB467" i="1"/>
  <c r="BC467" i="1"/>
  <c r="BD467" i="1"/>
  <c r="BE467" i="1"/>
  <c r="BF467" i="1"/>
  <c r="BG467" i="1"/>
  <c r="BH467" i="1"/>
  <c r="BI467" i="1"/>
  <c r="BB468" i="1"/>
  <c r="BC468" i="1"/>
  <c r="BD468" i="1"/>
  <c r="BE468" i="1"/>
  <c r="BF468" i="1"/>
  <c r="BG468" i="1"/>
  <c r="BH468" i="1"/>
  <c r="BI468" i="1"/>
  <c r="BB469" i="1"/>
  <c r="BC469" i="1"/>
  <c r="BD469" i="1"/>
  <c r="BE469" i="1"/>
  <c r="BF469" i="1"/>
  <c r="BG469" i="1"/>
  <c r="BH469" i="1"/>
  <c r="BI469" i="1"/>
  <c r="BB470" i="1"/>
  <c r="BC470" i="1"/>
  <c r="BD470" i="1"/>
  <c r="BE470" i="1"/>
  <c r="BF470" i="1"/>
  <c r="BG470" i="1"/>
  <c r="BH470" i="1"/>
  <c r="BI470" i="1"/>
  <c r="BB471" i="1"/>
  <c r="BC471" i="1"/>
  <c r="BD471" i="1"/>
  <c r="BE471" i="1"/>
  <c r="BF471" i="1"/>
  <c r="BG471" i="1"/>
  <c r="BH471" i="1"/>
  <c r="BI471" i="1"/>
  <c r="BB472" i="1"/>
  <c r="BC472" i="1"/>
  <c r="BD472" i="1"/>
  <c r="BE472" i="1"/>
  <c r="BF472" i="1"/>
  <c r="BG472" i="1"/>
  <c r="BH472" i="1"/>
  <c r="BI472" i="1"/>
  <c r="BB473" i="1"/>
  <c r="BC473" i="1"/>
  <c r="BD473" i="1"/>
  <c r="BE473" i="1"/>
  <c r="BF473" i="1"/>
  <c r="BG473" i="1"/>
  <c r="BH473" i="1"/>
  <c r="BI473" i="1"/>
  <c r="BB474" i="1"/>
  <c r="BC474" i="1"/>
  <c r="BD474" i="1"/>
  <c r="BE474" i="1"/>
  <c r="BF474" i="1"/>
  <c r="BG474" i="1"/>
  <c r="BH474" i="1"/>
  <c r="BI474" i="1"/>
  <c r="BB475" i="1"/>
  <c r="BC475" i="1"/>
  <c r="BD475" i="1"/>
  <c r="BE475" i="1"/>
  <c r="BF475" i="1"/>
  <c r="BG475" i="1"/>
  <c r="BH475" i="1"/>
  <c r="BI475" i="1"/>
  <c r="BB476" i="1"/>
  <c r="BC476" i="1"/>
  <c r="BD476" i="1"/>
  <c r="BE476" i="1"/>
  <c r="BF476" i="1"/>
  <c r="BG476" i="1"/>
  <c r="BH476" i="1"/>
  <c r="BI476" i="1"/>
  <c r="BB477" i="1"/>
  <c r="BC477" i="1"/>
  <c r="BD477" i="1"/>
  <c r="BE477" i="1"/>
  <c r="BF477" i="1"/>
  <c r="BG477" i="1"/>
  <c r="BH477" i="1"/>
  <c r="BI477" i="1"/>
  <c r="BB478" i="1"/>
  <c r="BC478" i="1"/>
  <c r="BD478" i="1"/>
  <c r="BE478" i="1"/>
  <c r="BF478" i="1"/>
  <c r="BG478" i="1"/>
  <c r="BH478" i="1"/>
  <c r="BI478" i="1"/>
  <c r="BB479" i="1"/>
  <c r="BC479" i="1"/>
  <c r="BD479" i="1"/>
  <c r="BE479" i="1"/>
  <c r="BF479" i="1"/>
  <c r="BG479" i="1"/>
  <c r="BH479" i="1"/>
  <c r="BI479" i="1"/>
  <c r="BB480" i="1"/>
  <c r="BC480" i="1"/>
  <c r="BD480" i="1"/>
  <c r="BE480" i="1"/>
  <c r="BF480" i="1"/>
  <c r="BG480" i="1"/>
  <c r="BH480" i="1"/>
  <c r="BI480" i="1"/>
  <c r="BB481" i="1"/>
  <c r="BC481" i="1"/>
  <c r="BD481" i="1"/>
  <c r="BE481" i="1"/>
  <c r="BF481" i="1"/>
  <c r="BG481" i="1"/>
  <c r="BH481" i="1"/>
  <c r="BI481" i="1"/>
  <c r="BB482" i="1"/>
  <c r="BC482" i="1"/>
  <c r="BD482" i="1"/>
  <c r="BE482" i="1"/>
  <c r="BF482" i="1"/>
  <c r="BG482" i="1"/>
  <c r="BH482" i="1"/>
  <c r="BI482" i="1"/>
  <c r="BB483" i="1"/>
  <c r="BC483" i="1"/>
  <c r="BD483" i="1"/>
  <c r="BE483" i="1"/>
  <c r="BF483" i="1"/>
  <c r="BG483" i="1"/>
  <c r="BH483" i="1"/>
  <c r="BI483" i="1"/>
  <c r="BB484" i="1"/>
  <c r="BC484" i="1"/>
  <c r="BD484" i="1"/>
  <c r="BE484" i="1"/>
  <c r="BF484" i="1"/>
  <c r="BG484" i="1"/>
  <c r="BH484" i="1"/>
  <c r="BI484" i="1"/>
  <c r="BB485" i="1"/>
  <c r="BC485" i="1"/>
  <c r="BD485" i="1"/>
  <c r="BE485" i="1"/>
  <c r="BF485" i="1"/>
  <c r="BG485" i="1"/>
  <c r="BH485" i="1"/>
  <c r="BI485" i="1"/>
  <c r="BB486" i="1"/>
  <c r="BC486" i="1"/>
  <c r="BD486" i="1"/>
  <c r="BE486" i="1"/>
  <c r="BF486" i="1"/>
  <c r="BG486" i="1"/>
  <c r="BH486" i="1"/>
  <c r="BI486" i="1"/>
  <c r="BB487" i="1"/>
  <c r="BC487" i="1"/>
  <c r="BD487" i="1"/>
  <c r="BE487" i="1"/>
  <c r="BF487" i="1"/>
  <c r="BG487" i="1"/>
  <c r="BH487" i="1"/>
  <c r="BI487" i="1"/>
  <c r="BB488" i="1"/>
  <c r="BC488" i="1"/>
  <c r="BD488" i="1"/>
  <c r="BE488" i="1"/>
  <c r="BF488" i="1"/>
  <c r="BG488" i="1"/>
  <c r="BH488" i="1"/>
  <c r="BI488" i="1"/>
  <c r="BB489" i="1"/>
  <c r="BC489" i="1"/>
  <c r="BD489" i="1"/>
  <c r="BE489" i="1"/>
  <c r="BF489" i="1"/>
  <c r="BG489" i="1"/>
  <c r="BH489" i="1"/>
  <c r="BI489" i="1"/>
  <c r="BB490" i="1"/>
  <c r="BC490" i="1"/>
  <c r="BD490" i="1"/>
  <c r="BE490" i="1"/>
  <c r="BF490" i="1"/>
  <c r="BG490" i="1"/>
  <c r="BH490" i="1"/>
  <c r="BI490" i="1"/>
  <c r="BB491" i="1"/>
  <c r="BC491" i="1"/>
  <c r="BD491" i="1"/>
  <c r="BE491" i="1"/>
  <c r="BF491" i="1"/>
  <c r="BG491" i="1"/>
  <c r="BH491" i="1"/>
  <c r="BI491" i="1"/>
  <c r="BB492" i="1"/>
  <c r="BC492" i="1"/>
  <c r="BD492" i="1"/>
  <c r="BE492" i="1"/>
  <c r="BF492" i="1"/>
  <c r="BG492" i="1"/>
  <c r="BH492" i="1"/>
  <c r="BI492" i="1"/>
  <c r="BB493" i="1"/>
  <c r="BC493" i="1"/>
  <c r="BD493" i="1"/>
  <c r="BE493" i="1"/>
  <c r="BF493" i="1"/>
  <c r="BG493" i="1"/>
  <c r="BH493" i="1"/>
  <c r="BI493" i="1"/>
  <c r="BB494" i="1"/>
  <c r="BC494" i="1"/>
  <c r="BD494" i="1"/>
  <c r="BE494" i="1"/>
  <c r="BF494" i="1"/>
  <c r="BG494" i="1"/>
  <c r="BH494" i="1"/>
  <c r="BI494" i="1"/>
  <c r="BB495" i="1"/>
  <c r="BC495" i="1"/>
  <c r="BD495" i="1"/>
  <c r="BE495" i="1"/>
  <c r="BF495" i="1"/>
  <c r="BG495" i="1"/>
  <c r="BH495" i="1"/>
  <c r="BI495" i="1"/>
  <c r="BB496" i="1"/>
  <c r="BC496" i="1"/>
  <c r="BD496" i="1"/>
  <c r="BE496" i="1"/>
  <c r="BF496" i="1"/>
  <c r="BG496" i="1"/>
  <c r="BH496" i="1"/>
  <c r="BI496" i="1"/>
  <c r="BB497" i="1"/>
  <c r="BC497" i="1"/>
  <c r="BD497" i="1"/>
  <c r="BE497" i="1"/>
  <c r="BF497" i="1"/>
  <c r="BG497" i="1"/>
  <c r="BH497" i="1"/>
  <c r="BI497" i="1"/>
  <c r="BB498" i="1"/>
  <c r="BC498" i="1"/>
  <c r="BD498" i="1"/>
  <c r="BE498" i="1"/>
  <c r="BF498" i="1"/>
  <c r="BG498" i="1"/>
  <c r="BH498" i="1"/>
  <c r="BI498" i="1"/>
  <c r="BB499" i="1"/>
  <c r="BC499" i="1"/>
  <c r="BD499" i="1"/>
  <c r="BE499" i="1"/>
  <c r="BF499" i="1"/>
  <c r="BG499" i="1"/>
  <c r="BH499" i="1"/>
  <c r="BI499" i="1"/>
  <c r="BB500" i="1"/>
  <c r="BC500" i="1"/>
  <c r="BD500" i="1"/>
  <c r="BE500" i="1"/>
  <c r="BF500" i="1"/>
  <c r="BG500" i="1"/>
  <c r="BH500" i="1"/>
  <c r="BI500" i="1"/>
  <c r="BB501" i="1"/>
  <c r="BC501" i="1"/>
  <c r="BD501" i="1"/>
  <c r="BE501" i="1"/>
  <c r="BF501" i="1"/>
  <c r="BG501" i="1"/>
  <c r="BH501" i="1"/>
  <c r="BI501" i="1"/>
  <c r="BB502" i="1"/>
  <c r="BC502" i="1"/>
  <c r="BD502" i="1"/>
  <c r="BE502" i="1"/>
  <c r="BF502" i="1"/>
  <c r="BG502" i="1"/>
  <c r="BH502" i="1"/>
  <c r="BI502" i="1"/>
  <c r="BB503" i="1"/>
  <c r="BC503" i="1"/>
  <c r="BD503" i="1"/>
  <c r="BE503" i="1"/>
  <c r="BF503" i="1"/>
  <c r="BG503" i="1"/>
  <c r="BH503" i="1"/>
  <c r="BI503" i="1"/>
  <c r="BB504" i="1"/>
  <c r="BC504" i="1"/>
  <c r="BD504" i="1"/>
  <c r="BE504" i="1"/>
  <c r="BF504" i="1"/>
  <c r="BG504" i="1"/>
  <c r="BH504" i="1"/>
  <c r="BI504" i="1"/>
  <c r="BB505" i="1"/>
  <c r="BC505" i="1"/>
  <c r="BD505" i="1"/>
  <c r="BE505" i="1"/>
  <c r="BF505" i="1"/>
  <c r="BG505" i="1"/>
  <c r="BH505" i="1"/>
  <c r="BI505" i="1"/>
  <c r="BB506" i="1"/>
  <c r="BC506" i="1"/>
  <c r="BD506" i="1"/>
  <c r="BE506" i="1"/>
  <c r="BF506" i="1"/>
  <c r="BG506" i="1"/>
  <c r="BH506" i="1"/>
  <c r="BI506" i="1"/>
  <c r="BB507" i="1"/>
  <c r="BC507" i="1"/>
  <c r="BD507" i="1"/>
  <c r="BE507" i="1"/>
  <c r="BF507" i="1"/>
  <c r="BG507" i="1"/>
  <c r="BH507" i="1"/>
  <c r="BI507" i="1"/>
  <c r="BB508" i="1"/>
  <c r="BC508" i="1"/>
  <c r="BD508" i="1"/>
  <c r="BE508" i="1"/>
  <c r="BF508" i="1"/>
  <c r="BG508" i="1"/>
  <c r="BH508" i="1"/>
  <c r="BI508" i="1"/>
  <c r="BB509" i="1"/>
  <c r="BC509" i="1"/>
  <c r="BD509" i="1"/>
  <c r="BE509" i="1"/>
  <c r="BF509" i="1"/>
  <c r="BG509" i="1"/>
  <c r="BH509" i="1"/>
  <c r="BI509" i="1"/>
  <c r="BB510" i="1"/>
  <c r="BC510" i="1"/>
  <c r="BD510" i="1"/>
  <c r="BE510" i="1"/>
  <c r="BF510" i="1"/>
  <c r="BG510" i="1"/>
  <c r="BH510" i="1"/>
  <c r="BI510" i="1"/>
  <c r="BB511" i="1"/>
  <c r="BC511" i="1"/>
  <c r="BD511" i="1"/>
  <c r="BE511" i="1"/>
  <c r="BF511" i="1"/>
  <c r="BG511" i="1"/>
  <c r="BH511" i="1"/>
  <c r="BI511" i="1"/>
  <c r="BB512" i="1"/>
  <c r="BC512" i="1"/>
  <c r="BD512" i="1"/>
  <c r="BE512" i="1"/>
  <c r="BF512" i="1"/>
  <c r="BG512" i="1"/>
  <c r="BH512" i="1"/>
  <c r="BI512" i="1"/>
  <c r="BB513" i="1"/>
  <c r="BC513" i="1"/>
  <c r="BD513" i="1"/>
  <c r="BE513" i="1"/>
  <c r="BF513" i="1"/>
  <c r="BG513" i="1"/>
  <c r="BH513" i="1"/>
  <c r="BI513" i="1"/>
  <c r="BB514" i="1"/>
  <c r="BC514" i="1"/>
  <c r="BD514" i="1"/>
  <c r="BE514" i="1"/>
  <c r="BF514" i="1"/>
  <c r="BG514" i="1"/>
  <c r="BH514" i="1"/>
  <c r="BI514" i="1"/>
  <c r="BB515" i="1"/>
  <c r="BC515" i="1"/>
  <c r="BD515" i="1"/>
  <c r="BE515" i="1"/>
  <c r="BF515" i="1"/>
  <c r="BG515" i="1"/>
  <c r="BH515" i="1"/>
  <c r="BI515" i="1"/>
  <c r="BB516" i="1"/>
  <c r="BC516" i="1"/>
  <c r="BD516" i="1"/>
  <c r="BE516" i="1"/>
  <c r="BF516" i="1"/>
  <c r="BG516" i="1"/>
  <c r="BH516" i="1"/>
  <c r="BI516" i="1"/>
  <c r="BB517" i="1"/>
  <c r="BC517" i="1"/>
  <c r="BD517" i="1"/>
  <c r="BE517" i="1"/>
  <c r="BF517" i="1"/>
  <c r="BG517" i="1"/>
  <c r="BH517" i="1"/>
  <c r="BI517" i="1"/>
  <c r="BB518" i="1"/>
  <c r="BC518" i="1"/>
  <c r="BD518" i="1"/>
  <c r="BE518" i="1"/>
  <c r="BF518" i="1"/>
  <c r="BG518" i="1"/>
  <c r="BH518" i="1"/>
  <c r="BI518" i="1"/>
  <c r="BB519" i="1"/>
  <c r="BC519" i="1"/>
  <c r="BD519" i="1"/>
  <c r="BE519" i="1"/>
  <c r="BF519" i="1"/>
  <c r="BG519" i="1"/>
  <c r="BH519" i="1"/>
  <c r="BI519" i="1"/>
  <c r="BB520" i="1"/>
  <c r="BC520" i="1"/>
  <c r="BD520" i="1"/>
  <c r="BE520" i="1"/>
  <c r="BF520" i="1"/>
  <c r="BG520" i="1"/>
  <c r="BH520" i="1"/>
  <c r="BI520" i="1"/>
  <c r="BB521" i="1"/>
  <c r="BC521" i="1"/>
  <c r="BD521" i="1"/>
  <c r="BE521" i="1"/>
  <c r="BF521" i="1"/>
  <c r="BG521" i="1"/>
  <c r="BH521" i="1"/>
  <c r="BI521" i="1"/>
  <c r="BB522" i="1"/>
  <c r="BC522" i="1"/>
  <c r="BD522" i="1"/>
  <c r="BE522" i="1"/>
  <c r="BF522" i="1"/>
  <c r="BG522" i="1"/>
  <c r="BH522" i="1"/>
  <c r="BI522" i="1"/>
  <c r="BB523" i="1"/>
  <c r="BC523" i="1"/>
  <c r="BD523" i="1"/>
  <c r="BE523" i="1"/>
  <c r="BF523" i="1"/>
  <c r="BG523" i="1"/>
  <c r="BH523" i="1"/>
  <c r="BI523" i="1"/>
  <c r="BB524" i="1"/>
  <c r="BC524" i="1"/>
  <c r="BD524" i="1"/>
  <c r="BE524" i="1"/>
  <c r="BF524" i="1"/>
  <c r="BG524" i="1"/>
  <c r="BH524" i="1"/>
  <c r="BI524" i="1"/>
  <c r="BB525" i="1"/>
  <c r="BC525" i="1"/>
  <c r="BD525" i="1"/>
  <c r="BE525" i="1"/>
  <c r="BF525" i="1"/>
  <c r="BG525" i="1"/>
  <c r="BH525" i="1"/>
  <c r="BI525" i="1"/>
  <c r="BB526" i="1"/>
  <c r="BC526" i="1"/>
  <c r="BD526" i="1"/>
  <c r="BE526" i="1"/>
  <c r="BF526" i="1"/>
  <c r="BG526" i="1"/>
  <c r="BH526" i="1"/>
  <c r="BI526" i="1"/>
  <c r="BB527" i="1"/>
  <c r="BC527" i="1"/>
  <c r="BD527" i="1"/>
  <c r="BE527" i="1"/>
  <c r="BF527" i="1"/>
  <c r="BG527" i="1"/>
  <c r="BH527" i="1"/>
  <c r="BI527" i="1"/>
  <c r="BB528" i="1"/>
  <c r="BC528" i="1"/>
  <c r="BD528" i="1"/>
  <c r="BE528" i="1"/>
  <c r="BF528" i="1"/>
  <c r="BG528" i="1"/>
  <c r="BH528" i="1"/>
  <c r="BI528" i="1"/>
  <c r="BB529" i="1"/>
  <c r="BC529" i="1"/>
  <c r="BD529" i="1"/>
  <c r="BE529" i="1"/>
  <c r="BF529" i="1"/>
  <c r="BG529" i="1"/>
  <c r="BH529" i="1"/>
  <c r="BI529" i="1"/>
  <c r="BB530" i="1"/>
  <c r="BC530" i="1"/>
  <c r="BD530" i="1"/>
  <c r="BE530" i="1"/>
  <c r="BF530" i="1"/>
  <c r="BG530" i="1"/>
  <c r="BH530" i="1"/>
  <c r="BI530" i="1"/>
  <c r="BB531" i="1"/>
  <c r="BC531" i="1"/>
  <c r="BD531" i="1"/>
  <c r="BE531" i="1"/>
  <c r="BF531" i="1"/>
  <c r="BG531" i="1"/>
  <c r="BH531" i="1"/>
  <c r="BI531" i="1"/>
  <c r="BB532" i="1"/>
  <c r="BC532" i="1"/>
  <c r="BD532" i="1"/>
  <c r="BE532" i="1"/>
  <c r="BF532" i="1"/>
  <c r="BG532" i="1"/>
  <c r="BH532" i="1"/>
  <c r="BI532" i="1"/>
  <c r="BB533" i="1"/>
  <c r="BC533" i="1"/>
  <c r="BD533" i="1"/>
  <c r="BE533" i="1"/>
  <c r="BF533" i="1"/>
  <c r="BG533" i="1"/>
  <c r="BH533" i="1"/>
  <c r="BI533" i="1"/>
  <c r="BB534" i="1"/>
  <c r="BC534" i="1"/>
  <c r="BD534" i="1"/>
  <c r="BE534" i="1"/>
  <c r="BF534" i="1"/>
  <c r="BG534" i="1"/>
  <c r="BH534" i="1"/>
  <c r="BI534" i="1"/>
  <c r="BB535" i="1"/>
  <c r="BC535" i="1"/>
  <c r="BD535" i="1"/>
  <c r="BE535" i="1"/>
  <c r="BF535" i="1"/>
  <c r="BG535" i="1"/>
  <c r="BH535" i="1"/>
  <c r="BI535" i="1"/>
  <c r="BB536" i="1"/>
  <c r="BC536" i="1"/>
  <c r="BD536" i="1"/>
  <c r="BE536" i="1"/>
  <c r="BF536" i="1"/>
  <c r="BG536" i="1"/>
  <c r="BH536" i="1"/>
  <c r="BI536" i="1"/>
  <c r="BB537" i="1"/>
  <c r="BC537" i="1"/>
  <c r="BD537" i="1"/>
  <c r="BE537" i="1"/>
  <c r="BF537" i="1"/>
  <c r="BG537" i="1"/>
  <c r="BH537" i="1"/>
  <c r="BI537" i="1"/>
  <c r="BB538" i="1"/>
  <c r="BC538" i="1"/>
  <c r="BD538" i="1"/>
  <c r="BE538" i="1"/>
  <c r="BF538" i="1"/>
  <c r="BG538" i="1"/>
  <c r="BH538" i="1"/>
  <c r="BI538" i="1"/>
  <c r="BB539" i="1"/>
  <c r="BC539" i="1"/>
  <c r="BD539" i="1"/>
  <c r="BE539" i="1"/>
  <c r="BF539" i="1"/>
  <c r="BG539" i="1"/>
  <c r="BH539" i="1"/>
  <c r="BI539" i="1"/>
  <c r="BB540" i="1"/>
  <c r="BC540" i="1"/>
  <c r="BD540" i="1"/>
  <c r="BE540" i="1"/>
  <c r="BF540" i="1"/>
  <c r="BG540" i="1"/>
  <c r="BH540" i="1"/>
  <c r="BI540" i="1"/>
  <c r="BB541" i="1"/>
  <c r="BC541" i="1"/>
  <c r="BD541" i="1"/>
  <c r="BE541" i="1"/>
  <c r="BF541" i="1"/>
  <c r="BG541" i="1"/>
  <c r="BH541" i="1"/>
  <c r="BI541" i="1"/>
  <c r="BB542" i="1"/>
  <c r="BC542" i="1"/>
  <c r="BD542" i="1"/>
  <c r="BE542" i="1"/>
  <c r="BF542" i="1"/>
  <c r="BG542" i="1"/>
  <c r="BH542" i="1"/>
  <c r="BI542" i="1"/>
  <c r="BB543" i="1"/>
  <c r="BC543" i="1"/>
  <c r="BD543" i="1"/>
  <c r="BE543" i="1"/>
  <c r="BF543" i="1"/>
  <c r="BG543" i="1"/>
  <c r="BH543" i="1"/>
  <c r="BI543" i="1"/>
  <c r="BB544" i="1"/>
  <c r="BC544" i="1"/>
  <c r="BD544" i="1"/>
  <c r="BE544" i="1"/>
  <c r="BF544" i="1"/>
  <c r="BG544" i="1"/>
  <c r="BH544" i="1"/>
  <c r="BI544" i="1"/>
  <c r="BB545" i="1"/>
  <c r="BC545" i="1"/>
  <c r="BD545" i="1"/>
  <c r="BE545" i="1"/>
  <c r="BF545" i="1"/>
  <c r="BG545" i="1"/>
  <c r="BH545" i="1"/>
  <c r="BI545" i="1"/>
  <c r="BB546" i="1"/>
  <c r="BC546" i="1"/>
  <c r="BD546" i="1"/>
  <c r="BE546" i="1"/>
  <c r="BF546" i="1"/>
  <c r="BG546" i="1"/>
  <c r="BH546" i="1"/>
  <c r="BI546" i="1"/>
  <c r="BB547" i="1"/>
  <c r="BC547" i="1"/>
  <c r="BD547" i="1"/>
  <c r="BE547" i="1"/>
  <c r="BF547" i="1"/>
  <c r="BG547" i="1"/>
  <c r="BH547" i="1"/>
  <c r="BI547" i="1"/>
  <c r="BB548" i="1"/>
  <c r="BC548" i="1"/>
  <c r="BD548" i="1"/>
  <c r="BE548" i="1"/>
  <c r="BF548" i="1"/>
  <c r="BG548" i="1"/>
  <c r="BH548" i="1"/>
  <c r="BI548" i="1"/>
  <c r="BB549" i="1"/>
  <c r="BC549" i="1"/>
  <c r="BD549" i="1"/>
  <c r="BE549" i="1"/>
  <c r="BF549" i="1"/>
  <c r="BG549" i="1"/>
  <c r="BH549" i="1"/>
  <c r="BI549" i="1"/>
  <c r="BB550" i="1"/>
  <c r="BC550" i="1"/>
  <c r="BD550" i="1"/>
  <c r="BE550" i="1"/>
  <c r="BF550" i="1"/>
  <c r="BG550" i="1"/>
  <c r="BH550" i="1"/>
  <c r="BI550" i="1"/>
  <c r="BB551" i="1"/>
  <c r="BC551" i="1"/>
  <c r="BD551" i="1"/>
  <c r="BE551" i="1"/>
  <c r="BF551" i="1"/>
  <c r="BG551" i="1"/>
  <c r="BH551" i="1"/>
  <c r="BI551" i="1"/>
  <c r="BB552" i="1"/>
  <c r="BC552" i="1"/>
  <c r="BD552" i="1"/>
  <c r="BE552" i="1"/>
  <c r="BF552" i="1"/>
  <c r="BG552" i="1"/>
  <c r="BH552" i="1"/>
  <c r="BI552" i="1"/>
  <c r="BB553" i="1"/>
  <c r="BC553" i="1"/>
  <c r="BD553" i="1"/>
  <c r="BE553" i="1"/>
  <c r="BF553" i="1"/>
  <c r="BG553" i="1"/>
  <c r="BH553" i="1"/>
  <c r="BI553" i="1"/>
  <c r="BB554" i="1"/>
  <c r="BC554" i="1"/>
  <c r="BD554" i="1"/>
  <c r="BE554" i="1"/>
  <c r="BF554" i="1"/>
  <c r="BG554" i="1"/>
  <c r="BH554" i="1"/>
  <c r="BI554" i="1"/>
  <c r="BB555" i="1"/>
  <c r="BC555" i="1"/>
  <c r="BD555" i="1"/>
  <c r="BE555" i="1"/>
  <c r="BF555" i="1"/>
  <c r="BG555" i="1"/>
  <c r="BH555" i="1"/>
  <c r="BI555" i="1"/>
  <c r="BB556" i="1"/>
  <c r="BC556" i="1"/>
  <c r="BD556" i="1"/>
  <c r="BE556" i="1"/>
  <c r="BF556" i="1"/>
  <c r="BG556" i="1"/>
  <c r="BH556" i="1"/>
  <c r="BI556" i="1"/>
  <c r="BB557" i="1"/>
  <c r="BC557" i="1"/>
  <c r="BD557" i="1"/>
  <c r="BE557" i="1"/>
  <c r="BF557" i="1"/>
  <c r="BG557" i="1"/>
  <c r="BH557" i="1"/>
  <c r="BI557" i="1"/>
  <c r="BB558" i="1"/>
  <c r="BC558" i="1"/>
  <c r="BD558" i="1"/>
  <c r="BE558" i="1"/>
  <c r="BF558" i="1"/>
  <c r="BG558" i="1"/>
  <c r="BH558" i="1"/>
  <c r="BI558" i="1"/>
  <c r="BB559" i="1"/>
  <c r="BC559" i="1"/>
  <c r="BD559" i="1"/>
  <c r="BE559" i="1"/>
  <c r="BF559" i="1"/>
  <c r="BG559" i="1"/>
  <c r="BH559" i="1"/>
  <c r="BI559" i="1"/>
  <c r="BB560" i="1"/>
  <c r="BC560" i="1"/>
  <c r="BD560" i="1"/>
  <c r="BE560" i="1"/>
  <c r="BF560" i="1"/>
  <c r="BG560" i="1"/>
  <c r="BH560" i="1"/>
  <c r="BI560" i="1"/>
  <c r="BB561" i="1"/>
  <c r="BC561" i="1"/>
  <c r="BD561" i="1"/>
  <c r="BE561" i="1"/>
  <c r="BF561" i="1"/>
  <c r="BG561" i="1"/>
  <c r="BH561" i="1"/>
  <c r="BI561" i="1"/>
  <c r="BB562" i="1"/>
  <c r="BC562" i="1"/>
  <c r="BD562" i="1"/>
  <c r="BE562" i="1"/>
  <c r="BF562" i="1"/>
  <c r="BG562" i="1"/>
  <c r="BH562" i="1"/>
  <c r="BI562" i="1"/>
  <c r="BB563" i="1"/>
  <c r="BC563" i="1"/>
  <c r="BD563" i="1"/>
  <c r="BE563" i="1"/>
  <c r="BF563" i="1"/>
  <c r="BG563" i="1"/>
  <c r="BH563" i="1"/>
  <c r="BI563" i="1"/>
  <c r="BB564" i="1"/>
  <c r="BC564" i="1"/>
  <c r="BD564" i="1"/>
  <c r="BE564" i="1"/>
  <c r="BF564" i="1"/>
  <c r="BG564" i="1"/>
  <c r="BH564" i="1"/>
  <c r="BI564" i="1"/>
  <c r="BB565" i="1"/>
  <c r="BC565" i="1"/>
  <c r="BD565" i="1"/>
  <c r="BE565" i="1"/>
  <c r="BF565" i="1"/>
  <c r="BG565" i="1"/>
  <c r="BH565" i="1"/>
  <c r="BI565" i="1"/>
  <c r="BB566" i="1"/>
  <c r="BC566" i="1"/>
  <c r="BD566" i="1"/>
  <c r="BE566" i="1"/>
  <c r="BF566" i="1"/>
  <c r="BG566" i="1"/>
  <c r="BH566" i="1"/>
  <c r="BI566" i="1"/>
  <c r="BB567" i="1"/>
  <c r="BC567" i="1"/>
  <c r="BD567" i="1"/>
  <c r="BE567" i="1"/>
  <c r="BF567" i="1"/>
  <c r="BG567" i="1"/>
  <c r="BH567" i="1"/>
  <c r="BI567" i="1"/>
  <c r="BB568" i="1"/>
  <c r="BC568" i="1"/>
  <c r="BD568" i="1"/>
  <c r="BE568" i="1"/>
  <c r="BF568" i="1"/>
  <c r="BG568" i="1"/>
  <c r="BH568" i="1"/>
  <c r="BI568" i="1"/>
  <c r="BB569" i="1"/>
  <c r="BC569" i="1"/>
  <c r="BD569" i="1"/>
  <c r="BE569" i="1"/>
  <c r="BF569" i="1"/>
  <c r="BG569" i="1"/>
  <c r="BH569" i="1"/>
  <c r="BI569" i="1"/>
  <c r="BB570" i="1"/>
  <c r="BC570" i="1"/>
  <c r="BD570" i="1"/>
  <c r="BE570" i="1"/>
  <c r="BF570" i="1"/>
  <c r="BG570" i="1"/>
  <c r="BH570" i="1"/>
  <c r="BI570" i="1"/>
  <c r="BB571" i="1"/>
  <c r="BC571" i="1"/>
  <c r="BD571" i="1"/>
  <c r="BE571" i="1"/>
  <c r="BF571" i="1"/>
  <c r="BG571" i="1"/>
  <c r="BH571" i="1"/>
  <c r="BI571" i="1"/>
  <c r="BB572" i="1"/>
  <c r="BC572" i="1"/>
  <c r="BD572" i="1"/>
  <c r="BE572" i="1"/>
  <c r="BF572" i="1"/>
  <c r="BG572" i="1"/>
  <c r="BH572" i="1"/>
  <c r="BI572" i="1"/>
  <c r="BB573" i="1"/>
  <c r="BC573" i="1"/>
  <c r="BD573" i="1"/>
  <c r="BE573" i="1"/>
  <c r="BF573" i="1"/>
  <c r="BG573" i="1"/>
  <c r="BH573" i="1"/>
  <c r="BI573" i="1"/>
  <c r="BB574" i="1"/>
  <c r="BC574" i="1"/>
  <c r="BD574" i="1"/>
  <c r="BE574" i="1"/>
  <c r="BF574" i="1"/>
  <c r="BG574" i="1"/>
  <c r="BH574" i="1"/>
  <c r="BI574" i="1"/>
  <c r="BB575" i="1"/>
  <c r="BC575" i="1"/>
  <c r="BD575" i="1"/>
  <c r="BE575" i="1"/>
  <c r="BF575" i="1"/>
  <c r="BG575" i="1"/>
  <c r="BH575" i="1"/>
  <c r="BI575" i="1"/>
  <c r="BB576" i="1"/>
  <c r="BC576" i="1"/>
  <c r="BD576" i="1"/>
  <c r="BE576" i="1"/>
  <c r="BF576" i="1"/>
  <c r="BG576" i="1"/>
  <c r="BH576" i="1"/>
  <c r="BI576" i="1"/>
  <c r="BB577" i="1"/>
  <c r="BC577" i="1"/>
  <c r="BD577" i="1"/>
  <c r="BE577" i="1"/>
  <c r="BF577" i="1"/>
  <c r="BG577" i="1"/>
  <c r="BH577" i="1"/>
  <c r="BI577" i="1"/>
  <c r="BB578" i="1"/>
  <c r="BC578" i="1"/>
  <c r="BD578" i="1"/>
  <c r="BE578" i="1"/>
  <c r="BF578" i="1"/>
  <c r="BG578" i="1"/>
  <c r="BH578" i="1"/>
  <c r="BI578" i="1"/>
  <c r="BB579" i="1"/>
  <c r="BC579" i="1"/>
  <c r="BD579" i="1"/>
  <c r="BE579" i="1"/>
  <c r="BF579" i="1"/>
  <c r="BG579" i="1"/>
  <c r="BH579" i="1"/>
  <c r="BI579" i="1"/>
  <c r="BB580" i="1"/>
  <c r="BC580" i="1"/>
  <c r="BD580" i="1"/>
  <c r="BE580" i="1"/>
  <c r="BF580" i="1"/>
  <c r="BG580" i="1"/>
  <c r="BH580" i="1"/>
  <c r="BI580" i="1"/>
  <c r="BB581" i="1"/>
  <c r="BC581" i="1"/>
  <c r="BD581" i="1"/>
  <c r="BE581" i="1"/>
  <c r="BF581" i="1"/>
  <c r="BG581" i="1"/>
  <c r="BH581" i="1"/>
  <c r="BI581" i="1"/>
  <c r="BB582" i="1"/>
  <c r="BC582" i="1"/>
  <c r="BD582" i="1"/>
  <c r="BE582" i="1"/>
  <c r="BF582" i="1"/>
  <c r="BG582" i="1"/>
  <c r="BH582" i="1"/>
  <c r="BI582" i="1"/>
  <c r="BB583" i="1"/>
  <c r="BC583" i="1"/>
  <c r="BD583" i="1"/>
  <c r="BE583" i="1"/>
  <c r="BF583" i="1"/>
  <c r="BG583" i="1"/>
  <c r="BH583" i="1"/>
  <c r="BI583" i="1"/>
  <c r="BB584" i="1"/>
  <c r="BC584" i="1"/>
  <c r="BD584" i="1"/>
  <c r="BE584" i="1"/>
  <c r="BF584" i="1"/>
  <c r="BG584" i="1"/>
  <c r="BH584" i="1"/>
  <c r="BI584" i="1"/>
  <c r="BB585" i="1"/>
  <c r="BC585" i="1"/>
  <c r="BD585" i="1"/>
  <c r="BE585" i="1"/>
  <c r="BF585" i="1"/>
  <c r="BG585" i="1"/>
  <c r="BH585" i="1"/>
  <c r="BI585" i="1"/>
  <c r="BB586" i="1"/>
  <c r="BC586" i="1"/>
  <c r="BD586" i="1"/>
  <c r="BE586" i="1"/>
  <c r="BF586" i="1"/>
  <c r="BG586" i="1"/>
  <c r="BH586" i="1"/>
  <c r="BI586" i="1"/>
  <c r="BB587" i="1"/>
  <c r="BC587" i="1"/>
  <c r="BD587" i="1"/>
  <c r="BE587" i="1"/>
  <c r="BF587" i="1"/>
  <c r="BG587" i="1"/>
  <c r="BH587" i="1"/>
  <c r="BI587" i="1"/>
  <c r="BB588" i="1"/>
  <c r="BC588" i="1"/>
  <c r="BD588" i="1"/>
  <c r="BE588" i="1"/>
  <c r="BF588" i="1"/>
  <c r="BG588" i="1"/>
  <c r="BH588" i="1"/>
  <c r="BI588" i="1"/>
  <c r="BB589" i="1"/>
  <c r="BC589" i="1"/>
  <c r="BD589" i="1"/>
  <c r="BE589" i="1"/>
  <c r="BF589" i="1"/>
  <c r="BG589" i="1"/>
  <c r="BH589" i="1"/>
  <c r="BI589" i="1"/>
  <c r="BB590" i="1"/>
  <c r="BC590" i="1"/>
  <c r="BD590" i="1"/>
  <c r="BE590" i="1"/>
  <c r="BF590" i="1"/>
  <c r="BG590" i="1"/>
  <c r="BH590" i="1"/>
  <c r="BI590" i="1"/>
  <c r="BB591" i="1"/>
  <c r="BC591" i="1"/>
  <c r="BD591" i="1"/>
  <c r="BE591" i="1"/>
  <c r="BF591" i="1"/>
  <c r="BG591" i="1"/>
  <c r="BH591" i="1"/>
  <c r="BI591" i="1"/>
  <c r="BB592" i="1"/>
  <c r="BC592" i="1"/>
  <c r="BD592" i="1"/>
  <c r="BE592" i="1"/>
  <c r="BF592" i="1"/>
  <c r="BG592" i="1"/>
  <c r="BH592" i="1"/>
  <c r="BI592" i="1"/>
  <c r="BB593" i="1"/>
  <c r="BC593" i="1"/>
  <c r="BD593" i="1"/>
  <c r="BE593" i="1"/>
  <c r="BF593" i="1"/>
  <c r="BG593" i="1"/>
  <c r="BH593" i="1"/>
  <c r="BI593" i="1"/>
  <c r="BB594" i="1"/>
  <c r="BC594" i="1"/>
  <c r="BD594" i="1"/>
  <c r="BE594" i="1"/>
  <c r="BF594" i="1"/>
  <c r="BG594" i="1"/>
  <c r="BH594" i="1"/>
  <c r="BI594" i="1"/>
  <c r="BB595" i="1"/>
  <c r="BC595" i="1"/>
  <c r="BD595" i="1"/>
  <c r="BE595" i="1"/>
  <c r="BF595" i="1"/>
  <c r="BG595" i="1"/>
  <c r="BH595" i="1"/>
  <c r="BI595" i="1"/>
  <c r="BB596" i="1"/>
  <c r="BC596" i="1"/>
  <c r="BD596" i="1"/>
  <c r="BE596" i="1"/>
  <c r="BF596" i="1"/>
  <c r="BG596" i="1"/>
  <c r="BH596" i="1"/>
  <c r="BI596" i="1"/>
  <c r="BB597" i="1"/>
  <c r="BC597" i="1"/>
  <c r="BD597" i="1"/>
  <c r="BE597" i="1"/>
  <c r="BF597" i="1"/>
  <c r="BG597" i="1"/>
  <c r="BH597" i="1"/>
  <c r="BI597" i="1"/>
  <c r="BB598" i="1"/>
  <c r="BC598" i="1"/>
  <c r="BD598" i="1"/>
  <c r="BE598" i="1"/>
  <c r="BF598" i="1"/>
  <c r="BG598" i="1"/>
  <c r="BH598" i="1"/>
  <c r="BI598" i="1"/>
  <c r="BB599" i="1"/>
  <c r="BC599" i="1"/>
  <c r="BD599" i="1"/>
  <c r="BE599" i="1"/>
  <c r="BF599" i="1"/>
  <c r="BG599" i="1"/>
  <c r="BH599" i="1"/>
  <c r="BI599" i="1"/>
  <c r="BB600" i="1"/>
  <c r="BC600" i="1"/>
  <c r="BD600" i="1"/>
  <c r="BE600" i="1"/>
  <c r="BF600" i="1"/>
  <c r="BG600" i="1"/>
  <c r="BH600" i="1"/>
  <c r="BI600" i="1"/>
  <c r="BB601" i="1"/>
  <c r="BC601" i="1"/>
  <c r="BD601" i="1"/>
  <c r="BE601" i="1"/>
  <c r="BF601" i="1"/>
  <c r="BG601" i="1"/>
  <c r="BH601" i="1"/>
  <c r="BI601" i="1"/>
  <c r="BB602" i="1"/>
  <c r="BC602" i="1"/>
  <c r="BD602" i="1"/>
  <c r="BE602" i="1"/>
  <c r="BF602" i="1"/>
  <c r="BG602" i="1"/>
  <c r="BH602" i="1"/>
  <c r="BI602" i="1"/>
  <c r="BI4" i="1"/>
  <c r="BH4" i="1"/>
  <c r="BG4" i="1"/>
  <c r="X638" i="1" s="1"/>
  <c r="BF4" i="1"/>
  <c r="BE4" i="1"/>
  <c r="BD4" i="1"/>
  <c r="BC4" i="1"/>
  <c r="X637" i="1" s="1"/>
  <c r="BB4" i="1"/>
  <c r="AL5" i="1"/>
  <c r="AM5" i="1"/>
  <c r="AN5" i="1"/>
  <c r="AO5" i="1"/>
  <c r="AP5" i="1"/>
  <c r="AQ5" i="1"/>
  <c r="AR5" i="1"/>
  <c r="AS5" i="1"/>
  <c r="AL6" i="1"/>
  <c r="AM6" i="1"/>
  <c r="AN6" i="1"/>
  <c r="AO6" i="1"/>
  <c r="AP6" i="1"/>
  <c r="AQ6" i="1"/>
  <c r="AR6" i="1"/>
  <c r="AS6" i="1"/>
  <c r="AL7" i="1"/>
  <c r="AM7" i="1"/>
  <c r="AN7" i="1"/>
  <c r="AO7" i="1"/>
  <c r="AP7" i="1"/>
  <c r="AQ7" i="1"/>
  <c r="AR7" i="1"/>
  <c r="AS7" i="1"/>
  <c r="AL8" i="1"/>
  <c r="AM8" i="1"/>
  <c r="AN8" i="1"/>
  <c r="AO8" i="1"/>
  <c r="AP8" i="1"/>
  <c r="AQ8" i="1"/>
  <c r="AR8" i="1"/>
  <c r="AS8" i="1"/>
  <c r="AL9" i="1"/>
  <c r="AM9" i="1"/>
  <c r="AN9" i="1"/>
  <c r="AO9" i="1"/>
  <c r="AP9" i="1"/>
  <c r="AQ9" i="1"/>
  <c r="AR9" i="1"/>
  <c r="AS9" i="1"/>
  <c r="AL10" i="1"/>
  <c r="AM10" i="1"/>
  <c r="AN10" i="1"/>
  <c r="AO10" i="1"/>
  <c r="AP10" i="1"/>
  <c r="AQ10" i="1"/>
  <c r="AR10" i="1"/>
  <c r="AS10" i="1"/>
  <c r="AL11" i="1"/>
  <c r="AM11" i="1"/>
  <c r="AN11" i="1"/>
  <c r="AO11" i="1"/>
  <c r="AP11" i="1"/>
  <c r="AQ11" i="1"/>
  <c r="AR11" i="1"/>
  <c r="AS11" i="1"/>
  <c r="AL12" i="1"/>
  <c r="AM12" i="1"/>
  <c r="AN12" i="1"/>
  <c r="AO12" i="1"/>
  <c r="AP12" i="1"/>
  <c r="AQ12" i="1"/>
  <c r="AR12" i="1"/>
  <c r="AS12" i="1"/>
  <c r="AL13" i="1"/>
  <c r="AM13" i="1"/>
  <c r="AN13" i="1"/>
  <c r="AO13" i="1"/>
  <c r="AP13" i="1"/>
  <c r="AQ13" i="1"/>
  <c r="AR13" i="1"/>
  <c r="AS13" i="1"/>
  <c r="AL14" i="1"/>
  <c r="AM14" i="1"/>
  <c r="AN14" i="1"/>
  <c r="AO14" i="1"/>
  <c r="AP14" i="1"/>
  <c r="AQ14" i="1"/>
  <c r="AR14" i="1"/>
  <c r="AS14" i="1"/>
  <c r="AL15" i="1"/>
  <c r="AM15" i="1"/>
  <c r="AN15" i="1"/>
  <c r="AO15" i="1"/>
  <c r="AP15" i="1"/>
  <c r="AQ15" i="1"/>
  <c r="AR15" i="1"/>
  <c r="AS15" i="1"/>
  <c r="AL16" i="1"/>
  <c r="AM16" i="1"/>
  <c r="AN16" i="1"/>
  <c r="AO16" i="1"/>
  <c r="AP16" i="1"/>
  <c r="AQ16" i="1"/>
  <c r="AR16" i="1"/>
  <c r="AS16" i="1"/>
  <c r="AL17" i="1"/>
  <c r="AM17" i="1"/>
  <c r="AN17" i="1"/>
  <c r="AO17" i="1"/>
  <c r="AP17" i="1"/>
  <c r="AQ17" i="1"/>
  <c r="AR17" i="1"/>
  <c r="AS17" i="1"/>
  <c r="AL18" i="1"/>
  <c r="AM18" i="1"/>
  <c r="AN18" i="1"/>
  <c r="AO18" i="1"/>
  <c r="AP18" i="1"/>
  <c r="AQ18" i="1"/>
  <c r="AR18" i="1"/>
  <c r="AS18" i="1"/>
  <c r="AL19" i="1"/>
  <c r="AM19" i="1"/>
  <c r="AN19" i="1"/>
  <c r="AO19" i="1"/>
  <c r="AP19" i="1"/>
  <c r="AQ19" i="1"/>
  <c r="AR19" i="1"/>
  <c r="AS19" i="1"/>
  <c r="AL20" i="1"/>
  <c r="AM20" i="1"/>
  <c r="AN20" i="1"/>
  <c r="AO20" i="1"/>
  <c r="AP20" i="1"/>
  <c r="AQ20" i="1"/>
  <c r="AR20" i="1"/>
  <c r="AS20" i="1"/>
  <c r="AL21" i="1"/>
  <c r="AM21" i="1"/>
  <c r="AN21" i="1"/>
  <c r="AO21" i="1"/>
  <c r="AP21" i="1"/>
  <c r="AQ21" i="1"/>
  <c r="AR21" i="1"/>
  <c r="AS21" i="1"/>
  <c r="AL22" i="1"/>
  <c r="AM22" i="1"/>
  <c r="AN22" i="1"/>
  <c r="AO22" i="1"/>
  <c r="AP22" i="1"/>
  <c r="AQ22" i="1"/>
  <c r="AR22" i="1"/>
  <c r="AS22" i="1"/>
  <c r="AL23" i="1"/>
  <c r="AM23" i="1"/>
  <c r="AN23" i="1"/>
  <c r="AO23" i="1"/>
  <c r="AP23" i="1"/>
  <c r="AQ23" i="1"/>
  <c r="AR23" i="1"/>
  <c r="AS23" i="1"/>
  <c r="AL24" i="1"/>
  <c r="AM24" i="1"/>
  <c r="AN24" i="1"/>
  <c r="AO24" i="1"/>
  <c r="AP24" i="1"/>
  <c r="AQ24" i="1"/>
  <c r="AR24" i="1"/>
  <c r="AS24" i="1"/>
  <c r="AL25" i="1"/>
  <c r="AM25" i="1"/>
  <c r="AN25" i="1"/>
  <c r="AO25" i="1"/>
  <c r="AP25" i="1"/>
  <c r="AQ25" i="1"/>
  <c r="AR25" i="1"/>
  <c r="AS25" i="1"/>
  <c r="AL26" i="1"/>
  <c r="AM26" i="1"/>
  <c r="AN26" i="1"/>
  <c r="AO26" i="1"/>
  <c r="AP26" i="1"/>
  <c r="AQ26" i="1"/>
  <c r="AR26" i="1"/>
  <c r="AS26" i="1"/>
  <c r="AL27" i="1"/>
  <c r="AM27" i="1"/>
  <c r="AN27" i="1"/>
  <c r="AO27" i="1"/>
  <c r="AP27" i="1"/>
  <c r="AQ27" i="1"/>
  <c r="AR27" i="1"/>
  <c r="AS27" i="1"/>
  <c r="AL28" i="1"/>
  <c r="AM28" i="1"/>
  <c r="AN28" i="1"/>
  <c r="AO28" i="1"/>
  <c r="AP28" i="1"/>
  <c r="AQ28" i="1"/>
  <c r="AR28" i="1"/>
  <c r="AS28" i="1"/>
  <c r="AL29" i="1"/>
  <c r="AM29" i="1"/>
  <c r="AN29" i="1"/>
  <c r="AO29" i="1"/>
  <c r="AP29" i="1"/>
  <c r="AQ29" i="1"/>
  <c r="AR29" i="1"/>
  <c r="AS29" i="1"/>
  <c r="AL30" i="1"/>
  <c r="AM30" i="1"/>
  <c r="AN30" i="1"/>
  <c r="AO30" i="1"/>
  <c r="AP30" i="1"/>
  <c r="AQ30" i="1"/>
  <c r="AR30" i="1"/>
  <c r="AS30" i="1"/>
  <c r="AL31" i="1"/>
  <c r="AM31" i="1"/>
  <c r="AN31" i="1"/>
  <c r="AO31" i="1"/>
  <c r="AP31" i="1"/>
  <c r="AQ31" i="1"/>
  <c r="AR31" i="1"/>
  <c r="AS31" i="1"/>
  <c r="AL32" i="1"/>
  <c r="AM32" i="1"/>
  <c r="AN32" i="1"/>
  <c r="AO32" i="1"/>
  <c r="AP32" i="1"/>
  <c r="AQ32" i="1"/>
  <c r="AR32" i="1"/>
  <c r="AS32" i="1"/>
  <c r="AL33" i="1"/>
  <c r="AM33" i="1"/>
  <c r="AN33" i="1"/>
  <c r="AO33" i="1"/>
  <c r="AP33" i="1"/>
  <c r="AQ33" i="1"/>
  <c r="AR33" i="1"/>
  <c r="AS33" i="1"/>
  <c r="AL34" i="1"/>
  <c r="AM34" i="1"/>
  <c r="AN34" i="1"/>
  <c r="AO34" i="1"/>
  <c r="AP34" i="1"/>
  <c r="AQ34" i="1"/>
  <c r="AR34" i="1"/>
  <c r="AS34" i="1"/>
  <c r="AL35" i="1"/>
  <c r="AM35" i="1"/>
  <c r="AN35" i="1"/>
  <c r="AO35" i="1"/>
  <c r="AP35" i="1"/>
  <c r="AQ35" i="1"/>
  <c r="AR35" i="1"/>
  <c r="AS35" i="1"/>
  <c r="AL36" i="1"/>
  <c r="AM36" i="1"/>
  <c r="AN36" i="1"/>
  <c r="AO36" i="1"/>
  <c r="AP36" i="1"/>
  <c r="AQ36" i="1"/>
  <c r="AR36" i="1"/>
  <c r="AS36" i="1"/>
  <c r="AL37" i="1"/>
  <c r="AM37" i="1"/>
  <c r="AN37" i="1"/>
  <c r="AO37" i="1"/>
  <c r="AP37" i="1"/>
  <c r="AQ37" i="1"/>
  <c r="AR37" i="1"/>
  <c r="AS37" i="1"/>
  <c r="AL38" i="1"/>
  <c r="AM38" i="1"/>
  <c r="AN38" i="1"/>
  <c r="AO38" i="1"/>
  <c r="AP38" i="1"/>
  <c r="AQ38" i="1"/>
  <c r="AR38" i="1"/>
  <c r="AS38" i="1"/>
  <c r="AL39" i="1"/>
  <c r="AM39" i="1"/>
  <c r="AN39" i="1"/>
  <c r="AO39" i="1"/>
  <c r="AP39" i="1"/>
  <c r="AQ39" i="1"/>
  <c r="AR39" i="1"/>
  <c r="AS39" i="1"/>
  <c r="AL40" i="1"/>
  <c r="AM40" i="1"/>
  <c r="AN40" i="1"/>
  <c r="AO40" i="1"/>
  <c r="AP40" i="1"/>
  <c r="AQ40" i="1"/>
  <c r="AR40" i="1"/>
  <c r="AS40" i="1"/>
  <c r="AL41" i="1"/>
  <c r="AM41" i="1"/>
  <c r="AN41" i="1"/>
  <c r="AO41" i="1"/>
  <c r="AP41" i="1"/>
  <c r="AQ41" i="1"/>
  <c r="AR41" i="1"/>
  <c r="AS41" i="1"/>
  <c r="AL42" i="1"/>
  <c r="AM42" i="1"/>
  <c r="AN42" i="1"/>
  <c r="AO42" i="1"/>
  <c r="AP42" i="1"/>
  <c r="AQ42" i="1"/>
  <c r="AR42" i="1"/>
  <c r="AS42" i="1"/>
  <c r="AL43" i="1"/>
  <c r="AM43" i="1"/>
  <c r="AN43" i="1"/>
  <c r="AO43" i="1"/>
  <c r="AP43" i="1"/>
  <c r="AQ43" i="1"/>
  <c r="AR43" i="1"/>
  <c r="AS43" i="1"/>
  <c r="AL44" i="1"/>
  <c r="AM44" i="1"/>
  <c r="AN44" i="1"/>
  <c r="AO44" i="1"/>
  <c r="AP44" i="1"/>
  <c r="AQ44" i="1"/>
  <c r="AR44" i="1"/>
  <c r="AS44" i="1"/>
  <c r="AL45" i="1"/>
  <c r="AM45" i="1"/>
  <c r="AN45" i="1"/>
  <c r="AO45" i="1"/>
  <c r="AP45" i="1"/>
  <c r="AQ45" i="1"/>
  <c r="AR45" i="1"/>
  <c r="AS45" i="1"/>
  <c r="AL46" i="1"/>
  <c r="AM46" i="1"/>
  <c r="AN46" i="1"/>
  <c r="AO46" i="1"/>
  <c r="AP46" i="1"/>
  <c r="AQ46" i="1"/>
  <c r="AR46" i="1"/>
  <c r="AS46" i="1"/>
  <c r="AL47" i="1"/>
  <c r="AM47" i="1"/>
  <c r="AN47" i="1"/>
  <c r="AO47" i="1"/>
  <c r="AP47" i="1"/>
  <c r="AQ47" i="1"/>
  <c r="AR47" i="1"/>
  <c r="AS47" i="1"/>
  <c r="AL48" i="1"/>
  <c r="AM48" i="1"/>
  <c r="AN48" i="1"/>
  <c r="AO48" i="1"/>
  <c r="AP48" i="1"/>
  <c r="AQ48" i="1"/>
  <c r="AR48" i="1"/>
  <c r="AS48" i="1"/>
  <c r="AL49" i="1"/>
  <c r="AM49" i="1"/>
  <c r="AN49" i="1"/>
  <c r="AO49" i="1"/>
  <c r="AP49" i="1"/>
  <c r="AQ49" i="1"/>
  <c r="AR49" i="1"/>
  <c r="AS49" i="1"/>
  <c r="AL50" i="1"/>
  <c r="AM50" i="1"/>
  <c r="AN50" i="1"/>
  <c r="AO50" i="1"/>
  <c r="AP50" i="1"/>
  <c r="AQ50" i="1"/>
  <c r="AR50" i="1"/>
  <c r="AS50" i="1"/>
  <c r="AL51" i="1"/>
  <c r="AM51" i="1"/>
  <c r="AN51" i="1"/>
  <c r="AO51" i="1"/>
  <c r="AP51" i="1"/>
  <c r="AQ51" i="1"/>
  <c r="AR51" i="1"/>
  <c r="AS51" i="1"/>
  <c r="AL52" i="1"/>
  <c r="AM52" i="1"/>
  <c r="AN52" i="1"/>
  <c r="AO52" i="1"/>
  <c r="AP52" i="1"/>
  <c r="AQ52" i="1"/>
  <c r="AR52" i="1"/>
  <c r="AS52" i="1"/>
  <c r="AL53" i="1"/>
  <c r="AM53" i="1"/>
  <c r="AN53" i="1"/>
  <c r="AO53" i="1"/>
  <c r="AP53" i="1"/>
  <c r="AQ53" i="1"/>
  <c r="AR53" i="1"/>
  <c r="AS53" i="1"/>
  <c r="AL54" i="1"/>
  <c r="AM54" i="1"/>
  <c r="AN54" i="1"/>
  <c r="AO54" i="1"/>
  <c r="AP54" i="1"/>
  <c r="AQ54" i="1"/>
  <c r="AR54" i="1"/>
  <c r="AS54" i="1"/>
  <c r="AL55" i="1"/>
  <c r="AM55" i="1"/>
  <c r="AN55" i="1"/>
  <c r="AO55" i="1"/>
  <c r="AP55" i="1"/>
  <c r="AQ55" i="1"/>
  <c r="AR55" i="1"/>
  <c r="AS55" i="1"/>
  <c r="AL56" i="1"/>
  <c r="AM56" i="1"/>
  <c r="AN56" i="1"/>
  <c r="AO56" i="1"/>
  <c r="AP56" i="1"/>
  <c r="AQ56" i="1"/>
  <c r="AR56" i="1"/>
  <c r="AS56" i="1"/>
  <c r="AL57" i="1"/>
  <c r="AM57" i="1"/>
  <c r="AN57" i="1"/>
  <c r="AO57" i="1"/>
  <c r="AP57" i="1"/>
  <c r="AQ57" i="1"/>
  <c r="AR57" i="1"/>
  <c r="AS57" i="1"/>
  <c r="AL58" i="1"/>
  <c r="AM58" i="1"/>
  <c r="AN58" i="1"/>
  <c r="AO58" i="1"/>
  <c r="AP58" i="1"/>
  <c r="AQ58" i="1"/>
  <c r="AR58" i="1"/>
  <c r="AS58" i="1"/>
  <c r="AL59" i="1"/>
  <c r="AM59" i="1"/>
  <c r="AN59" i="1"/>
  <c r="AO59" i="1"/>
  <c r="AP59" i="1"/>
  <c r="AQ59" i="1"/>
  <c r="AR59" i="1"/>
  <c r="AS59" i="1"/>
  <c r="AL60" i="1"/>
  <c r="AM60" i="1"/>
  <c r="AN60" i="1"/>
  <c r="AO60" i="1"/>
  <c r="AP60" i="1"/>
  <c r="AQ60" i="1"/>
  <c r="AR60" i="1"/>
  <c r="AS60" i="1"/>
  <c r="AL61" i="1"/>
  <c r="AM61" i="1"/>
  <c r="AN61" i="1"/>
  <c r="AO61" i="1"/>
  <c r="AP61" i="1"/>
  <c r="AQ61" i="1"/>
  <c r="AR61" i="1"/>
  <c r="AS61" i="1"/>
  <c r="AL62" i="1"/>
  <c r="AM62" i="1"/>
  <c r="AN62" i="1"/>
  <c r="AO62" i="1"/>
  <c r="AP62" i="1"/>
  <c r="AQ62" i="1"/>
  <c r="AR62" i="1"/>
  <c r="AS62" i="1"/>
  <c r="AL63" i="1"/>
  <c r="AM63" i="1"/>
  <c r="AN63" i="1"/>
  <c r="AO63" i="1"/>
  <c r="AP63" i="1"/>
  <c r="AQ63" i="1"/>
  <c r="AR63" i="1"/>
  <c r="AS63" i="1"/>
  <c r="AL64" i="1"/>
  <c r="AM64" i="1"/>
  <c r="AN64" i="1"/>
  <c r="AO64" i="1"/>
  <c r="AP64" i="1"/>
  <c r="AQ64" i="1"/>
  <c r="AR64" i="1"/>
  <c r="AS64" i="1"/>
  <c r="AL65" i="1"/>
  <c r="AM65" i="1"/>
  <c r="AN65" i="1"/>
  <c r="AO65" i="1"/>
  <c r="AP65" i="1"/>
  <c r="AQ65" i="1"/>
  <c r="AR65" i="1"/>
  <c r="AS65" i="1"/>
  <c r="AL66" i="1"/>
  <c r="AM66" i="1"/>
  <c r="AN66" i="1"/>
  <c r="AO66" i="1"/>
  <c r="AP66" i="1"/>
  <c r="AQ66" i="1"/>
  <c r="AR66" i="1"/>
  <c r="AS66" i="1"/>
  <c r="AL67" i="1"/>
  <c r="AM67" i="1"/>
  <c r="AN67" i="1"/>
  <c r="AO67" i="1"/>
  <c r="AP67" i="1"/>
  <c r="AQ67" i="1"/>
  <c r="AR67" i="1"/>
  <c r="AS67" i="1"/>
  <c r="AL68" i="1"/>
  <c r="AM68" i="1"/>
  <c r="AN68" i="1"/>
  <c r="AO68" i="1"/>
  <c r="AP68" i="1"/>
  <c r="AQ68" i="1"/>
  <c r="AR68" i="1"/>
  <c r="AS68" i="1"/>
  <c r="AL69" i="1"/>
  <c r="AM69" i="1"/>
  <c r="AN69" i="1"/>
  <c r="AO69" i="1"/>
  <c r="AP69" i="1"/>
  <c r="AQ69" i="1"/>
  <c r="AR69" i="1"/>
  <c r="AS69" i="1"/>
  <c r="AL70" i="1"/>
  <c r="AM70" i="1"/>
  <c r="AN70" i="1"/>
  <c r="AO70" i="1"/>
  <c r="AP70" i="1"/>
  <c r="AQ70" i="1"/>
  <c r="AR70" i="1"/>
  <c r="AS70" i="1"/>
  <c r="AL71" i="1"/>
  <c r="AM71" i="1"/>
  <c r="AN71" i="1"/>
  <c r="AO71" i="1"/>
  <c r="AP71" i="1"/>
  <c r="AQ71" i="1"/>
  <c r="AR71" i="1"/>
  <c r="AS71" i="1"/>
  <c r="AL72" i="1"/>
  <c r="AM72" i="1"/>
  <c r="AN72" i="1"/>
  <c r="AO72" i="1"/>
  <c r="AP72" i="1"/>
  <c r="AQ72" i="1"/>
  <c r="AR72" i="1"/>
  <c r="AS72" i="1"/>
  <c r="AL73" i="1"/>
  <c r="AM73" i="1"/>
  <c r="AN73" i="1"/>
  <c r="AO73" i="1"/>
  <c r="AP73" i="1"/>
  <c r="AQ73" i="1"/>
  <c r="AR73" i="1"/>
  <c r="AS73" i="1"/>
  <c r="AL74" i="1"/>
  <c r="AM74" i="1"/>
  <c r="AN74" i="1"/>
  <c r="AO74" i="1"/>
  <c r="AP74" i="1"/>
  <c r="AQ74" i="1"/>
  <c r="AR74" i="1"/>
  <c r="AS74" i="1"/>
  <c r="AL75" i="1"/>
  <c r="AM75" i="1"/>
  <c r="AN75" i="1"/>
  <c r="AO75" i="1"/>
  <c r="AP75" i="1"/>
  <c r="AQ75" i="1"/>
  <c r="AR75" i="1"/>
  <c r="AS75" i="1"/>
  <c r="AL76" i="1"/>
  <c r="AM76" i="1"/>
  <c r="AN76" i="1"/>
  <c r="AO76" i="1"/>
  <c r="AP76" i="1"/>
  <c r="AQ76" i="1"/>
  <c r="AR76" i="1"/>
  <c r="AS76" i="1"/>
  <c r="AL77" i="1"/>
  <c r="AM77" i="1"/>
  <c r="AN77" i="1"/>
  <c r="AO77" i="1"/>
  <c r="AP77" i="1"/>
  <c r="AQ77" i="1"/>
  <c r="AR77" i="1"/>
  <c r="AS77" i="1"/>
  <c r="AL78" i="1"/>
  <c r="AM78" i="1"/>
  <c r="AN78" i="1"/>
  <c r="AO78" i="1"/>
  <c r="AP78" i="1"/>
  <c r="AQ78" i="1"/>
  <c r="AR78" i="1"/>
  <c r="AS78" i="1"/>
  <c r="AL79" i="1"/>
  <c r="AM79" i="1"/>
  <c r="AN79" i="1"/>
  <c r="AO79" i="1"/>
  <c r="AP79" i="1"/>
  <c r="AQ79" i="1"/>
  <c r="AR79" i="1"/>
  <c r="AS79" i="1"/>
  <c r="AL80" i="1"/>
  <c r="AM80" i="1"/>
  <c r="AN80" i="1"/>
  <c r="AO80" i="1"/>
  <c r="AP80" i="1"/>
  <c r="AQ80" i="1"/>
  <c r="AR80" i="1"/>
  <c r="AS80" i="1"/>
  <c r="AL81" i="1"/>
  <c r="AM81" i="1"/>
  <c r="AN81" i="1"/>
  <c r="AO81" i="1"/>
  <c r="AP81" i="1"/>
  <c r="AQ81" i="1"/>
  <c r="AR81" i="1"/>
  <c r="AS81" i="1"/>
  <c r="AL82" i="1"/>
  <c r="AM82" i="1"/>
  <c r="AN82" i="1"/>
  <c r="AO82" i="1"/>
  <c r="AP82" i="1"/>
  <c r="AQ82" i="1"/>
  <c r="AR82" i="1"/>
  <c r="AS82" i="1"/>
  <c r="AL83" i="1"/>
  <c r="AM83" i="1"/>
  <c r="AN83" i="1"/>
  <c r="AO83" i="1"/>
  <c r="AP83" i="1"/>
  <c r="AQ83" i="1"/>
  <c r="AR83" i="1"/>
  <c r="AS83" i="1"/>
  <c r="AL84" i="1"/>
  <c r="AM84" i="1"/>
  <c r="AN84" i="1"/>
  <c r="AO84" i="1"/>
  <c r="AP84" i="1"/>
  <c r="AQ84" i="1"/>
  <c r="AR84" i="1"/>
  <c r="AS84" i="1"/>
  <c r="AL85" i="1"/>
  <c r="AM85" i="1"/>
  <c r="AN85" i="1"/>
  <c r="AO85" i="1"/>
  <c r="AP85" i="1"/>
  <c r="AQ85" i="1"/>
  <c r="AR85" i="1"/>
  <c r="AS85" i="1"/>
  <c r="AL86" i="1"/>
  <c r="AM86" i="1"/>
  <c r="AN86" i="1"/>
  <c r="AO86" i="1"/>
  <c r="AP86" i="1"/>
  <c r="AQ86" i="1"/>
  <c r="AR86" i="1"/>
  <c r="AS86" i="1"/>
  <c r="AL87" i="1"/>
  <c r="AM87" i="1"/>
  <c r="AN87" i="1"/>
  <c r="AO87" i="1"/>
  <c r="AP87" i="1"/>
  <c r="AQ87" i="1"/>
  <c r="AR87" i="1"/>
  <c r="AS87" i="1"/>
  <c r="AL88" i="1"/>
  <c r="AM88" i="1"/>
  <c r="AN88" i="1"/>
  <c r="AO88" i="1"/>
  <c r="AP88" i="1"/>
  <c r="AQ88" i="1"/>
  <c r="AR88" i="1"/>
  <c r="AS88" i="1"/>
  <c r="AL89" i="1"/>
  <c r="AM89" i="1"/>
  <c r="AN89" i="1"/>
  <c r="AO89" i="1"/>
  <c r="AP89" i="1"/>
  <c r="AQ89" i="1"/>
  <c r="AR89" i="1"/>
  <c r="AS89" i="1"/>
  <c r="AL90" i="1"/>
  <c r="AM90" i="1"/>
  <c r="AN90" i="1"/>
  <c r="AO90" i="1"/>
  <c r="AP90" i="1"/>
  <c r="AQ90" i="1"/>
  <c r="AR90" i="1"/>
  <c r="AS90" i="1"/>
  <c r="AL91" i="1"/>
  <c r="AM91" i="1"/>
  <c r="AN91" i="1"/>
  <c r="AO91" i="1"/>
  <c r="AP91" i="1"/>
  <c r="AQ91" i="1"/>
  <c r="AR91" i="1"/>
  <c r="AS91" i="1"/>
  <c r="AL92" i="1"/>
  <c r="AM92" i="1"/>
  <c r="AN92" i="1"/>
  <c r="AO92" i="1"/>
  <c r="AP92" i="1"/>
  <c r="AQ92" i="1"/>
  <c r="AR92" i="1"/>
  <c r="AS92" i="1"/>
  <c r="AL93" i="1"/>
  <c r="AM93" i="1"/>
  <c r="AN93" i="1"/>
  <c r="AO93" i="1"/>
  <c r="AP93" i="1"/>
  <c r="AQ93" i="1"/>
  <c r="AR93" i="1"/>
  <c r="AS93" i="1"/>
  <c r="AL94" i="1"/>
  <c r="AM94" i="1"/>
  <c r="AN94" i="1"/>
  <c r="AO94" i="1"/>
  <c r="AP94" i="1"/>
  <c r="AQ94" i="1"/>
  <c r="AR94" i="1"/>
  <c r="AS94" i="1"/>
  <c r="AL95" i="1"/>
  <c r="AM95" i="1"/>
  <c r="AN95" i="1"/>
  <c r="AO95" i="1"/>
  <c r="AP95" i="1"/>
  <c r="AQ95" i="1"/>
  <c r="AR95" i="1"/>
  <c r="AS95" i="1"/>
  <c r="AL96" i="1"/>
  <c r="AM96" i="1"/>
  <c r="AN96" i="1"/>
  <c r="AO96" i="1"/>
  <c r="AP96" i="1"/>
  <c r="AQ96" i="1"/>
  <c r="AR96" i="1"/>
  <c r="AS96" i="1"/>
  <c r="AL97" i="1"/>
  <c r="AM97" i="1"/>
  <c r="AN97" i="1"/>
  <c r="AO97" i="1"/>
  <c r="AP97" i="1"/>
  <c r="AQ97" i="1"/>
  <c r="AR97" i="1"/>
  <c r="AS97" i="1"/>
  <c r="AL98" i="1"/>
  <c r="AM98" i="1"/>
  <c r="AN98" i="1"/>
  <c r="AO98" i="1"/>
  <c r="AP98" i="1"/>
  <c r="AQ98" i="1"/>
  <c r="AR98" i="1"/>
  <c r="AS98" i="1"/>
  <c r="AL99" i="1"/>
  <c r="AM99" i="1"/>
  <c r="AN99" i="1"/>
  <c r="AO99" i="1"/>
  <c r="AP99" i="1"/>
  <c r="AQ99" i="1"/>
  <c r="AR99" i="1"/>
  <c r="AS99" i="1"/>
  <c r="AL100" i="1"/>
  <c r="AM100" i="1"/>
  <c r="AN100" i="1"/>
  <c r="AO100" i="1"/>
  <c r="AP100" i="1"/>
  <c r="AQ100" i="1"/>
  <c r="AR100" i="1"/>
  <c r="AS100" i="1"/>
  <c r="AL101" i="1"/>
  <c r="AM101" i="1"/>
  <c r="AN101" i="1"/>
  <c r="AO101" i="1"/>
  <c r="AP101" i="1"/>
  <c r="AQ101" i="1"/>
  <c r="AR101" i="1"/>
  <c r="AS101" i="1"/>
  <c r="AL102" i="1"/>
  <c r="AM102" i="1"/>
  <c r="AN102" i="1"/>
  <c r="AO102" i="1"/>
  <c r="AP102" i="1"/>
  <c r="AQ102" i="1"/>
  <c r="AR102" i="1"/>
  <c r="AS102" i="1"/>
  <c r="AL103" i="1"/>
  <c r="AM103" i="1"/>
  <c r="AN103" i="1"/>
  <c r="AO103" i="1"/>
  <c r="AP103" i="1"/>
  <c r="AQ103" i="1"/>
  <c r="AR103" i="1"/>
  <c r="AS103" i="1"/>
  <c r="AL104" i="1"/>
  <c r="AM104" i="1"/>
  <c r="AN104" i="1"/>
  <c r="AO104" i="1"/>
  <c r="AP104" i="1"/>
  <c r="AQ104" i="1"/>
  <c r="AR104" i="1"/>
  <c r="AS104" i="1"/>
  <c r="AL105" i="1"/>
  <c r="AM105" i="1"/>
  <c r="AN105" i="1"/>
  <c r="AO105" i="1"/>
  <c r="AP105" i="1"/>
  <c r="AQ105" i="1"/>
  <c r="AR105" i="1"/>
  <c r="AS105" i="1"/>
  <c r="AL106" i="1"/>
  <c r="AM106" i="1"/>
  <c r="AN106" i="1"/>
  <c r="AO106" i="1"/>
  <c r="AP106" i="1"/>
  <c r="AQ106" i="1"/>
  <c r="AR106" i="1"/>
  <c r="AS106" i="1"/>
  <c r="AL107" i="1"/>
  <c r="AM107" i="1"/>
  <c r="AN107" i="1"/>
  <c r="AO107" i="1"/>
  <c r="AP107" i="1"/>
  <c r="AQ107" i="1"/>
  <c r="AR107" i="1"/>
  <c r="AS107" i="1"/>
  <c r="AL108" i="1"/>
  <c r="AM108" i="1"/>
  <c r="AN108" i="1"/>
  <c r="AO108" i="1"/>
  <c r="AP108" i="1"/>
  <c r="AQ108" i="1"/>
  <c r="AR108" i="1"/>
  <c r="AS108" i="1"/>
  <c r="AL109" i="1"/>
  <c r="AM109" i="1"/>
  <c r="AN109" i="1"/>
  <c r="AO109" i="1"/>
  <c r="AP109" i="1"/>
  <c r="AQ109" i="1"/>
  <c r="AR109" i="1"/>
  <c r="AS109" i="1"/>
  <c r="AL110" i="1"/>
  <c r="AM110" i="1"/>
  <c r="AN110" i="1"/>
  <c r="AO110" i="1"/>
  <c r="AP110" i="1"/>
  <c r="AQ110" i="1"/>
  <c r="AR110" i="1"/>
  <c r="AS110" i="1"/>
  <c r="AL111" i="1"/>
  <c r="AM111" i="1"/>
  <c r="AN111" i="1"/>
  <c r="AO111" i="1"/>
  <c r="AP111" i="1"/>
  <c r="AQ111" i="1"/>
  <c r="AR111" i="1"/>
  <c r="AS111" i="1"/>
  <c r="AL112" i="1"/>
  <c r="AM112" i="1"/>
  <c r="AN112" i="1"/>
  <c r="AO112" i="1"/>
  <c r="AP112" i="1"/>
  <c r="AQ112" i="1"/>
  <c r="AR112" i="1"/>
  <c r="AS112" i="1"/>
  <c r="AL113" i="1"/>
  <c r="AM113" i="1"/>
  <c r="AN113" i="1"/>
  <c r="AO113" i="1"/>
  <c r="AP113" i="1"/>
  <c r="AQ113" i="1"/>
  <c r="AR113" i="1"/>
  <c r="AS113" i="1"/>
  <c r="AL114" i="1"/>
  <c r="AM114" i="1"/>
  <c r="AN114" i="1"/>
  <c r="AO114" i="1"/>
  <c r="AP114" i="1"/>
  <c r="AQ114" i="1"/>
  <c r="AR114" i="1"/>
  <c r="AS114" i="1"/>
  <c r="AL115" i="1"/>
  <c r="AM115" i="1"/>
  <c r="AN115" i="1"/>
  <c r="AO115" i="1"/>
  <c r="AP115" i="1"/>
  <c r="AQ115" i="1"/>
  <c r="AR115" i="1"/>
  <c r="AS115" i="1"/>
  <c r="AL116" i="1"/>
  <c r="AM116" i="1"/>
  <c r="AN116" i="1"/>
  <c r="AO116" i="1"/>
  <c r="AP116" i="1"/>
  <c r="AQ116" i="1"/>
  <c r="AR116" i="1"/>
  <c r="AS116" i="1"/>
  <c r="AL117" i="1"/>
  <c r="AM117" i="1"/>
  <c r="AN117" i="1"/>
  <c r="AO117" i="1"/>
  <c r="AP117" i="1"/>
  <c r="AQ117" i="1"/>
  <c r="AR117" i="1"/>
  <c r="AS117" i="1"/>
  <c r="AL118" i="1"/>
  <c r="AM118" i="1"/>
  <c r="AN118" i="1"/>
  <c r="AO118" i="1"/>
  <c r="AP118" i="1"/>
  <c r="AQ118" i="1"/>
  <c r="AR118" i="1"/>
  <c r="AS118" i="1"/>
  <c r="AL119" i="1"/>
  <c r="AM119" i="1"/>
  <c r="AN119" i="1"/>
  <c r="AO119" i="1"/>
  <c r="AP119" i="1"/>
  <c r="AQ119" i="1"/>
  <c r="AR119" i="1"/>
  <c r="AS119" i="1"/>
  <c r="AL120" i="1"/>
  <c r="AM120" i="1"/>
  <c r="AN120" i="1"/>
  <c r="AO120" i="1"/>
  <c r="AP120" i="1"/>
  <c r="AQ120" i="1"/>
  <c r="AR120" i="1"/>
  <c r="AS120" i="1"/>
  <c r="AL121" i="1"/>
  <c r="AM121" i="1"/>
  <c r="AN121" i="1"/>
  <c r="AO121" i="1"/>
  <c r="AP121" i="1"/>
  <c r="AQ121" i="1"/>
  <c r="AR121" i="1"/>
  <c r="AS121" i="1"/>
  <c r="AL122" i="1"/>
  <c r="AM122" i="1"/>
  <c r="AN122" i="1"/>
  <c r="AO122" i="1"/>
  <c r="AP122" i="1"/>
  <c r="AQ122" i="1"/>
  <c r="AR122" i="1"/>
  <c r="AS122" i="1"/>
  <c r="AL123" i="1"/>
  <c r="AM123" i="1"/>
  <c r="AN123" i="1"/>
  <c r="AO123" i="1"/>
  <c r="AP123" i="1"/>
  <c r="AQ123" i="1"/>
  <c r="AR123" i="1"/>
  <c r="AS123" i="1"/>
  <c r="AL124" i="1"/>
  <c r="AM124" i="1"/>
  <c r="AN124" i="1"/>
  <c r="AO124" i="1"/>
  <c r="AP124" i="1"/>
  <c r="AQ124" i="1"/>
  <c r="AR124" i="1"/>
  <c r="AS124" i="1"/>
  <c r="AL125" i="1"/>
  <c r="AM125" i="1"/>
  <c r="AN125" i="1"/>
  <c r="AO125" i="1"/>
  <c r="AP125" i="1"/>
  <c r="AQ125" i="1"/>
  <c r="AR125" i="1"/>
  <c r="AS125" i="1"/>
  <c r="AL126" i="1"/>
  <c r="AM126" i="1"/>
  <c r="AN126" i="1"/>
  <c r="AO126" i="1"/>
  <c r="AP126" i="1"/>
  <c r="AQ126" i="1"/>
  <c r="AR126" i="1"/>
  <c r="AS126" i="1"/>
  <c r="AL127" i="1"/>
  <c r="AM127" i="1"/>
  <c r="AN127" i="1"/>
  <c r="AO127" i="1"/>
  <c r="AP127" i="1"/>
  <c r="AQ127" i="1"/>
  <c r="AR127" i="1"/>
  <c r="AS127" i="1"/>
  <c r="AL128" i="1"/>
  <c r="AM128" i="1"/>
  <c r="AN128" i="1"/>
  <c r="AO128" i="1"/>
  <c r="AP128" i="1"/>
  <c r="AQ128" i="1"/>
  <c r="AR128" i="1"/>
  <c r="AS128" i="1"/>
  <c r="AL129" i="1"/>
  <c r="AM129" i="1"/>
  <c r="AN129" i="1"/>
  <c r="AO129" i="1"/>
  <c r="AP129" i="1"/>
  <c r="AQ129" i="1"/>
  <c r="AR129" i="1"/>
  <c r="AS129" i="1"/>
  <c r="AL130" i="1"/>
  <c r="AM130" i="1"/>
  <c r="AN130" i="1"/>
  <c r="AO130" i="1"/>
  <c r="AP130" i="1"/>
  <c r="AQ130" i="1"/>
  <c r="AR130" i="1"/>
  <c r="AS130" i="1"/>
  <c r="AL131" i="1"/>
  <c r="AM131" i="1"/>
  <c r="AN131" i="1"/>
  <c r="AO131" i="1"/>
  <c r="AP131" i="1"/>
  <c r="AQ131" i="1"/>
  <c r="AR131" i="1"/>
  <c r="AS131" i="1"/>
  <c r="AL132" i="1"/>
  <c r="AM132" i="1"/>
  <c r="AN132" i="1"/>
  <c r="AO132" i="1"/>
  <c r="AP132" i="1"/>
  <c r="AQ132" i="1"/>
  <c r="AR132" i="1"/>
  <c r="AS132" i="1"/>
  <c r="AL133" i="1"/>
  <c r="AM133" i="1"/>
  <c r="AN133" i="1"/>
  <c r="AO133" i="1"/>
  <c r="AP133" i="1"/>
  <c r="AQ133" i="1"/>
  <c r="AR133" i="1"/>
  <c r="AS133" i="1"/>
  <c r="AL134" i="1"/>
  <c r="AM134" i="1"/>
  <c r="AN134" i="1"/>
  <c r="AO134" i="1"/>
  <c r="AP134" i="1"/>
  <c r="AQ134" i="1"/>
  <c r="AR134" i="1"/>
  <c r="AS134" i="1"/>
  <c r="AL135" i="1"/>
  <c r="AM135" i="1"/>
  <c r="AN135" i="1"/>
  <c r="AO135" i="1"/>
  <c r="AP135" i="1"/>
  <c r="AQ135" i="1"/>
  <c r="AR135" i="1"/>
  <c r="AS135" i="1"/>
  <c r="AL136" i="1"/>
  <c r="AM136" i="1"/>
  <c r="AN136" i="1"/>
  <c r="AO136" i="1"/>
  <c r="AP136" i="1"/>
  <c r="AQ136" i="1"/>
  <c r="AR136" i="1"/>
  <c r="AS136" i="1"/>
  <c r="AL137" i="1"/>
  <c r="AM137" i="1"/>
  <c r="AN137" i="1"/>
  <c r="AO137" i="1"/>
  <c r="AP137" i="1"/>
  <c r="AQ137" i="1"/>
  <c r="AR137" i="1"/>
  <c r="AS137" i="1"/>
  <c r="AL138" i="1"/>
  <c r="AM138" i="1"/>
  <c r="AN138" i="1"/>
  <c r="AO138" i="1"/>
  <c r="AP138" i="1"/>
  <c r="AQ138" i="1"/>
  <c r="AR138" i="1"/>
  <c r="AS138" i="1"/>
  <c r="AL139" i="1"/>
  <c r="AM139" i="1"/>
  <c r="AN139" i="1"/>
  <c r="AO139" i="1"/>
  <c r="AP139" i="1"/>
  <c r="AQ139" i="1"/>
  <c r="AR139" i="1"/>
  <c r="AS139" i="1"/>
  <c r="AL140" i="1"/>
  <c r="AM140" i="1"/>
  <c r="AN140" i="1"/>
  <c r="AO140" i="1"/>
  <c r="AP140" i="1"/>
  <c r="AQ140" i="1"/>
  <c r="AR140" i="1"/>
  <c r="AS140" i="1"/>
  <c r="AL141" i="1"/>
  <c r="AM141" i="1"/>
  <c r="AN141" i="1"/>
  <c r="AO141" i="1"/>
  <c r="AP141" i="1"/>
  <c r="AQ141" i="1"/>
  <c r="AR141" i="1"/>
  <c r="AS141" i="1"/>
  <c r="AL142" i="1"/>
  <c r="AM142" i="1"/>
  <c r="AN142" i="1"/>
  <c r="AO142" i="1"/>
  <c r="AP142" i="1"/>
  <c r="AQ142" i="1"/>
  <c r="AR142" i="1"/>
  <c r="AS142" i="1"/>
  <c r="AL143" i="1"/>
  <c r="AM143" i="1"/>
  <c r="AN143" i="1"/>
  <c r="AO143" i="1"/>
  <c r="AP143" i="1"/>
  <c r="AQ143" i="1"/>
  <c r="AR143" i="1"/>
  <c r="AS143" i="1"/>
  <c r="AL144" i="1"/>
  <c r="AM144" i="1"/>
  <c r="AN144" i="1"/>
  <c r="AO144" i="1"/>
  <c r="AP144" i="1"/>
  <c r="AQ144" i="1"/>
  <c r="AR144" i="1"/>
  <c r="AS144" i="1"/>
  <c r="AL145" i="1"/>
  <c r="AM145" i="1"/>
  <c r="AN145" i="1"/>
  <c r="AO145" i="1"/>
  <c r="AP145" i="1"/>
  <c r="AQ145" i="1"/>
  <c r="AR145" i="1"/>
  <c r="AS145" i="1"/>
  <c r="AL146" i="1"/>
  <c r="AM146" i="1"/>
  <c r="AN146" i="1"/>
  <c r="AO146" i="1"/>
  <c r="AP146" i="1"/>
  <c r="AQ146" i="1"/>
  <c r="AR146" i="1"/>
  <c r="AS146" i="1"/>
  <c r="AL147" i="1"/>
  <c r="AM147" i="1"/>
  <c r="AN147" i="1"/>
  <c r="AO147" i="1"/>
  <c r="AP147" i="1"/>
  <c r="AQ147" i="1"/>
  <c r="AR147" i="1"/>
  <c r="AS147" i="1"/>
  <c r="AL148" i="1"/>
  <c r="AM148" i="1"/>
  <c r="AN148" i="1"/>
  <c r="AO148" i="1"/>
  <c r="AP148" i="1"/>
  <c r="AQ148" i="1"/>
  <c r="AR148" i="1"/>
  <c r="AS148" i="1"/>
  <c r="AL149" i="1"/>
  <c r="AM149" i="1"/>
  <c r="AN149" i="1"/>
  <c r="AO149" i="1"/>
  <c r="AP149" i="1"/>
  <c r="AQ149" i="1"/>
  <c r="AR149" i="1"/>
  <c r="AS149" i="1"/>
  <c r="AL150" i="1"/>
  <c r="AM150" i="1"/>
  <c r="AN150" i="1"/>
  <c r="AO150" i="1"/>
  <c r="AP150" i="1"/>
  <c r="AQ150" i="1"/>
  <c r="AR150" i="1"/>
  <c r="AS150" i="1"/>
  <c r="AL151" i="1"/>
  <c r="AM151" i="1"/>
  <c r="AN151" i="1"/>
  <c r="AO151" i="1"/>
  <c r="AP151" i="1"/>
  <c r="AQ151" i="1"/>
  <c r="AR151" i="1"/>
  <c r="AS151" i="1"/>
  <c r="AL152" i="1"/>
  <c r="AM152" i="1"/>
  <c r="AN152" i="1"/>
  <c r="AO152" i="1"/>
  <c r="AP152" i="1"/>
  <c r="AQ152" i="1"/>
  <c r="AR152" i="1"/>
  <c r="AS152" i="1"/>
  <c r="AL153" i="1"/>
  <c r="AM153" i="1"/>
  <c r="AN153" i="1"/>
  <c r="AO153" i="1"/>
  <c r="AP153" i="1"/>
  <c r="AQ153" i="1"/>
  <c r="AR153" i="1"/>
  <c r="AS153" i="1"/>
  <c r="AL154" i="1"/>
  <c r="AM154" i="1"/>
  <c r="AN154" i="1"/>
  <c r="AO154" i="1"/>
  <c r="AP154" i="1"/>
  <c r="AQ154" i="1"/>
  <c r="AR154" i="1"/>
  <c r="AS154" i="1"/>
  <c r="AL155" i="1"/>
  <c r="AM155" i="1"/>
  <c r="AN155" i="1"/>
  <c r="AO155" i="1"/>
  <c r="AP155" i="1"/>
  <c r="AQ155" i="1"/>
  <c r="AR155" i="1"/>
  <c r="AS155" i="1"/>
  <c r="AL156" i="1"/>
  <c r="AM156" i="1"/>
  <c r="AN156" i="1"/>
  <c r="AO156" i="1"/>
  <c r="AP156" i="1"/>
  <c r="AQ156" i="1"/>
  <c r="AR156" i="1"/>
  <c r="AS156" i="1"/>
  <c r="AL157" i="1"/>
  <c r="AM157" i="1"/>
  <c r="AN157" i="1"/>
  <c r="AO157" i="1"/>
  <c r="AP157" i="1"/>
  <c r="AQ157" i="1"/>
  <c r="AR157" i="1"/>
  <c r="AS157" i="1"/>
  <c r="AL158" i="1"/>
  <c r="AM158" i="1"/>
  <c r="AN158" i="1"/>
  <c r="AO158" i="1"/>
  <c r="AP158" i="1"/>
  <c r="AQ158" i="1"/>
  <c r="AR158" i="1"/>
  <c r="AS158" i="1"/>
  <c r="AL159" i="1"/>
  <c r="AM159" i="1"/>
  <c r="AN159" i="1"/>
  <c r="AO159" i="1"/>
  <c r="AP159" i="1"/>
  <c r="AQ159" i="1"/>
  <c r="AR159" i="1"/>
  <c r="AS159" i="1"/>
  <c r="AL160" i="1"/>
  <c r="AM160" i="1"/>
  <c r="AN160" i="1"/>
  <c r="AO160" i="1"/>
  <c r="AP160" i="1"/>
  <c r="AQ160" i="1"/>
  <c r="AR160" i="1"/>
  <c r="AS160" i="1"/>
  <c r="AL161" i="1"/>
  <c r="AM161" i="1"/>
  <c r="AN161" i="1"/>
  <c r="AO161" i="1"/>
  <c r="AP161" i="1"/>
  <c r="AQ161" i="1"/>
  <c r="AR161" i="1"/>
  <c r="AS161" i="1"/>
  <c r="AL162" i="1"/>
  <c r="AM162" i="1"/>
  <c r="AN162" i="1"/>
  <c r="AO162" i="1"/>
  <c r="AP162" i="1"/>
  <c r="AQ162" i="1"/>
  <c r="AR162" i="1"/>
  <c r="AS162" i="1"/>
  <c r="AL163" i="1"/>
  <c r="AM163" i="1"/>
  <c r="AN163" i="1"/>
  <c r="AO163" i="1"/>
  <c r="AP163" i="1"/>
  <c r="AQ163" i="1"/>
  <c r="AR163" i="1"/>
  <c r="AS163" i="1"/>
  <c r="AL164" i="1"/>
  <c r="AM164" i="1"/>
  <c r="AN164" i="1"/>
  <c r="AO164" i="1"/>
  <c r="AP164" i="1"/>
  <c r="AQ164" i="1"/>
  <c r="AR164" i="1"/>
  <c r="AS164" i="1"/>
  <c r="AL165" i="1"/>
  <c r="AM165" i="1"/>
  <c r="AN165" i="1"/>
  <c r="AO165" i="1"/>
  <c r="AP165" i="1"/>
  <c r="AQ165" i="1"/>
  <c r="AR165" i="1"/>
  <c r="AS165" i="1"/>
  <c r="AL166" i="1"/>
  <c r="AM166" i="1"/>
  <c r="AN166" i="1"/>
  <c r="AO166" i="1"/>
  <c r="AP166" i="1"/>
  <c r="AQ166" i="1"/>
  <c r="AR166" i="1"/>
  <c r="AS166" i="1"/>
  <c r="AL167" i="1"/>
  <c r="AM167" i="1"/>
  <c r="AN167" i="1"/>
  <c r="AO167" i="1"/>
  <c r="AP167" i="1"/>
  <c r="AQ167" i="1"/>
  <c r="AR167" i="1"/>
  <c r="AS167" i="1"/>
  <c r="AL168" i="1"/>
  <c r="AM168" i="1"/>
  <c r="AN168" i="1"/>
  <c r="AO168" i="1"/>
  <c r="AP168" i="1"/>
  <c r="AQ168" i="1"/>
  <c r="AR168" i="1"/>
  <c r="AS168" i="1"/>
  <c r="AL169" i="1"/>
  <c r="AM169" i="1"/>
  <c r="AN169" i="1"/>
  <c r="AO169" i="1"/>
  <c r="AP169" i="1"/>
  <c r="AQ169" i="1"/>
  <c r="AR169" i="1"/>
  <c r="AS169" i="1"/>
  <c r="AL170" i="1"/>
  <c r="AM170" i="1"/>
  <c r="AN170" i="1"/>
  <c r="AO170" i="1"/>
  <c r="AP170" i="1"/>
  <c r="AQ170" i="1"/>
  <c r="AR170" i="1"/>
  <c r="AS170" i="1"/>
  <c r="AL171" i="1"/>
  <c r="AM171" i="1"/>
  <c r="AN171" i="1"/>
  <c r="AO171" i="1"/>
  <c r="AP171" i="1"/>
  <c r="AQ171" i="1"/>
  <c r="AR171" i="1"/>
  <c r="AS171" i="1"/>
  <c r="AL172" i="1"/>
  <c r="AM172" i="1"/>
  <c r="AN172" i="1"/>
  <c r="AO172" i="1"/>
  <c r="AP172" i="1"/>
  <c r="AQ172" i="1"/>
  <c r="AR172" i="1"/>
  <c r="AS172" i="1"/>
  <c r="AL173" i="1"/>
  <c r="AM173" i="1"/>
  <c r="AN173" i="1"/>
  <c r="AO173" i="1"/>
  <c r="AP173" i="1"/>
  <c r="AQ173" i="1"/>
  <c r="AR173" i="1"/>
  <c r="AS173" i="1"/>
  <c r="AL174" i="1"/>
  <c r="AM174" i="1"/>
  <c r="AN174" i="1"/>
  <c r="AO174" i="1"/>
  <c r="AP174" i="1"/>
  <c r="AQ174" i="1"/>
  <c r="AR174" i="1"/>
  <c r="AS174" i="1"/>
  <c r="AL175" i="1"/>
  <c r="AM175" i="1"/>
  <c r="AN175" i="1"/>
  <c r="AO175" i="1"/>
  <c r="AP175" i="1"/>
  <c r="AQ175" i="1"/>
  <c r="AR175" i="1"/>
  <c r="AS175" i="1"/>
  <c r="AL176" i="1"/>
  <c r="AM176" i="1"/>
  <c r="AN176" i="1"/>
  <c r="AO176" i="1"/>
  <c r="AP176" i="1"/>
  <c r="AQ176" i="1"/>
  <c r="AR176" i="1"/>
  <c r="AS176" i="1"/>
  <c r="AL177" i="1"/>
  <c r="AM177" i="1"/>
  <c r="AN177" i="1"/>
  <c r="AO177" i="1"/>
  <c r="AP177" i="1"/>
  <c r="AQ177" i="1"/>
  <c r="AR177" i="1"/>
  <c r="AS177" i="1"/>
  <c r="AL178" i="1"/>
  <c r="AM178" i="1"/>
  <c r="AN178" i="1"/>
  <c r="AO178" i="1"/>
  <c r="AP178" i="1"/>
  <c r="AQ178" i="1"/>
  <c r="AR178" i="1"/>
  <c r="AS178" i="1"/>
  <c r="AL179" i="1"/>
  <c r="AM179" i="1"/>
  <c r="AN179" i="1"/>
  <c r="AO179" i="1"/>
  <c r="AP179" i="1"/>
  <c r="AQ179" i="1"/>
  <c r="AR179" i="1"/>
  <c r="AS179" i="1"/>
  <c r="AL180" i="1"/>
  <c r="AM180" i="1"/>
  <c r="AN180" i="1"/>
  <c r="AO180" i="1"/>
  <c r="AP180" i="1"/>
  <c r="AQ180" i="1"/>
  <c r="AR180" i="1"/>
  <c r="AS180" i="1"/>
  <c r="AL181" i="1"/>
  <c r="AM181" i="1"/>
  <c r="AN181" i="1"/>
  <c r="AO181" i="1"/>
  <c r="AP181" i="1"/>
  <c r="AQ181" i="1"/>
  <c r="AR181" i="1"/>
  <c r="AS181" i="1"/>
  <c r="AL182" i="1"/>
  <c r="AM182" i="1"/>
  <c r="AN182" i="1"/>
  <c r="AO182" i="1"/>
  <c r="AP182" i="1"/>
  <c r="AQ182" i="1"/>
  <c r="AR182" i="1"/>
  <c r="AS182" i="1"/>
  <c r="AL183" i="1"/>
  <c r="AM183" i="1"/>
  <c r="AN183" i="1"/>
  <c r="AO183" i="1"/>
  <c r="AP183" i="1"/>
  <c r="AQ183" i="1"/>
  <c r="AR183" i="1"/>
  <c r="AS183" i="1"/>
  <c r="AL184" i="1"/>
  <c r="AM184" i="1"/>
  <c r="AN184" i="1"/>
  <c r="AO184" i="1"/>
  <c r="AP184" i="1"/>
  <c r="AQ184" i="1"/>
  <c r="AR184" i="1"/>
  <c r="AS184" i="1"/>
  <c r="AL185" i="1"/>
  <c r="AM185" i="1"/>
  <c r="AN185" i="1"/>
  <c r="AO185" i="1"/>
  <c r="AP185" i="1"/>
  <c r="AQ185" i="1"/>
  <c r="AR185" i="1"/>
  <c r="AS185" i="1"/>
  <c r="AL186" i="1"/>
  <c r="AM186" i="1"/>
  <c r="AN186" i="1"/>
  <c r="AO186" i="1"/>
  <c r="AP186" i="1"/>
  <c r="AQ186" i="1"/>
  <c r="AR186" i="1"/>
  <c r="AS186" i="1"/>
  <c r="AL187" i="1"/>
  <c r="AM187" i="1"/>
  <c r="AN187" i="1"/>
  <c r="AO187" i="1"/>
  <c r="AP187" i="1"/>
  <c r="AQ187" i="1"/>
  <c r="AR187" i="1"/>
  <c r="AS187" i="1"/>
  <c r="AL188" i="1"/>
  <c r="AM188" i="1"/>
  <c r="AN188" i="1"/>
  <c r="AO188" i="1"/>
  <c r="AP188" i="1"/>
  <c r="AQ188" i="1"/>
  <c r="AR188" i="1"/>
  <c r="AS188" i="1"/>
  <c r="AL189" i="1"/>
  <c r="AM189" i="1"/>
  <c r="AN189" i="1"/>
  <c r="AO189" i="1"/>
  <c r="AP189" i="1"/>
  <c r="AQ189" i="1"/>
  <c r="AR189" i="1"/>
  <c r="AS189" i="1"/>
  <c r="AL190" i="1"/>
  <c r="AM190" i="1"/>
  <c r="AN190" i="1"/>
  <c r="AO190" i="1"/>
  <c r="AP190" i="1"/>
  <c r="AQ190" i="1"/>
  <c r="AR190" i="1"/>
  <c r="AS190" i="1"/>
  <c r="AL191" i="1"/>
  <c r="AM191" i="1"/>
  <c r="AN191" i="1"/>
  <c r="AO191" i="1"/>
  <c r="AP191" i="1"/>
  <c r="AQ191" i="1"/>
  <c r="AR191" i="1"/>
  <c r="AS191" i="1"/>
  <c r="AL192" i="1"/>
  <c r="AM192" i="1"/>
  <c r="AN192" i="1"/>
  <c r="AO192" i="1"/>
  <c r="AP192" i="1"/>
  <c r="AQ192" i="1"/>
  <c r="AR192" i="1"/>
  <c r="AS192" i="1"/>
  <c r="AL193" i="1"/>
  <c r="AM193" i="1"/>
  <c r="AN193" i="1"/>
  <c r="AO193" i="1"/>
  <c r="AP193" i="1"/>
  <c r="AQ193" i="1"/>
  <c r="AR193" i="1"/>
  <c r="AS193" i="1"/>
  <c r="AL194" i="1"/>
  <c r="AM194" i="1"/>
  <c r="AN194" i="1"/>
  <c r="AO194" i="1"/>
  <c r="AP194" i="1"/>
  <c r="AQ194" i="1"/>
  <c r="AR194" i="1"/>
  <c r="AS194" i="1"/>
  <c r="AL195" i="1"/>
  <c r="AM195" i="1"/>
  <c r="AN195" i="1"/>
  <c r="AO195" i="1"/>
  <c r="AP195" i="1"/>
  <c r="AQ195" i="1"/>
  <c r="AR195" i="1"/>
  <c r="AS195" i="1"/>
  <c r="AL196" i="1"/>
  <c r="AM196" i="1"/>
  <c r="AN196" i="1"/>
  <c r="AO196" i="1"/>
  <c r="AP196" i="1"/>
  <c r="AQ196" i="1"/>
  <c r="AR196" i="1"/>
  <c r="AS196" i="1"/>
  <c r="AL197" i="1"/>
  <c r="AM197" i="1"/>
  <c r="AN197" i="1"/>
  <c r="AO197" i="1"/>
  <c r="AP197" i="1"/>
  <c r="AQ197" i="1"/>
  <c r="AR197" i="1"/>
  <c r="AS197" i="1"/>
  <c r="AL198" i="1"/>
  <c r="AM198" i="1"/>
  <c r="AN198" i="1"/>
  <c r="AO198" i="1"/>
  <c r="AP198" i="1"/>
  <c r="AQ198" i="1"/>
  <c r="AR198" i="1"/>
  <c r="AS198" i="1"/>
  <c r="AL199" i="1"/>
  <c r="AM199" i="1"/>
  <c r="AN199" i="1"/>
  <c r="AO199" i="1"/>
  <c r="AP199" i="1"/>
  <c r="AQ199" i="1"/>
  <c r="AR199" i="1"/>
  <c r="AS199" i="1"/>
  <c r="AL200" i="1"/>
  <c r="AM200" i="1"/>
  <c r="AN200" i="1"/>
  <c r="AO200" i="1"/>
  <c r="AP200" i="1"/>
  <c r="AQ200" i="1"/>
  <c r="AR200" i="1"/>
  <c r="AS200" i="1"/>
  <c r="AL201" i="1"/>
  <c r="AM201" i="1"/>
  <c r="AN201" i="1"/>
  <c r="AO201" i="1"/>
  <c r="AP201" i="1"/>
  <c r="AQ201" i="1"/>
  <c r="AR201" i="1"/>
  <c r="AS201" i="1"/>
  <c r="AL202" i="1"/>
  <c r="AM202" i="1"/>
  <c r="AN202" i="1"/>
  <c r="AO202" i="1"/>
  <c r="AP202" i="1"/>
  <c r="AQ202" i="1"/>
  <c r="AR202" i="1"/>
  <c r="AS202" i="1"/>
  <c r="AL203" i="1"/>
  <c r="AM203" i="1"/>
  <c r="AN203" i="1"/>
  <c r="AO203" i="1"/>
  <c r="AP203" i="1"/>
  <c r="AQ203" i="1"/>
  <c r="AR203" i="1"/>
  <c r="AS203" i="1"/>
  <c r="AL204" i="1"/>
  <c r="AM204" i="1"/>
  <c r="AN204" i="1"/>
  <c r="AO204" i="1"/>
  <c r="AP204" i="1"/>
  <c r="AQ204" i="1"/>
  <c r="AR204" i="1"/>
  <c r="AS204" i="1"/>
  <c r="AL205" i="1"/>
  <c r="AM205" i="1"/>
  <c r="AN205" i="1"/>
  <c r="AO205" i="1"/>
  <c r="AP205" i="1"/>
  <c r="AQ205" i="1"/>
  <c r="AR205" i="1"/>
  <c r="AS205" i="1"/>
  <c r="AL206" i="1"/>
  <c r="AM206" i="1"/>
  <c r="AN206" i="1"/>
  <c r="AO206" i="1"/>
  <c r="AP206" i="1"/>
  <c r="AQ206" i="1"/>
  <c r="AR206" i="1"/>
  <c r="AS206" i="1"/>
  <c r="AL207" i="1"/>
  <c r="AM207" i="1"/>
  <c r="AN207" i="1"/>
  <c r="AO207" i="1"/>
  <c r="AP207" i="1"/>
  <c r="AQ207" i="1"/>
  <c r="AR207" i="1"/>
  <c r="AS207" i="1"/>
  <c r="AL208" i="1"/>
  <c r="AM208" i="1"/>
  <c r="AN208" i="1"/>
  <c r="AO208" i="1"/>
  <c r="AP208" i="1"/>
  <c r="AQ208" i="1"/>
  <c r="AR208" i="1"/>
  <c r="AS208" i="1"/>
  <c r="AL209" i="1"/>
  <c r="AM209" i="1"/>
  <c r="AN209" i="1"/>
  <c r="AO209" i="1"/>
  <c r="AP209" i="1"/>
  <c r="AQ209" i="1"/>
  <c r="AR209" i="1"/>
  <c r="AS209" i="1"/>
  <c r="AL210" i="1"/>
  <c r="AM210" i="1"/>
  <c r="AN210" i="1"/>
  <c r="AO210" i="1"/>
  <c r="AP210" i="1"/>
  <c r="AQ210" i="1"/>
  <c r="AR210" i="1"/>
  <c r="AS210" i="1"/>
  <c r="AL211" i="1"/>
  <c r="AM211" i="1"/>
  <c r="AN211" i="1"/>
  <c r="AO211" i="1"/>
  <c r="AP211" i="1"/>
  <c r="AQ211" i="1"/>
  <c r="AR211" i="1"/>
  <c r="AS211" i="1"/>
  <c r="AL212" i="1"/>
  <c r="AM212" i="1"/>
  <c r="AN212" i="1"/>
  <c r="AO212" i="1"/>
  <c r="AP212" i="1"/>
  <c r="AQ212" i="1"/>
  <c r="AR212" i="1"/>
  <c r="AS212" i="1"/>
  <c r="AL213" i="1"/>
  <c r="AM213" i="1"/>
  <c r="AN213" i="1"/>
  <c r="AO213" i="1"/>
  <c r="AP213" i="1"/>
  <c r="AQ213" i="1"/>
  <c r="AR213" i="1"/>
  <c r="AS213" i="1"/>
  <c r="AL214" i="1"/>
  <c r="AM214" i="1"/>
  <c r="AN214" i="1"/>
  <c r="AO214" i="1"/>
  <c r="AP214" i="1"/>
  <c r="AQ214" i="1"/>
  <c r="AR214" i="1"/>
  <c r="AS214" i="1"/>
  <c r="AL215" i="1"/>
  <c r="AM215" i="1"/>
  <c r="AN215" i="1"/>
  <c r="AO215" i="1"/>
  <c r="AP215" i="1"/>
  <c r="AQ215" i="1"/>
  <c r="AR215" i="1"/>
  <c r="AS215" i="1"/>
  <c r="AL216" i="1"/>
  <c r="AM216" i="1"/>
  <c r="AN216" i="1"/>
  <c r="AO216" i="1"/>
  <c r="AP216" i="1"/>
  <c r="AQ216" i="1"/>
  <c r="AR216" i="1"/>
  <c r="AS216" i="1"/>
  <c r="AL217" i="1"/>
  <c r="AM217" i="1"/>
  <c r="AN217" i="1"/>
  <c r="AO217" i="1"/>
  <c r="AP217" i="1"/>
  <c r="AQ217" i="1"/>
  <c r="AR217" i="1"/>
  <c r="AS217" i="1"/>
  <c r="AL218" i="1"/>
  <c r="AM218" i="1"/>
  <c r="AN218" i="1"/>
  <c r="AO218" i="1"/>
  <c r="AP218" i="1"/>
  <c r="AQ218" i="1"/>
  <c r="AR218" i="1"/>
  <c r="AS218" i="1"/>
  <c r="AL219" i="1"/>
  <c r="AM219" i="1"/>
  <c r="AN219" i="1"/>
  <c r="AO219" i="1"/>
  <c r="AP219" i="1"/>
  <c r="AQ219" i="1"/>
  <c r="AR219" i="1"/>
  <c r="AS219" i="1"/>
  <c r="AL220" i="1"/>
  <c r="AM220" i="1"/>
  <c r="AN220" i="1"/>
  <c r="AO220" i="1"/>
  <c r="AP220" i="1"/>
  <c r="AQ220" i="1"/>
  <c r="AR220" i="1"/>
  <c r="AS220" i="1"/>
  <c r="AL221" i="1"/>
  <c r="AM221" i="1"/>
  <c r="AN221" i="1"/>
  <c r="AO221" i="1"/>
  <c r="AP221" i="1"/>
  <c r="AQ221" i="1"/>
  <c r="AR221" i="1"/>
  <c r="AS221" i="1"/>
  <c r="AL222" i="1"/>
  <c r="AM222" i="1"/>
  <c r="AN222" i="1"/>
  <c r="AO222" i="1"/>
  <c r="AP222" i="1"/>
  <c r="AQ222" i="1"/>
  <c r="AR222" i="1"/>
  <c r="AS222" i="1"/>
  <c r="AL223" i="1"/>
  <c r="AM223" i="1"/>
  <c r="AN223" i="1"/>
  <c r="AO223" i="1"/>
  <c r="AP223" i="1"/>
  <c r="AQ223" i="1"/>
  <c r="AR223" i="1"/>
  <c r="AS223" i="1"/>
  <c r="AL224" i="1"/>
  <c r="AM224" i="1"/>
  <c r="AN224" i="1"/>
  <c r="AO224" i="1"/>
  <c r="AP224" i="1"/>
  <c r="AQ224" i="1"/>
  <c r="AR224" i="1"/>
  <c r="AS224" i="1"/>
  <c r="AL225" i="1"/>
  <c r="AM225" i="1"/>
  <c r="AN225" i="1"/>
  <c r="AO225" i="1"/>
  <c r="AP225" i="1"/>
  <c r="AQ225" i="1"/>
  <c r="AR225" i="1"/>
  <c r="AS225" i="1"/>
  <c r="AL226" i="1"/>
  <c r="AM226" i="1"/>
  <c r="AN226" i="1"/>
  <c r="AO226" i="1"/>
  <c r="AP226" i="1"/>
  <c r="AQ226" i="1"/>
  <c r="AR226" i="1"/>
  <c r="AS226" i="1"/>
  <c r="AL227" i="1"/>
  <c r="AM227" i="1"/>
  <c r="AN227" i="1"/>
  <c r="AO227" i="1"/>
  <c r="AP227" i="1"/>
  <c r="AQ227" i="1"/>
  <c r="AR227" i="1"/>
  <c r="AS227" i="1"/>
  <c r="AL228" i="1"/>
  <c r="AM228" i="1"/>
  <c r="AN228" i="1"/>
  <c r="AO228" i="1"/>
  <c r="AP228" i="1"/>
  <c r="AQ228" i="1"/>
  <c r="AR228" i="1"/>
  <c r="AS228" i="1"/>
  <c r="AL229" i="1"/>
  <c r="AM229" i="1"/>
  <c r="AN229" i="1"/>
  <c r="AO229" i="1"/>
  <c r="AP229" i="1"/>
  <c r="AQ229" i="1"/>
  <c r="AR229" i="1"/>
  <c r="AS229" i="1"/>
  <c r="AL230" i="1"/>
  <c r="AM230" i="1"/>
  <c r="AN230" i="1"/>
  <c r="AO230" i="1"/>
  <c r="AP230" i="1"/>
  <c r="AQ230" i="1"/>
  <c r="AR230" i="1"/>
  <c r="AS230" i="1"/>
  <c r="AL231" i="1"/>
  <c r="AM231" i="1"/>
  <c r="AN231" i="1"/>
  <c r="AO231" i="1"/>
  <c r="AP231" i="1"/>
  <c r="AQ231" i="1"/>
  <c r="AR231" i="1"/>
  <c r="AS231" i="1"/>
  <c r="AL232" i="1"/>
  <c r="AM232" i="1"/>
  <c r="AN232" i="1"/>
  <c r="AO232" i="1"/>
  <c r="AP232" i="1"/>
  <c r="AQ232" i="1"/>
  <c r="AR232" i="1"/>
  <c r="AS232" i="1"/>
  <c r="AL233" i="1"/>
  <c r="AM233" i="1"/>
  <c r="AN233" i="1"/>
  <c r="AO233" i="1"/>
  <c r="AP233" i="1"/>
  <c r="AQ233" i="1"/>
  <c r="AR233" i="1"/>
  <c r="AS233" i="1"/>
  <c r="AL234" i="1"/>
  <c r="AM234" i="1"/>
  <c r="AN234" i="1"/>
  <c r="AO234" i="1"/>
  <c r="AP234" i="1"/>
  <c r="AQ234" i="1"/>
  <c r="AR234" i="1"/>
  <c r="AS234" i="1"/>
  <c r="AL235" i="1"/>
  <c r="AM235" i="1"/>
  <c r="AN235" i="1"/>
  <c r="AO235" i="1"/>
  <c r="AP235" i="1"/>
  <c r="AQ235" i="1"/>
  <c r="AR235" i="1"/>
  <c r="AS235" i="1"/>
  <c r="AL236" i="1"/>
  <c r="AM236" i="1"/>
  <c r="AN236" i="1"/>
  <c r="AO236" i="1"/>
  <c r="AP236" i="1"/>
  <c r="AQ236" i="1"/>
  <c r="AR236" i="1"/>
  <c r="AS236" i="1"/>
  <c r="AL237" i="1"/>
  <c r="AM237" i="1"/>
  <c r="AN237" i="1"/>
  <c r="AO237" i="1"/>
  <c r="AP237" i="1"/>
  <c r="AQ237" i="1"/>
  <c r="AR237" i="1"/>
  <c r="AS237" i="1"/>
  <c r="AL238" i="1"/>
  <c r="AM238" i="1"/>
  <c r="AN238" i="1"/>
  <c r="AO238" i="1"/>
  <c r="AP238" i="1"/>
  <c r="AQ238" i="1"/>
  <c r="AR238" i="1"/>
  <c r="AS238" i="1"/>
  <c r="AL239" i="1"/>
  <c r="AM239" i="1"/>
  <c r="AN239" i="1"/>
  <c r="AO239" i="1"/>
  <c r="AP239" i="1"/>
  <c r="AQ239" i="1"/>
  <c r="AR239" i="1"/>
  <c r="AS239" i="1"/>
  <c r="AL240" i="1"/>
  <c r="AM240" i="1"/>
  <c r="AN240" i="1"/>
  <c r="AO240" i="1"/>
  <c r="AP240" i="1"/>
  <c r="AQ240" i="1"/>
  <c r="AR240" i="1"/>
  <c r="AS240" i="1"/>
  <c r="AL241" i="1"/>
  <c r="AM241" i="1"/>
  <c r="AN241" i="1"/>
  <c r="AO241" i="1"/>
  <c r="AP241" i="1"/>
  <c r="AQ241" i="1"/>
  <c r="AR241" i="1"/>
  <c r="AS241" i="1"/>
  <c r="AL242" i="1"/>
  <c r="AM242" i="1"/>
  <c r="AN242" i="1"/>
  <c r="AO242" i="1"/>
  <c r="AP242" i="1"/>
  <c r="AQ242" i="1"/>
  <c r="AR242" i="1"/>
  <c r="AS242" i="1"/>
  <c r="AL243" i="1"/>
  <c r="AM243" i="1"/>
  <c r="AN243" i="1"/>
  <c r="AO243" i="1"/>
  <c r="AP243" i="1"/>
  <c r="AQ243" i="1"/>
  <c r="AR243" i="1"/>
  <c r="AS243" i="1"/>
  <c r="AL244" i="1"/>
  <c r="AM244" i="1"/>
  <c r="AN244" i="1"/>
  <c r="AO244" i="1"/>
  <c r="AP244" i="1"/>
  <c r="AQ244" i="1"/>
  <c r="AR244" i="1"/>
  <c r="AS244" i="1"/>
  <c r="AL245" i="1"/>
  <c r="AM245" i="1"/>
  <c r="AN245" i="1"/>
  <c r="AO245" i="1"/>
  <c r="AP245" i="1"/>
  <c r="AQ245" i="1"/>
  <c r="AR245" i="1"/>
  <c r="AS245" i="1"/>
  <c r="AL246" i="1"/>
  <c r="AM246" i="1"/>
  <c r="AN246" i="1"/>
  <c r="AO246" i="1"/>
  <c r="AP246" i="1"/>
  <c r="AQ246" i="1"/>
  <c r="AR246" i="1"/>
  <c r="AS246" i="1"/>
  <c r="AL247" i="1"/>
  <c r="AM247" i="1"/>
  <c r="AN247" i="1"/>
  <c r="AO247" i="1"/>
  <c r="AP247" i="1"/>
  <c r="AQ247" i="1"/>
  <c r="AR247" i="1"/>
  <c r="AS247" i="1"/>
  <c r="AL248" i="1"/>
  <c r="AM248" i="1"/>
  <c r="AN248" i="1"/>
  <c r="AO248" i="1"/>
  <c r="AP248" i="1"/>
  <c r="AQ248" i="1"/>
  <c r="AR248" i="1"/>
  <c r="AS248" i="1"/>
  <c r="AL249" i="1"/>
  <c r="AM249" i="1"/>
  <c r="AN249" i="1"/>
  <c r="AO249" i="1"/>
  <c r="AP249" i="1"/>
  <c r="AQ249" i="1"/>
  <c r="AR249" i="1"/>
  <c r="AS249" i="1"/>
  <c r="AL250" i="1"/>
  <c r="AM250" i="1"/>
  <c r="AN250" i="1"/>
  <c r="AO250" i="1"/>
  <c r="AP250" i="1"/>
  <c r="AQ250" i="1"/>
  <c r="AR250" i="1"/>
  <c r="AS250" i="1"/>
  <c r="AL251" i="1"/>
  <c r="AM251" i="1"/>
  <c r="AN251" i="1"/>
  <c r="AO251" i="1"/>
  <c r="AP251" i="1"/>
  <c r="AQ251" i="1"/>
  <c r="AR251" i="1"/>
  <c r="AS251" i="1"/>
  <c r="AL252" i="1"/>
  <c r="AM252" i="1"/>
  <c r="AN252" i="1"/>
  <c r="AO252" i="1"/>
  <c r="AP252" i="1"/>
  <c r="AQ252" i="1"/>
  <c r="AR252" i="1"/>
  <c r="AS252" i="1"/>
  <c r="AL253" i="1"/>
  <c r="AM253" i="1"/>
  <c r="AN253" i="1"/>
  <c r="AO253" i="1"/>
  <c r="AP253" i="1"/>
  <c r="AQ253" i="1"/>
  <c r="AR253" i="1"/>
  <c r="AS253" i="1"/>
  <c r="AL254" i="1"/>
  <c r="AM254" i="1"/>
  <c r="AN254" i="1"/>
  <c r="AO254" i="1"/>
  <c r="AP254" i="1"/>
  <c r="AQ254" i="1"/>
  <c r="AR254" i="1"/>
  <c r="AS254" i="1"/>
  <c r="AL255" i="1"/>
  <c r="AM255" i="1"/>
  <c r="AN255" i="1"/>
  <c r="AO255" i="1"/>
  <c r="AP255" i="1"/>
  <c r="AQ255" i="1"/>
  <c r="AR255" i="1"/>
  <c r="AS255" i="1"/>
  <c r="AL256" i="1"/>
  <c r="AM256" i="1"/>
  <c r="AN256" i="1"/>
  <c r="AO256" i="1"/>
  <c r="AP256" i="1"/>
  <c r="AQ256" i="1"/>
  <c r="AR256" i="1"/>
  <c r="AS256" i="1"/>
  <c r="AL257" i="1"/>
  <c r="AM257" i="1"/>
  <c r="AN257" i="1"/>
  <c r="AO257" i="1"/>
  <c r="AP257" i="1"/>
  <c r="AQ257" i="1"/>
  <c r="AR257" i="1"/>
  <c r="AS257" i="1"/>
  <c r="AL258" i="1"/>
  <c r="AM258" i="1"/>
  <c r="AN258" i="1"/>
  <c r="AO258" i="1"/>
  <c r="AP258" i="1"/>
  <c r="AQ258" i="1"/>
  <c r="AR258" i="1"/>
  <c r="AS258" i="1"/>
  <c r="AL259" i="1"/>
  <c r="AM259" i="1"/>
  <c r="AN259" i="1"/>
  <c r="AO259" i="1"/>
  <c r="AP259" i="1"/>
  <c r="AQ259" i="1"/>
  <c r="AR259" i="1"/>
  <c r="AS259" i="1"/>
  <c r="AL260" i="1"/>
  <c r="AM260" i="1"/>
  <c r="AN260" i="1"/>
  <c r="AO260" i="1"/>
  <c r="AP260" i="1"/>
  <c r="AQ260" i="1"/>
  <c r="AR260" i="1"/>
  <c r="AS260" i="1"/>
  <c r="AL261" i="1"/>
  <c r="AM261" i="1"/>
  <c r="AN261" i="1"/>
  <c r="AO261" i="1"/>
  <c r="AP261" i="1"/>
  <c r="AQ261" i="1"/>
  <c r="AR261" i="1"/>
  <c r="AS261" i="1"/>
  <c r="AL262" i="1"/>
  <c r="AM262" i="1"/>
  <c r="AN262" i="1"/>
  <c r="AO262" i="1"/>
  <c r="AP262" i="1"/>
  <c r="AQ262" i="1"/>
  <c r="AR262" i="1"/>
  <c r="AS262" i="1"/>
  <c r="AL263" i="1"/>
  <c r="AM263" i="1"/>
  <c r="AN263" i="1"/>
  <c r="AO263" i="1"/>
  <c r="AP263" i="1"/>
  <c r="AQ263" i="1"/>
  <c r="AR263" i="1"/>
  <c r="AS263" i="1"/>
  <c r="AL264" i="1"/>
  <c r="AM264" i="1"/>
  <c r="AN264" i="1"/>
  <c r="AO264" i="1"/>
  <c r="AP264" i="1"/>
  <c r="AQ264" i="1"/>
  <c r="AR264" i="1"/>
  <c r="AS264" i="1"/>
  <c r="AL265" i="1"/>
  <c r="AM265" i="1"/>
  <c r="AN265" i="1"/>
  <c r="AO265" i="1"/>
  <c r="AP265" i="1"/>
  <c r="AQ265" i="1"/>
  <c r="AR265" i="1"/>
  <c r="AS265" i="1"/>
  <c r="AL266" i="1"/>
  <c r="AM266" i="1"/>
  <c r="AN266" i="1"/>
  <c r="AO266" i="1"/>
  <c r="AP266" i="1"/>
  <c r="AQ266" i="1"/>
  <c r="AR266" i="1"/>
  <c r="AS266" i="1"/>
  <c r="AL267" i="1"/>
  <c r="AM267" i="1"/>
  <c r="AN267" i="1"/>
  <c r="AO267" i="1"/>
  <c r="AP267" i="1"/>
  <c r="AQ267" i="1"/>
  <c r="AR267" i="1"/>
  <c r="AS267" i="1"/>
  <c r="AL268" i="1"/>
  <c r="AM268" i="1"/>
  <c r="AN268" i="1"/>
  <c r="AO268" i="1"/>
  <c r="AP268" i="1"/>
  <c r="AQ268" i="1"/>
  <c r="AR268" i="1"/>
  <c r="AS268" i="1"/>
  <c r="AL269" i="1"/>
  <c r="AM269" i="1"/>
  <c r="AN269" i="1"/>
  <c r="AO269" i="1"/>
  <c r="AP269" i="1"/>
  <c r="AQ269" i="1"/>
  <c r="AR269" i="1"/>
  <c r="AS269" i="1"/>
  <c r="AL270" i="1"/>
  <c r="AM270" i="1"/>
  <c r="AN270" i="1"/>
  <c r="AO270" i="1"/>
  <c r="AP270" i="1"/>
  <c r="AQ270" i="1"/>
  <c r="AR270" i="1"/>
  <c r="AS270" i="1"/>
  <c r="AL271" i="1"/>
  <c r="AM271" i="1"/>
  <c r="AN271" i="1"/>
  <c r="AO271" i="1"/>
  <c r="AP271" i="1"/>
  <c r="AQ271" i="1"/>
  <c r="AR271" i="1"/>
  <c r="AS271" i="1"/>
  <c r="AL272" i="1"/>
  <c r="AM272" i="1"/>
  <c r="AN272" i="1"/>
  <c r="AO272" i="1"/>
  <c r="AP272" i="1"/>
  <c r="AQ272" i="1"/>
  <c r="AR272" i="1"/>
  <c r="AS272" i="1"/>
  <c r="AL273" i="1"/>
  <c r="AM273" i="1"/>
  <c r="AN273" i="1"/>
  <c r="AO273" i="1"/>
  <c r="AP273" i="1"/>
  <c r="AQ273" i="1"/>
  <c r="AR273" i="1"/>
  <c r="AS273" i="1"/>
  <c r="AL274" i="1"/>
  <c r="AM274" i="1"/>
  <c r="AN274" i="1"/>
  <c r="AO274" i="1"/>
  <c r="AP274" i="1"/>
  <c r="AQ274" i="1"/>
  <c r="AR274" i="1"/>
  <c r="AS274" i="1"/>
  <c r="AL275" i="1"/>
  <c r="AM275" i="1"/>
  <c r="AN275" i="1"/>
  <c r="AO275" i="1"/>
  <c r="AP275" i="1"/>
  <c r="AQ275" i="1"/>
  <c r="AR275" i="1"/>
  <c r="AS275" i="1"/>
  <c r="AL276" i="1"/>
  <c r="AM276" i="1"/>
  <c r="AN276" i="1"/>
  <c r="AO276" i="1"/>
  <c r="AP276" i="1"/>
  <c r="AQ276" i="1"/>
  <c r="AR276" i="1"/>
  <c r="AS276" i="1"/>
  <c r="AL277" i="1"/>
  <c r="AM277" i="1"/>
  <c r="AN277" i="1"/>
  <c r="AO277" i="1"/>
  <c r="AP277" i="1"/>
  <c r="AQ277" i="1"/>
  <c r="AR277" i="1"/>
  <c r="AS277" i="1"/>
  <c r="AL278" i="1"/>
  <c r="AM278" i="1"/>
  <c r="AN278" i="1"/>
  <c r="AO278" i="1"/>
  <c r="AP278" i="1"/>
  <c r="AQ278" i="1"/>
  <c r="AR278" i="1"/>
  <c r="AS278" i="1"/>
  <c r="AL279" i="1"/>
  <c r="AM279" i="1"/>
  <c r="AN279" i="1"/>
  <c r="AO279" i="1"/>
  <c r="AP279" i="1"/>
  <c r="AQ279" i="1"/>
  <c r="AR279" i="1"/>
  <c r="AS279" i="1"/>
  <c r="AL280" i="1"/>
  <c r="AM280" i="1"/>
  <c r="AN280" i="1"/>
  <c r="AO280" i="1"/>
  <c r="AP280" i="1"/>
  <c r="AQ280" i="1"/>
  <c r="AR280" i="1"/>
  <c r="AS280" i="1"/>
  <c r="AL281" i="1"/>
  <c r="AM281" i="1"/>
  <c r="AN281" i="1"/>
  <c r="AO281" i="1"/>
  <c r="AP281" i="1"/>
  <c r="AQ281" i="1"/>
  <c r="AR281" i="1"/>
  <c r="AS281" i="1"/>
  <c r="AL282" i="1"/>
  <c r="AM282" i="1"/>
  <c r="AN282" i="1"/>
  <c r="AO282" i="1"/>
  <c r="AP282" i="1"/>
  <c r="AQ282" i="1"/>
  <c r="AR282" i="1"/>
  <c r="AS282" i="1"/>
  <c r="AL283" i="1"/>
  <c r="AM283" i="1"/>
  <c r="AN283" i="1"/>
  <c r="AO283" i="1"/>
  <c r="AP283" i="1"/>
  <c r="AQ283" i="1"/>
  <c r="AR283" i="1"/>
  <c r="AS283" i="1"/>
  <c r="AL284" i="1"/>
  <c r="AM284" i="1"/>
  <c r="AN284" i="1"/>
  <c r="AO284" i="1"/>
  <c r="AP284" i="1"/>
  <c r="AQ284" i="1"/>
  <c r="AR284" i="1"/>
  <c r="AS284" i="1"/>
  <c r="AL285" i="1"/>
  <c r="AM285" i="1"/>
  <c r="AN285" i="1"/>
  <c r="AO285" i="1"/>
  <c r="AP285" i="1"/>
  <c r="AQ285" i="1"/>
  <c r="AR285" i="1"/>
  <c r="AS285" i="1"/>
  <c r="AL286" i="1"/>
  <c r="AM286" i="1"/>
  <c r="AN286" i="1"/>
  <c r="AO286" i="1"/>
  <c r="AP286" i="1"/>
  <c r="AQ286" i="1"/>
  <c r="AR286" i="1"/>
  <c r="AS286" i="1"/>
  <c r="AL287" i="1"/>
  <c r="AM287" i="1"/>
  <c r="AN287" i="1"/>
  <c r="AO287" i="1"/>
  <c r="AP287" i="1"/>
  <c r="AQ287" i="1"/>
  <c r="AR287" i="1"/>
  <c r="AS287" i="1"/>
  <c r="AL288" i="1"/>
  <c r="AM288" i="1"/>
  <c r="AN288" i="1"/>
  <c r="AO288" i="1"/>
  <c r="AP288" i="1"/>
  <c r="AQ288" i="1"/>
  <c r="AR288" i="1"/>
  <c r="AS288" i="1"/>
  <c r="AL289" i="1"/>
  <c r="AM289" i="1"/>
  <c r="AN289" i="1"/>
  <c r="AO289" i="1"/>
  <c r="AP289" i="1"/>
  <c r="AQ289" i="1"/>
  <c r="AR289" i="1"/>
  <c r="AS289" i="1"/>
  <c r="AL290" i="1"/>
  <c r="AM290" i="1"/>
  <c r="AN290" i="1"/>
  <c r="AO290" i="1"/>
  <c r="AP290" i="1"/>
  <c r="AQ290" i="1"/>
  <c r="AR290" i="1"/>
  <c r="AS290" i="1"/>
  <c r="AL291" i="1"/>
  <c r="AM291" i="1"/>
  <c r="AN291" i="1"/>
  <c r="AO291" i="1"/>
  <c r="AP291" i="1"/>
  <c r="AQ291" i="1"/>
  <c r="AR291" i="1"/>
  <c r="AS291" i="1"/>
  <c r="AL292" i="1"/>
  <c r="AM292" i="1"/>
  <c r="AN292" i="1"/>
  <c r="AO292" i="1"/>
  <c r="AP292" i="1"/>
  <c r="AQ292" i="1"/>
  <c r="AR292" i="1"/>
  <c r="AS292" i="1"/>
  <c r="AL293" i="1"/>
  <c r="AM293" i="1"/>
  <c r="AN293" i="1"/>
  <c r="AO293" i="1"/>
  <c r="AP293" i="1"/>
  <c r="AQ293" i="1"/>
  <c r="AR293" i="1"/>
  <c r="AS293" i="1"/>
  <c r="AL294" i="1"/>
  <c r="AM294" i="1"/>
  <c r="AN294" i="1"/>
  <c r="AO294" i="1"/>
  <c r="AP294" i="1"/>
  <c r="AQ294" i="1"/>
  <c r="AR294" i="1"/>
  <c r="AS294" i="1"/>
  <c r="AL295" i="1"/>
  <c r="AM295" i="1"/>
  <c r="AN295" i="1"/>
  <c r="AO295" i="1"/>
  <c r="AP295" i="1"/>
  <c r="AQ295" i="1"/>
  <c r="AR295" i="1"/>
  <c r="AS295" i="1"/>
  <c r="AL296" i="1"/>
  <c r="AM296" i="1"/>
  <c r="AN296" i="1"/>
  <c r="AO296" i="1"/>
  <c r="AP296" i="1"/>
  <c r="AQ296" i="1"/>
  <c r="AR296" i="1"/>
  <c r="AS296" i="1"/>
  <c r="AL297" i="1"/>
  <c r="AM297" i="1"/>
  <c r="AN297" i="1"/>
  <c r="AO297" i="1"/>
  <c r="AP297" i="1"/>
  <c r="AQ297" i="1"/>
  <c r="AR297" i="1"/>
  <c r="AS297" i="1"/>
  <c r="AL298" i="1"/>
  <c r="AM298" i="1"/>
  <c r="AN298" i="1"/>
  <c r="AO298" i="1"/>
  <c r="AP298" i="1"/>
  <c r="AQ298" i="1"/>
  <c r="AR298" i="1"/>
  <c r="AS298" i="1"/>
  <c r="AL299" i="1"/>
  <c r="AM299" i="1"/>
  <c r="AN299" i="1"/>
  <c r="AO299" i="1"/>
  <c r="AP299" i="1"/>
  <c r="AQ299" i="1"/>
  <c r="AR299" i="1"/>
  <c r="AS299" i="1"/>
  <c r="AL300" i="1"/>
  <c r="AM300" i="1"/>
  <c r="AN300" i="1"/>
  <c r="AO300" i="1"/>
  <c r="AP300" i="1"/>
  <c r="AQ300" i="1"/>
  <c r="AR300" i="1"/>
  <c r="AS300" i="1"/>
  <c r="AL301" i="1"/>
  <c r="AM301" i="1"/>
  <c r="AN301" i="1"/>
  <c r="AO301" i="1"/>
  <c r="AP301" i="1"/>
  <c r="AQ301" i="1"/>
  <c r="AR301" i="1"/>
  <c r="AS301" i="1"/>
  <c r="AL302" i="1"/>
  <c r="AM302" i="1"/>
  <c r="AN302" i="1"/>
  <c r="AO302" i="1"/>
  <c r="AP302" i="1"/>
  <c r="AQ302" i="1"/>
  <c r="AR302" i="1"/>
  <c r="AS302" i="1"/>
  <c r="AL303" i="1"/>
  <c r="AM303" i="1"/>
  <c r="AN303" i="1"/>
  <c r="AO303" i="1"/>
  <c r="AP303" i="1"/>
  <c r="AQ303" i="1"/>
  <c r="AR303" i="1"/>
  <c r="AS303" i="1"/>
  <c r="AL304" i="1"/>
  <c r="AM304" i="1"/>
  <c r="AN304" i="1"/>
  <c r="AO304" i="1"/>
  <c r="AP304" i="1"/>
  <c r="AQ304" i="1"/>
  <c r="AR304" i="1"/>
  <c r="AS304" i="1"/>
  <c r="AL305" i="1"/>
  <c r="AM305" i="1"/>
  <c r="AN305" i="1"/>
  <c r="AO305" i="1"/>
  <c r="AP305" i="1"/>
  <c r="AQ305" i="1"/>
  <c r="AR305" i="1"/>
  <c r="AS305" i="1"/>
  <c r="AL306" i="1"/>
  <c r="AM306" i="1"/>
  <c r="AN306" i="1"/>
  <c r="AO306" i="1"/>
  <c r="AP306" i="1"/>
  <c r="AQ306" i="1"/>
  <c r="AR306" i="1"/>
  <c r="AS306" i="1"/>
  <c r="AL307" i="1"/>
  <c r="AM307" i="1"/>
  <c r="AN307" i="1"/>
  <c r="AO307" i="1"/>
  <c r="AP307" i="1"/>
  <c r="AQ307" i="1"/>
  <c r="AR307" i="1"/>
  <c r="AS307" i="1"/>
  <c r="AL308" i="1"/>
  <c r="AM308" i="1"/>
  <c r="AN308" i="1"/>
  <c r="AO308" i="1"/>
  <c r="AP308" i="1"/>
  <c r="AQ308" i="1"/>
  <c r="AR308" i="1"/>
  <c r="AS308" i="1"/>
  <c r="AL309" i="1"/>
  <c r="AM309" i="1"/>
  <c r="AN309" i="1"/>
  <c r="AO309" i="1"/>
  <c r="AP309" i="1"/>
  <c r="AQ309" i="1"/>
  <c r="AR309" i="1"/>
  <c r="AS309" i="1"/>
  <c r="AL310" i="1"/>
  <c r="AM310" i="1"/>
  <c r="AN310" i="1"/>
  <c r="AO310" i="1"/>
  <c r="AP310" i="1"/>
  <c r="AQ310" i="1"/>
  <c r="AR310" i="1"/>
  <c r="AS310" i="1"/>
  <c r="AL311" i="1"/>
  <c r="AM311" i="1"/>
  <c r="AN311" i="1"/>
  <c r="AO311" i="1"/>
  <c r="AP311" i="1"/>
  <c r="AQ311" i="1"/>
  <c r="AR311" i="1"/>
  <c r="AS311" i="1"/>
  <c r="AL312" i="1"/>
  <c r="AM312" i="1"/>
  <c r="AN312" i="1"/>
  <c r="AO312" i="1"/>
  <c r="AP312" i="1"/>
  <c r="AQ312" i="1"/>
  <c r="AR312" i="1"/>
  <c r="AS312" i="1"/>
  <c r="AL313" i="1"/>
  <c r="AM313" i="1"/>
  <c r="AN313" i="1"/>
  <c r="AO313" i="1"/>
  <c r="AP313" i="1"/>
  <c r="AQ313" i="1"/>
  <c r="AR313" i="1"/>
  <c r="AS313" i="1"/>
  <c r="AL314" i="1"/>
  <c r="AM314" i="1"/>
  <c r="AN314" i="1"/>
  <c r="AO314" i="1"/>
  <c r="AP314" i="1"/>
  <c r="AQ314" i="1"/>
  <c r="AR314" i="1"/>
  <c r="AS314" i="1"/>
  <c r="AL315" i="1"/>
  <c r="AM315" i="1"/>
  <c r="AN315" i="1"/>
  <c r="AO315" i="1"/>
  <c r="AP315" i="1"/>
  <c r="AQ315" i="1"/>
  <c r="AR315" i="1"/>
  <c r="AS315" i="1"/>
  <c r="AL316" i="1"/>
  <c r="AM316" i="1"/>
  <c r="AN316" i="1"/>
  <c r="AO316" i="1"/>
  <c r="AP316" i="1"/>
  <c r="AQ316" i="1"/>
  <c r="AR316" i="1"/>
  <c r="AS316" i="1"/>
  <c r="AL317" i="1"/>
  <c r="AM317" i="1"/>
  <c r="AN317" i="1"/>
  <c r="AO317" i="1"/>
  <c r="AP317" i="1"/>
  <c r="AQ317" i="1"/>
  <c r="AR317" i="1"/>
  <c r="AS317" i="1"/>
  <c r="AL318" i="1"/>
  <c r="AM318" i="1"/>
  <c r="AN318" i="1"/>
  <c r="AO318" i="1"/>
  <c r="AP318" i="1"/>
  <c r="AQ318" i="1"/>
  <c r="AR318" i="1"/>
  <c r="AS318" i="1"/>
  <c r="AL319" i="1"/>
  <c r="AM319" i="1"/>
  <c r="AN319" i="1"/>
  <c r="AO319" i="1"/>
  <c r="AP319" i="1"/>
  <c r="AQ319" i="1"/>
  <c r="AR319" i="1"/>
  <c r="AS319" i="1"/>
  <c r="AL320" i="1"/>
  <c r="AM320" i="1"/>
  <c r="AN320" i="1"/>
  <c r="AO320" i="1"/>
  <c r="AP320" i="1"/>
  <c r="AQ320" i="1"/>
  <c r="AR320" i="1"/>
  <c r="AS320" i="1"/>
  <c r="AL321" i="1"/>
  <c r="AM321" i="1"/>
  <c r="AN321" i="1"/>
  <c r="AO321" i="1"/>
  <c r="AP321" i="1"/>
  <c r="AQ321" i="1"/>
  <c r="AR321" i="1"/>
  <c r="AS321" i="1"/>
  <c r="AL322" i="1"/>
  <c r="AM322" i="1"/>
  <c r="AN322" i="1"/>
  <c r="AO322" i="1"/>
  <c r="AP322" i="1"/>
  <c r="AQ322" i="1"/>
  <c r="AR322" i="1"/>
  <c r="AS322" i="1"/>
  <c r="AL323" i="1"/>
  <c r="AM323" i="1"/>
  <c r="AN323" i="1"/>
  <c r="AO323" i="1"/>
  <c r="AP323" i="1"/>
  <c r="AQ323" i="1"/>
  <c r="AR323" i="1"/>
  <c r="AS323" i="1"/>
  <c r="AL324" i="1"/>
  <c r="AM324" i="1"/>
  <c r="AN324" i="1"/>
  <c r="AO324" i="1"/>
  <c r="AP324" i="1"/>
  <c r="AQ324" i="1"/>
  <c r="AR324" i="1"/>
  <c r="AS324" i="1"/>
  <c r="AL325" i="1"/>
  <c r="AM325" i="1"/>
  <c r="AN325" i="1"/>
  <c r="AO325" i="1"/>
  <c r="AP325" i="1"/>
  <c r="AQ325" i="1"/>
  <c r="AR325" i="1"/>
  <c r="AS325" i="1"/>
  <c r="AL326" i="1"/>
  <c r="AM326" i="1"/>
  <c r="AN326" i="1"/>
  <c r="AO326" i="1"/>
  <c r="AP326" i="1"/>
  <c r="AQ326" i="1"/>
  <c r="AR326" i="1"/>
  <c r="AS326" i="1"/>
  <c r="AL327" i="1"/>
  <c r="AM327" i="1"/>
  <c r="AN327" i="1"/>
  <c r="AO327" i="1"/>
  <c r="AP327" i="1"/>
  <c r="AQ327" i="1"/>
  <c r="AR327" i="1"/>
  <c r="AS327" i="1"/>
  <c r="AL328" i="1"/>
  <c r="AM328" i="1"/>
  <c r="AN328" i="1"/>
  <c r="AO328" i="1"/>
  <c r="AP328" i="1"/>
  <c r="AQ328" i="1"/>
  <c r="AR328" i="1"/>
  <c r="AS328" i="1"/>
  <c r="AL329" i="1"/>
  <c r="AM329" i="1"/>
  <c r="AN329" i="1"/>
  <c r="AO329" i="1"/>
  <c r="AP329" i="1"/>
  <c r="AQ329" i="1"/>
  <c r="AR329" i="1"/>
  <c r="AS329" i="1"/>
  <c r="AL330" i="1"/>
  <c r="AM330" i="1"/>
  <c r="AN330" i="1"/>
  <c r="AO330" i="1"/>
  <c r="AP330" i="1"/>
  <c r="AQ330" i="1"/>
  <c r="AR330" i="1"/>
  <c r="AS330" i="1"/>
  <c r="AL331" i="1"/>
  <c r="AM331" i="1"/>
  <c r="AN331" i="1"/>
  <c r="AO331" i="1"/>
  <c r="AP331" i="1"/>
  <c r="AQ331" i="1"/>
  <c r="AR331" i="1"/>
  <c r="AS331" i="1"/>
  <c r="AL332" i="1"/>
  <c r="AM332" i="1"/>
  <c r="AN332" i="1"/>
  <c r="AO332" i="1"/>
  <c r="AP332" i="1"/>
  <c r="AQ332" i="1"/>
  <c r="AR332" i="1"/>
  <c r="AS332" i="1"/>
  <c r="AL333" i="1"/>
  <c r="AM333" i="1"/>
  <c r="AN333" i="1"/>
  <c r="AO333" i="1"/>
  <c r="AP333" i="1"/>
  <c r="AQ333" i="1"/>
  <c r="AR333" i="1"/>
  <c r="AS333" i="1"/>
  <c r="AL334" i="1"/>
  <c r="AM334" i="1"/>
  <c r="AN334" i="1"/>
  <c r="AO334" i="1"/>
  <c r="AP334" i="1"/>
  <c r="AQ334" i="1"/>
  <c r="AR334" i="1"/>
  <c r="AS334" i="1"/>
  <c r="AL335" i="1"/>
  <c r="AM335" i="1"/>
  <c r="AN335" i="1"/>
  <c r="AO335" i="1"/>
  <c r="AP335" i="1"/>
  <c r="AQ335" i="1"/>
  <c r="AR335" i="1"/>
  <c r="AS335" i="1"/>
  <c r="AL336" i="1"/>
  <c r="AM336" i="1"/>
  <c r="AN336" i="1"/>
  <c r="AO336" i="1"/>
  <c r="AP336" i="1"/>
  <c r="AQ336" i="1"/>
  <c r="AR336" i="1"/>
  <c r="AS336" i="1"/>
  <c r="AL337" i="1"/>
  <c r="AM337" i="1"/>
  <c r="AN337" i="1"/>
  <c r="AO337" i="1"/>
  <c r="AP337" i="1"/>
  <c r="AQ337" i="1"/>
  <c r="AR337" i="1"/>
  <c r="AS337" i="1"/>
  <c r="AL338" i="1"/>
  <c r="AM338" i="1"/>
  <c r="AN338" i="1"/>
  <c r="AO338" i="1"/>
  <c r="AP338" i="1"/>
  <c r="AQ338" i="1"/>
  <c r="AR338" i="1"/>
  <c r="AS338" i="1"/>
  <c r="AL339" i="1"/>
  <c r="AM339" i="1"/>
  <c r="AN339" i="1"/>
  <c r="AO339" i="1"/>
  <c r="AP339" i="1"/>
  <c r="AQ339" i="1"/>
  <c r="AR339" i="1"/>
  <c r="AS339" i="1"/>
  <c r="AL340" i="1"/>
  <c r="AM340" i="1"/>
  <c r="AN340" i="1"/>
  <c r="AO340" i="1"/>
  <c r="AP340" i="1"/>
  <c r="AQ340" i="1"/>
  <c r="AR340" i="1"/>
  <c r="AS340" i="1"/>
  <c r="AL341" i="1"/>
  <c r="AM341" i="1"/>
  <c r="AN341" i="1"/>
  <c r="AO341" i="1"/>
  <c r="AP341" i="1"/>
  <c r="AQ341" i="1"/>
  <c r="AR341" i="1"/>
  <c r="AS341" i="1"/>
  <c r="AL342" i="1"/>
  <c r="AM342" i="1"/>
  <c r="AN342" i="1"/>
  <c r="AO342" i="1"/>
  <c r="AP342" i="1"/>
  <c r="AQ342" i="1"/>
  <c r="AR342" i="1"/>
  <c r="AS342" i="1"/>
  <c r="AL343" i="1"/>
  <c r="AM343" i="1"/>
  <c r="AN343" i="1"/>
  <c r="AO343" i="1"/>
  <c r="AP343" i="1"/>
  <c r="AQ343" i="1"/>
  <c r="AR343" i="1"/>
  <c r="AS343" i="1"/>
  <c r="AL344" i="1"/>
  <c r="AM344" i="1"/>
  <c r="AN344" i="1"/>
  <c r="AO344" i="1"/>
  <c r="AP344" i="1"/>
  <c r="AQ344" i="1"/>
  <c r="AR344" i="1"/>
  <c r="AS344" i="1"/>
  <c r="AL345" i="1"/>
  <c r="AM345" i="1"/>
  <c r="AN345" i="1"/>
  <c r="AO345" i="1"/>
  <c r="AP345" i="1"/>
  <c r="AQ345" i="1"/>
  <c r="AR345" i="1"/>
  <c r="AS345" i="1"/>
  <c r="AL346" i="1"/>
  <c r="AM346" i="1"/>
  <c r="AN346" i="1"/>
  <c r="AO346" i="1"/>
  <c r="AP346" i="1"/>
  <c r="AQ346" i="1"/>
  <c r="AR346" i="1"/>
  <c r="AS346" i="1"/>
  <c r="AL347" i="1"/>
  <c r="AM347" i="1"/>
  <c r="AN347" i="1"/>
  <c r="AO347" i="1"/>
  <c r="AP347" i="1"/>
  <c r="AQ347" i="1"/>
  <c r="AR347" i="1"/>
  <c r="AS347" i="1"/>
  <c r="AL348" i="1"/>
  <c r="AM348" i="1"/>
  <c r="AN348" i="1"/>
  <c r="AO348" i="1"/>
  <c r="AP348" i="1"/>
  <c r="AQ348" i="1"/>
  <c r="AR348" i="1"/>
  <c r="AS348" i="1"/>
  <c r="AL349" i="1"/>
  <c r="AM349" i="1"/>
  <c r="AN349" i="1"/>
  <c r="AO349" i="1"/>
  <c r="AP349" i="1"/>
  <c r="AQ349" i="1"/>
  <c r="AR349" i="1"/>
  <c r="AS349" i="1"/>
  <c r="AL350" i="1"/>
  <c r="AM350" i="1"/>
  <c r="AN350" i="1"/>
  <c r="AO350" i="1"/>
  <c r="AP350" i="1"/>
  <c r="AQ350" i="1"/>
  <c r="AR350" i="1"/>
  <c r="AS350" i="1"/>
  <c r="AL351" i="1"/>
  <c r="AM351" i="1"/>
  <c r="AN351" i="1"/>
  <c r="AO351" i="1"/>
  <c r="AP351" i="1"/>
  <c r="AQ351" i="1"/>
  <c r="AR351" i="1"/>
  <c r="AS351" i="1"/>
  <c r="AL352" i="1"/>
  <c r="AM352" i="1"/>
  <c r="AN352" i="1"/>
  <c r="AO352" i="1"/>
  <c r="AP352" i="1"/>
  <c r="AQ352" i="1"/>
  <c r="AR352" i="1"/>
  <c r="AS352" i="1"/>
  <c r="AL353" i="1"/>
  <c r="AM353" i="1"/>
  <c r="AN353" i="1"/>
  <c r="AO353" i="1"/>
  <c r="AP353" i="1"/>
  <c r="AQ353" i="1"/>
  <c r="AR353" i="1"/>
  <c r="AS353" i="1"/>
  <c r="AL354" i="1"/>
  <c r="AM354" i="1"/>
  <c r="AN354" i="1"/>
  <c r="AO354" i="1"/>
  <c r="AP354" i="1"/>
  <c r="AQ354" i="1"/>
  <c r="AR354" i="1"/>
  <c r="AS354" i="1"/>
  <c r="AL355" i="1"/>
  <c r="AM355" i="1"/>
  <c r="AN355" i="1"/>
  <c r="AO355" i="1"/>
  <c r="AP355" i="1"/>
  <c r="AQ355" i="1"/>
  <c r="AR355" i="1"/>
  <c r="AS355" i="1"/>
  <c r="AL356" i="1"/>
  <c r="AM356" i="1"/>
  <c r="AN356" i="1"/>
  <c r="AO356" i="1"/>
  <c r="AP356" i="1"/>
  <c r="AQ356" i="1"/>
  <c r="AR356" i="1"/>
  <c r="AS356" i="1"/>
  <c r="AL357" i="1"/>
  <c r="AM357" i="1"/>
  <c r="AN357" i="1"/>
  <c r="AO357" i="1"/>
  <c r="AP357" i="1"/>
  <c r="AQ357" i="1"/>
  <c r="AR357" i="1"/>
  <c r="AS357" i="1"/>
  <c r="AL358" i="1"/>
  <c r="AM358" i="1"/>
  <c r="AN358" i="1"/>
  <c r="AO358" i="1"/>
  <c r="AP358" i="1"/>
  <c r="AQ358" i="1"/>
  <c r="AR358" i="1"/>
  <c r="AS358" i="1"/>
  <c r="AL359" i="1"/>
  <c r="AM359" i="1"/>
  <c r="AN359" i="1"/>
  <c r="AO359" i="1"/>
  <c r="AP359" i="1"/>
  <c r="AQ359" i="1"/>
  <c r="AR359" i="1"/>
  <c r="AS359" i="1"/>
  <c r="AL360" i="1"/>
  <c r="AM360" i="1"/>
  <c r="AN360" i="1"/>
  <c r="AO360" i="1"/>
  <c r="AP360" i="1"/>
  <c r="AQ360" i="1"/>
  <c r="AR360" i="1"/>
  <c r="AS360" i="1"/>
  <c r="AL361" i="1"/>
  <c r="AM361" i="1"/>
  <c r="AN361" i="1"/>
  <c r="AO361" i="1"/>
  <c r="AP361" i="1"/>
  <c r="AQ361" i="1"/>
  <c r="AR361" i="1"/>
  <c r="AS361" i="1"/>
  <c r="AL362" i="1"/>
  <c r="AM362" i="1"/>
  <c r="AN362" i="1"/>
  <c r="AO362" i="1"/>
  <c r="AP362" i="1"/>
  <c r="AQ362" i="1"/>
  <c r="AR362" i="1"/>
  <c r="AS362" i="1"/>
  <c r="AL363" i="1"/>
  <c r="AM363" i="1"/>
  <c r="AN363" i="1"/>
  <c r="AO363" i="1"/>
  <c r="AP363" i="1"/>
  <c r="AQ363" i="1"/>
  <c r="AR363" i="1"/>
  <c r="AS363" i="1"/>
  <c r="AL364" i="1"/>
  <c r="AM364" i="1"/>
  <c r="AN364" i="1"/>
  <c r="AO364" i="1"/>
  <c r="AP364" i="1"/>
  <c r="AQ364" i="1"/>
  <c r="AR364" i="1"/>
  <c r="AS364" i="1"/>
  <c r="AL365" i="1"/>
  <c r="AM365" i="1"/>
  <c r="AN365" i="1"/>
  <c r="AO365" i="1"/>
  <c r="AP365" i="1"/>
  <c r="AQ365" i="1"/>
  <c r="AR365" i="1"/>
  <c r="AS365" i="1"/>
  <c r="AL366" i="1"/>
  <c r="AM366" i="1"/>
  <c r="AN366" i="1"/>
  <c r="AO366" i="1"/>
  <c r="AP366" i="1"/>
  <c r="AQ366" i="1"/>
  <c r="AR366" i="1"/>
  <c r="AS366" i="1"/>
  <c r="AL367" i="1"/>
  <c r="AM367" i="1"/>
  <c r="AN367" i="1"/>
  <c r="AO367" i="1"/>
  <c r="AP367" i="1"/>
  <c r="AQ367" i="1"/>
  <c r="AR367" i="1"/>
  <c r="AS367" i="1"/>
  <c r="AL368" i="1"/>
  <c r="AM368" i="1"/>
  <c r="AN368" i="1"/>
  <c r="AO368" i="1"/>
  <c r="AP368" i="1"/>
  <c r="AQ368" i="1"/>
  <c r="AR368" i="1"/>
  <c r="AS368" i="1"/>
  <c r="AL369" i="1"/>
  <c r="AM369" i="1"/>
  <c r="AN369" i="1"/>
  <c r="AO369" i="1"/>
  <c r="AP369" i="1"/>
  <c r="AQ369" i="1"/>
  <c r="AR369" i="1"/>
  <c r="AS369" i="1"/>
  <c r="AL370" i="1"/>
  <c r="AM370" i="1"/>
  <c r="AN370" i="1"/>
  <c r="AO370" i="1"/>
  <c r="AP370" i="1"/>
  <c r="AQ370" i="1"/>
  <c r="AR370" i="1"/>
  <c r="AS370" i="1"/>
  <c r="AL371" i="1"/>
  <c r="AM371" i="1"/>
  <c r="AN371" i="1"/>
  <c r="AO371" i="1"/>
  <c r="AP371" i="1"/>
  <c r="AQ371" i="1"/>
  <c r="AR371" i="1"/>
  <c r="AS371" i="1"/>
  <c r="AL372" i="1"/>
  <c r="AM372" i="1"/>
  <c r="AN372" i="1"/>
  <c r="AO372" i="1"/>
  <c r="AP372" i="1"/>
  <c r="AQ372" i="1"/>
  <c r="AR372" i="1"/>
  <c r="AS372" i="1"/>
  <c r="AL373" i="1"/>
  <c r="AM373" i="1"/>
  <c r="AN373" i="1"/>
  <c r="AO373" i="1"/>
  <c r="AP373" i="1"/>
  <c r="AQ373" i="1"/>
  <c r="AR373" i="1"/>
  <c r="AS373" i="1"/>
  <c r="AL374" i="1"/>
  <c r="AM374" i="1"/>
  <c r="AN374" i="1"/>
  <c r="AO374" i="1"/>
  <c r="AP374" i="1"/>
  <c r="AQ374" i="1"/>
  <c r="AR374" i="1"/>
  <c r="AS374" i="1"/>
  <c r="AL375" i="1"/>
  <c r="AM375" i="1"/>
  <c r="AN375" i="1"/>
  <c r="AO375" i="1"/>
  <c r="AP375" i="1"/>
  <c r="AQ375" i="1"/>
  <c r="AR375" i="1"/>
  <c r="AS375" i="1"/>
  <c r="AL376" i="1"/>
  <c r="AM376" i="1"/>
  <c r="AN376" i="1"/>
  <c r="AO376" i="1"/>
  <c r="AP376" i="1"/>
  <c r="AQ376" i="1"/>
  <c r="AR376" i="1"/>
  <c r="AS376" i="1"/>
  <c r="AL377" i="1"/>
  <c r="AM377" i="1"/>
  <c r="AN377" i="1"/>
  <c r="AO377" i="1"/>
  <c r="AP377" i="1"/>
  <c r="AQ377" i="1"/>
  <c r="AR377" i="1"/>
  <c r="AS377" i="1"/>
  <c r="AL378" i="1"/>
  <c r="AM378" i="1"/>
  <c r="AN378" i="1"/>
  <c r="AO378" i="1"/>
  <c r="AP378" i="1"/>
  <c r="AQ378" i="1"/>
  <c r="AR378" i="1"/>
  <c r="AS378" i="1"/>
  <c r="AL379" i="1"/>
  <c r="AM379" i="1"/>
  <c r="AN379" i="1"/>
  <c r="AO379" i="1"/>
  <c r="AP379" i="1"/>
  <c r="AQ379" i="1"/>
  <c r="AR379" i="1"/>
  <c r="AS379" i="1"/>
  <c r="AL380" i="1"/>
  <c r="AM380" i="1"/>
  <c r="AN380" i="1"/>
  <c r="AO380" i="1"/>
  <c r="AP380" i="1"/>
  <c r="AQ380" i="1"/>
  <c r="AR380" i="1"/>
  <c r="AS380" i="1"/>
  <c r="AL381" i="1"/>
  <c r="AM381" i="1"/>
  <c r="AN381" i="1"/>
  <c r="AO381" i="1"/>
  <c r="AP381" i="1"/>
  <c r="AQ381" i="1"/>
  <c r="AR381" i="1"/>
  <c r="AS381" i="1"/>
  <c r="AL382" i="1"/>
  <c r="AM382" i="1"/>
  <c r="AN382" i="1"/>
  <c r="AO382" i="1"/>
  <c r="AP382" i="1"/>
  <c r="AQ382" i="1"/>
  <c r="AR382" i="1"/>
  <c r="AS382" i="1"/>
  <c r="AL383" i="1"/>
  <c r="AM383" i="1"/>
  <c r="AN383" i="1"/>
  <c r="AO383" i="1"/>
  <c r="AP383" i="1"/>
  <c r="AQ383" i="1"/>
  <c r="AR383" i="1"/>
  <c r="AS383" i="1"/>
  <c r="AL384" i="1"/>
  <c r="AM384" i="1"/>
  <c r="AN384" i="1"/>
  <c r="AO384" i="1"/>
  <c r="AP384" i="1"/>
  <c r="AQ384" i="1"/>
  <c r="AR384" i="1"/>
  <c r="AS384" i="1"/>
  <c r="AL385" i="1"/>
  <c r="AM385" i="1"/>
  <c r="AN385" i="1"/>
  <c r="AO385" i="1"/>
  <c r="AP385" i="1"/>
  <c r="AQ385" i="1"/>
  <c r="AR385" i="1"/>
  <c r="AS385" i="1"/>
  <c r="AL386" i="1"/>
  <c r="AM386" i="1"/>
  <c r="AN386" i="1"/>
  <c r="AO386" i="1"/>
  <c r="AP386" i="1"/>
  <c r="AQ386" i="1"/>
  <c r="AR386" i="1"/>
  <c r="AS386" i="1"/>
  <c r="AL387" i="1"/>
  <c r="AM387" i="1"/>
  <c r="AN387" i="1"/>
  <c r="AO387" i="1"/>
  <c r="AP387" i="1"/>
  <c r="AQ387" i="1"/>
  <c r="AR387" i="1"/>
  <c r="AS387" i="1"/>
  <c r="AL388" i="1"/>
  <c r="AM388" i="1"/>
  <c r="AN388" i="1"/>
  <c r="AO388" i="1"/>
  <c r="AP388" i="1"/>
  <c r="AQ388" i="1"/>
  <c r="AR388" i="1"/>
  <c r="AS388" i="1"/>
  <c r="AL389" i="1"/>
  <c r="AM389" i="1"/>
  <c r="AN389" i="1"/>
  <c r="AO389" i="1"/>
  <c r="AP389" i="1"/>
  <c r="AQ389" i="1"/>
  <c r="AR389" i="1"/>
  <c r="AS389" i="1"/>
  <c r="AL390" i="1"/>
  <c r="AM390" i="1"/>
  <c r="AN390" i="1"/>
  <c r="AO390" i="1"/>
  <c r="AP390" i="1"/>
  <c r="AQ390" i="1"/>
  <c r="AR390" i="1"/>
  <c r="AS390" i="1"/>
  <c r="AL391" i="1"/>
  <c r="AM391" i="1"/>
  <c r="AN391" i="1"/>
  <c r="AO391" i="1"/>
  <c r="AP391" i="1"/>
  <c r="AQ391" i="1"/>
  <c r="AR391" i="1"/>
  <c r="AS391" i="1"/>
  <c r="AL392" i="1"/>
  <c r="AM392" i="1"/>
  <c r="AN392" i="1"/>
  <c r="AO392" i="1"/>
  <c r="AP392" i="1"/>
  <c r="AQ392" i="1"/>
  <c r="AR392" i="1"/>
  <c r="AS392" i="1"/>
  <c r="AL393" i="1"/>
  <c r="AM393" i="1"/>
  <c r="AN393" i="1"/>
  <c r="AO393" i="1"/>
  <c r="AP393" i="1"/>
  <c r="AQ393" i="1"/>
  <c r="AR393" i="1"/>
  <c r="AS393" i="1"/>
  <c r="AL394" i="1"/>
  <c r="AM394" i="1"/>
  <c r="AN394" i="1"/>
  <c r="AO394" i="1"/>
  <c r="AP394" i="1"/>
  <c r="AQ394" i="1"/>
  <c r="AR394" i="1"/>
  <c r="AS394" i="1"/>
  <c r="AL395" i="1"/>
  <c r="AM395" i="1"/>
  <c r="AN395" i="1"/>
  <c r="AO395" i="1"/>
  <c r="AP395" i="1"/>
  <c r="AQ395" i="1"/>
  <c r="AR395" i="1"/>
  <c r="AS395" i="1"/>
  <c r="AL396" i="1"/>
  <c r="AM396" i="1"/>
  <c r="AN396" i="1"/>
  <c r="AO396" i="1"/>
  <c r="AP396" i="1"/>
  <c r="AQ396" i="1"/>
  <c r="AR396" i="1"/>
  <c r="AS396" i="1"/>
  <c r="AL397" i="1"/>
  <c r="AM397" i="1"/>
  <c r="AN397" i="1"/>
  <c r="AO397" i="1"/>
  <c r="AP397" i="1"/>
  <c r="AQ397" i="1"/>
  <c r="AR397" i="1"/>
  <c r="AS397" i="1"/>
  <c r="AL398" i="1"/>
  <c r="AM398" i="1"/>
  <c r="AN398" i="1"/>
  <c r="AO398" i="1"/>
  <c r="AP398" i="1"/>
  <c r="AQ398" i="1"/>
  <c r="AR398" i="1"/>
  <c r="AS398" i="1"/>
  <c r="AL399" i="1"/>
  <c r="AM399" i="1"/>
  <c r="AN399" i="1"/>
  <c r="AO399" i="1"/>
  <c r="AP399" i="1"/>
  <c r="AQ399" i="1"/>
  <c r="AR399" i="1"/>
  <c r="AS399" i="1"/>
  <c r="AL400" i="1"/>
  <c r="AM400" i="1"/>
  <c r="AN400" i="1"/>
  <c r="AO400" i="1"/>
  <c r="AP400" i="1"/>
  <c r="AQ400" i="1"/>
  <c r="AR400" i="1"/>
  <c r="AS400" i="1"/>
  <c r="AL401" i="1"/>
  <c r="AM401" i="1"/>
  <c r="AN401" i="1"/>
  <c r="AO401" i="1"/>
  <c r="AP401" i="1"/>
  <c r="AQ401" i="1"/>
  <c r="AR401" i="1"/>
  <c r="AS401" i="1"/>
  <c r="AL402" i="1"/>
  <c r="AM402" i="1"/>
  <c r="AN402" i="1"/>
  <c r="AO402" i="1"/>
  <c r="AP402" i="1"/>
  <c r="AQ402" i="1"/>
  <c r="AR402" i="1"/>
  <c r="AS402" i="1"/>
  <c r="AL403" i="1"/>
  <c r="AM403" i="1"/>
  <c r="AN403" i="1"/>
  <c r="AO403" i="1"/>
  <c r="AP403" i="1"/>
  <c r="AQ403" i="1"/>
  <c r="AR403" i="1"/>
  <c r="AS403" i="1"/>
  <c r="AL404" i="1"/>
  <c r="AM404" i="1"/>
  <c r="AN404" i="1"/>
  <c r="AO404" i="1"/>
  <c r="AP404" i="1"/>
  <c r="AQ404" i="1"/>
  <c r="AR404" i="1"/>
  <c r="AS404" i="1"/>
  <c r="AL405" i="1"/>
  <c r="AM405" i="1"/>
  <c r="AN405" i="1"/>
  <c r="AO405" i="1"/>
  <c r="AP405" i="1"/>
  <c r="AQ405" i="1"/>
  <c r="AR405" i="1"/>
  <c r="AS405" i="1"/>
  <c r="AL406" i="1"/>
  <c r="AM406" i="1"/>
  <c r="AN406" i="1"/>
  <c r="AO406" i="1"/>
  <c r="AP406" i="1"/>
  <c r="AQ406" i="1"/>
  <c r="AR406" i="1"/>
  <c r="AS406" i="1"/>
  <c r="AL407" i="1"/>
  <c r="AM407" i="1"/>
  <c r="AN407" i="1"/>
  <c r="AO407" i="1"/>
  <c r="AP407" i="1"/>
  <c r="AQ407" i="1"/>
  <c r="AR407" i="1"/>
  <c r="AS407" i="1"/>
  <c r="AL408" i="1"/>
  <c r="AM408" i="1"/>
  <c r="AN408" i="1"/>
  <c r="AO408" i="1"/>
  <c r="AP408" i="1"/>
  <c r="AQ408" i="1"/>
  <c r="AR408" i="1"/>
  <c r="AS408" i="1"/>
  <c r="AL409" i="1"/>
  <c r="AM409" i="1"/>
  <c r="AN409" i="1"/>
  <c r="AO409" i="1"/>
  <c r="AP409" i="1"/>
  <c r="AQ409" i="1"/>
  <c r="AR409" i="1"/>
  <c r="AS409" i="1"/>
  <c r="AL410" i="1"/>
  <c r="AM410" i="1"/>
  <c r="AN410" i="1"/>
  <c r="AO410" i="1"/>
  <c r="AP410" i="1"/>
  <c r="AQ410" i="1"/>
  <c r="AR410" i="1"/>
  <c r="AS410" i="1"/>
  <c r="AL411" i="1"/>
  <c r="AM411" i="1"/>
  <c r="AN411" i="1"/>
  <c r="AO411" i="1"/>
  <c r="AP411" i="1"/>
  <c r="AQ411" i="1"/>
  <c r="AR411" i="1"/>
  <c r="AS411" i="1"/>
  <c r="AL412" i="1"/>
  <c r="AM412" i="1"/>
  <c r="AN412" i="1"/>
  <c r="AO412" i="1"/>
  <c r="AP412" i="1"/>
  <c r="AQ412" i="1"/>
  <c r="AR412" i="1"/>
  <c r="AS412" i="1"/>
  <c r="AL413" i="1"/>
  <c r="AM413" i="1"/>
  <c r="AN413" i="1"/>
  <c r="AO413" i="1"/>
  <c r="AP413" i="1"/>
  <c r="AQ413" i="1"/>
  <c r="AR413" i="1"/>
  <c r="AS413" i="1"/>
  <c r="AL414" i="1"/>
  <c r="AM414" i="1"/>
  <c r="AN414" i="1"/>
  <c r="AO414" i="1"/>
  <c r="AP414" i="1"/>
  <c r="AQ414" i="1"/>
  <c r="AR414" i="1"/>
  <c r="AS414" i="1"/>
  <c r="AL415" i="1"/>
  <c r="AM415" i="1"/>
  <c r="AN415" i="1"/>
  <c r="AO415" i="1"/>
  <c r="AP415" i="1"/>
  <c r="AQ415" i="1"/>
  <c r="AR415" i="1"/>
  <c r="AS415" i="1"/>
  <c r="AL416" i="1"/>
  <c r="AM416" i="1"/>
  <c r="AN416" i="1"/>
  <c r="AO416" i="1"/>
  <c r="AP416" i="1"/>
  <c r="AQ416" i="1"/>
  <c r="AR416" i="1"/>
  <c r="AS416" i="1"/>
  <c r="AL417" i="1"/>
  <c r="AM417" i="1"/>
  <c r="AN417" i="1"/>
  <c r="AO417" i="1"/>
  <c r="AP417" i="1"/>
  <c r="AQ417" i="1"/>
  <c r="AR417" i="1"/>
  <c r="AS417" i="1"/>
  <c r="AL418" i="1"/>
  <c r="AM418" i="1"/>
  <c r="AN418" i="1"/>
  <c r="AO418" i="1"/>
  <c r="AP418" i="1"/>
  <c r="AQ418" i="1"/>
  <c r="AR418" i="1"/>
  <c r="AS418" i="1"/>
  <c r="AL419" i="1"/>
  <c r="AM419" i="1"/>
  <c r="AN419" i="1"/>
  <c r="AO419" i="1"/>
  <c r="AP419" i="1"/>
  <c r="AQ419" i="1"/>
  <c r="AR419" i="1"/>
  <c r="AS419" i="1"/>
  <c r="AL420" i="1"/>
  <c r="AM420" i="1"/>
  <c r="AN420" i="1"/>
  <c r="AO420" i="1"/>
  <c r="AP420" i="1"/>
  <c r="AQ420" i="1"/>
  <c r="AR420" i="1"/>
  <c r="AS420" i="1"/>
  <c r="AL421" i="1"/>
  <c r="AM421" i="1"/>
  <c r="AN421" i="1"/>
  <c r="AO421" i="1"/>
  <c r="AP421" i="1"/>
  <c r="AQ421" i="1"/>
  <c r="AR421" i="1"/>
  <c r="AS421" i="1"/>
  <c r="AL422" i="1"/>
  <c r="AM422" i="1"/>
  <c r="AN422" i="1"/>
  <c r="AO422" i="1"/>
  <c r="AP422" i="1"/>
  <c r="AQ422" i="1"/>
  <c r="AR422" i="1"/>
  <c r="AS422" i="1"/>
  <c r="AL423" i="1"/>
  <c r="AM423" i="1"/>
  <c r="AN423" i="1"/>
  <c r="AO423" i="1"/>
  <c r="AP423" i="1"/>
  <c r="AQ423" i="1"/>
  <c r="AR423" i="1"/>
  <c r="AS423" i="1"/>
  <c r="AL424" i="1"/>
  <c r="AM424" i="1"/>
  <c r="AN424" i="1"/>
  <c r="AO424" i="1"/>
  <c r="AP424" i="1"/>
  <c r="AQ424" i="1"/>
  <c r="AR424" i="1"/>
  <c r="AS424" i="1"/>
  <c r="AL425" i="1"/>
  <c r="AM425" i="1"/>
  <c r="AN425" i="1"/>
  <c r="AO425" i="1"/>
  <c r="AP425" i="1"/>
  <c r="AQ425" i="1"/>
  <c r="AR425" i="1"/>
  <c r="AS425" i="1"/>
  <c r="AL426" i="1"/>
  <c r="AM426" i="1"/>
  <c r="AN426" i="1"/>
  <c r="AO426" i="1"/>
  <c r="AP426" i="1"/>
  <c r="AQ426" i="1"/>
  <c r="AR426" i="1"/>
  <c r="AS426" i="1"/>
  <c r="AL427" i="1"/>
  <c r="AM427" i="1"/>
  <c r="AN427" i="1"/>
  <c r="AO427" i="1"/>
  <c r="AP427" i="1"/>
  <c r="AQ427" i="1"/>
  <c r="AR427" i="1"/>
  <c r="AS427" i="1"/>
  <c r="AL428" i="1"/>
  <c r="AM428" i="1"/>
  <c r="AN428" i="1"/>
  <c r="AO428" i="1"/>
  <c r="AP428" i="1"/>
  <c r="AQ428" i="1"/>
  <c r="AR428" i="1"/>
  <c r="AS428" i="1"/>
  <c r="AL429" i="1"/>
  <c r="AM429" i="1"/>
  <c r="AN429" i="1"/>
  <c r="AO429" i="1"/>
  <c r="AP429" i="1"/>
  <c r="AQ429" i="1"/>
  <c r="AR429" i="1"/>
  <c r="AS429" i="1"/>
  <c r="AL430" i="1"/>
  <c r="AM430" i="1"/>
  <c r="AN430" i="1"/>
  <c r="AO430" i="1"/>
  <c r="AP430" i="1"/>
  <c r="AQ430" i="1"/>
  <c r="AR430" i="1"/>
  <c r="AS430" i="1"/>
  <c r="AL431" i="1"/>
  <c r="AM431" i="1"/>
  <c r="AN431" i="1"/>
  <c r="AO431" i="1"/>
  <c r="AP431" i="1"/>
  <c r="AQ431" i="1"/>
  <c r="AR431" i="1"/>
  <c r="AS431" i="1"/>
  <c r="AL432" i="1"/>
  <c r="AM432" i="1"/>
  <c r="AN432" i="1"/>
  <c r="AO432" i="1"/>
  <c r="AP432" i="1"/>
  <c r="AQ432" i="1"/>
  <c r="AR432" i="1"/>
  <c r="AS432" i="1"/>
  <c r="AL433" i="1"/>
  <c r="AM433" i="1"/>
  <c r="AN433" i="1"/>
  <c r="AO433" i="1"/>
  <c r="AP433" i="1"/>
  <c r="AQ433" i="1"/>
  <c r="AR433" i="1"/>
  <c r="AS433" i="1"/>
  <c r="AL434" i="1"/>
  <c r="AM434" i="1"/>
  <c r="AN434" i="1"/>
  <c r="AO434" i="1"/>
  <c r="AP434" i="1"/>
  <c r="AQ434" i="1"/>
  <c r="AR434" i="1"/>
  <c r="AS434" i="1"/>
  <c r="AL435" i="1"/>
  <c r="AM435" i="1"/>
  <c r="AN435" i="1"/>
  <c r="AO435" i="1"/>
  <c r="AP435" i="1"/>
  <c r="AQ435" i="1"/>
  <c r="AR435" i="1"/>
  <c r="AS435" i="1"/>
  <c r="AL436" i="1"/>
  <c r="AM436" i="1"/>
  <c r="AN436" i="1"/>
  <c r="AO436" i="1"/>
  <c r="AP436" i="1"/>
  <c r="AQ436" i="1"/>
  <c r="AR436" i="1"/>
  <c r="AS436" i="1"/>
  <c r="AL437" i="1"/>
  <c r="AM437" i="1"/>
  <c r="AN437" i="1"/>
  <c r="AO437" i="1"/>
  <c r="AP437" i="1"/>
  <c r="AQ437" i="1"/>
  <c r="AR437" i="1"/>
  <c r="AS437" i="1"/>
  <c r="AL438" i="1"/>
  <c r="AM438" i="1"/>
  <c r="AN438" i="1"/>
  <c r="AO438" i="1"/>
  <c r="AP438" i="1"/>
  <c r="AQ438" i="1"/>
  <c r="AR438" i="1"/>
  <c r="AS438" i="1"/>
  <c r="AL439" i="1"/>
  <c r="AM439" i="1"/>
  <c r="AN439" i="1"/>
  <c r="AO439" i="1"/>
  <c r="AP439" i="1"/>
  <c r="AQ439" i="1"/>
  <c r="AR439" i="1"/>
  <c r="AS439" i="1"/>
  <c r="AL440" i="1"/>
  <c r="AM440" i="1"/>
  <c r="AN440" i="1"/>
  <c r="AO440" i="1"/>
  <c r="AP440" i="1"/>
  <c r="AQ440" i="1"/>
  <c r="AR440" i="1"/>
  <c r="AS440" i="1"/>
  <c r="AL441" i="1"/>
  <c r="AM441" i="1"/>
  <c r="AN441" i="1"/>
  <c r="AO441" i="1"/>
  <c r="AP441" i="1"/>
  <c r="AQ441" i="1"/>
  <c r="AR441" i="1"/>
  <c r="AS441" i="1"/>
  <c r="AL442" i="1"/>
  <c r="AM442" i="1"/>
  <c r="AN442" i="1"/>
  <c r="AO442" i="1"/>
  <c r="AP442" i="1"/>
  <c r="AQ442" i="1"/>
  <c r="AR442" i="1"/>
  <c r="AS442" i="1"/>
  <c r="AL443" i="1"/>
  <c r="AM443" i="1"/>
  <c r="AN443" i="1"/>
  <c r="AO443" i="1"/>
  <c r="AP443" i="1"/>
  <c r="AQ443" i="1"/>
  <c r="AR443" i="1"/>
  <c r="AS443" i="1"/>
  <c r="AL444" i="1"/>
  <c r="AM444" i="1"/>
  <c r="AN444" i="1"/>
  <c r="AO444" i="1"/>
  <c r="AP444" i="1"/>
  <c r="AQ444" i="1"/>
  <c r="AR444" i="1"/>
  <c r="AS444" i="1"/>
  <c r="AL445" i="1"/>
  <c r="AM445" i="1"/>
  <c r="AN445" i="1"/>
  <c r="AO445" i="1"/>
  <c r="AP445" i="1"/>
  <c r="AQ445" i="1"/>
  <c r="AR445" i="1"/>
  <c r="AS445" i="1"/>
  <c r="AL446" i="1"/>
  <c r="AM446" i="1"/>
  <c r="AN446" i="1"/>
  <c r="AO446" i="1"/>
  <c r="AP446" i="1"/>
  <c r="AQ446" i="1"/>
  <c r="AR446" i="1"/>
  <c r="AS446" i="1"/>
  <c r="AL447" i="1"/>
  <c r="AM447" i="1"/>
  <c r="AN447" i="1"/>
  <c r="AO447" i="1"/>
  <c r="AP447" i="1"/>
  <c r="AQ447" i="1"/>
  <c r="AR447" i="1"/>
  <c r="AS447" i="1"/>
  <c r="AL448" i="1"/>
  <c r="AM448" i="1"/>
  <c r="AN448" i="1"/>
  <c r="AO448" i="1"/>
  <c r="AP448" i="1"/>
  <c r="AQ448" i="1"/>
  <c r="AR448" i="1"/>
  <c r="AS448" i="1"/>
  <c r="AL449" i="1"/>
  <c r="AM449" i="1"/>
  <c r="AN449" i="1"/>
  <c r="AO449" i="1"/>
  <c r="AP449" i="1"/>
  <c r="AQ449" i="1"/>
  <c r="AR449" i="1"/>
  <c r="AS449" i="1"/>
  <c r="AL450" i="1"/>
  <c r="AM450" i="1"/>
  <c r="AN450" i="1"/>
  <c r="AO450" i="1"/>
  <c r="AP450" i="1"/>
  <c r="AQ450" i="1"/>
  <c r="AR450" i="1"/>
  <c r="AS450" i="1"/>
  <c r="AL451" i="1"/>
  <c r="AM451" i="1"/>
  <c r="AN451" i="1"/>
  <c r="AO451" i="1"/>
  <c r="AP451" i="1"/>
  <c r="AQ451" i="1"/>
  <c r="AR451" i="1"/>
  <c r="AS451" i="1"/>
  <c r="AL452" i="1"/>
  <c r="AM452" i="1"/>
  <c r="AN452" i="1"/>
  <c r="AO452" i="1"/>
  <c r="AP452" i="1"/>
  <c r="AQ452" i="1"/>
  <c r="AR452" i="1"/>
  <c r="AS452" i="1"/>
  <c r="AL453" i="1"/>
  <c r="AM453" i="1"/>
  <c r="AN453" i="1"/>
  <c r="AO453" i="1"/>
  <c r="AP453" i="1"/>
  <c r="AQ453" i="1"/>
  <c r="AR453" i="1"/>
  <c r="AS453" i="1"/>
  <c r="AL454" i="1"/>
  <c r="AM454" i="1"/>
  <c r="AN454" i="1"/>
  <c r="AO454" i="1"/>
  <c r="AP454" i="1"/>
  <c r="AQ454" i="1"/>
  <c r="AR454" i="1"/>
  <c r="AS454" i="1"/>
  <c r="AL455" i="1"/>
  <c r="AM455" i="1"/>
  <c r="AN455" i="1"/>
  <c r="AO455" i="1"/>
  <c r="AP455" i="1"/>
  <c r="AQ455" i="1"/>
  <c r="AR455" i="1"/>
  <c r="AS455" i="1"/>
  <c r="AL456" i="1"/>
  <c r="AM456" i="1"/>
  <c r="AN456" i="1"/>
  <c r="AO456" i="1"/>
  <c r="AP456" i="1"/>
  <c r="AQ456" i="1"/>
  <c r="AR456" i="1"/>
  <c r="AS456" i="1"/>
  <c r="AL457" i="1"/>
  <c r="AM457" i="1"/>
  <c r="AN457" i="1"/>
  <c r="AO457" i="1"/>
  <c r="AP457" i="1"/>
  <c r="AQ457" i="1"/>
  <c r="AR457" i="1"/>
  <c r="AS457" i="1"/>
  <c r="AL458" i="1"/>
  <c r="AM458" i="1"/>
  <c r="AN458" i="1"/>
  <c r="AO458" i="1"/>
  <c r="AP458" i="1"/>
  <c r="AQ458" i="1"/>
  <c r="AR458" i="1"/>
  <c r="AS458" i="1"/>
  <c r="AL459" i="1"/>
  <c r="AM459" i="1"/>
  <c r="AN459" i="1"/>
  <c r="AO459" i="1"/>
  <c r="AP459" i="1"/>
  <c r="AQ459" i="1"/>
  <c r="AR459" i="1"/>
  <c r="AS459" i="1"/>
  <c r="AL460" i="1"/>
  <c r="AM460" i="1"/>
  <c r="AN460" i="1"/>
  <c r="AO460" i="1"/>
  <c r="AP460" i="1"/>
  <c r="AQ460" i="1"/>
  <c r="AR460" i="1"/>
  <c r="AS460" i="1"/>
  <c r="AL461" i="1"/>
  <c r="AM461" i="1"/>
  <c r="AN461" i="1"/>
  <c r="AO461" i="1"/>
  <c r="AP461" i="1"/>
  <c r="AQ461" i="1"/>
  <c r="AR461" i="1"/>
  <c r="AS461" i="1"/>
  <c r="AL462" i="1"/>
  <c r="AM462" i="1"/>
  <c r="AN462" i="1"/>
  <c r="AO462" i="1"/>
  <c r="AP462" i="1"/>
  <c r="AQ462" i="1"/>
  <c r="AR462" i="1"/>
  <c r="AS462" i="1"/>
  <c r="AL463" i="1"/>
  <c r="AM463" i="1"/>
  <c r="AN463" i="1"/>
  <c r="AO463" i="1"/>
  <c r="AP463" i="1"/>
  <c r="AQ463" i="1"/>
  <c r="AR463" i="1"/>
  <c r="AS463" i="1"/>
  <c r="AL464" i="1"/>
  <c r="AM464" i="1"/>
  <c r="AN464" i="1"/>
  <c r="AO464" i="1"/>
  <c r="AP464" i="1"/>
  <c r="AQ464" i="1"/>
  <c r="AR464" i="1"/>
  <c r="AS464" i="1"/>
  <c r="AL465" i="1"/>
  <c r="AM465" i="1"/>
  <c r="AN465" i="1"/>
  <c r="AO465" i="1"/>
  <c r="AP465" i="1"/>
  <c r="AQ465" i="1"/>
  <c r="AR465" i="1"/>
  <c r="AS465" i="1"/>
  <c r="AL466" i="1"/>
  <c r="AM466" i="1"/>
  <c r="AN466" i="1"/>
  <c r="AO466" i="1"/>
  <c r="AP466" i="1"/>
  <c r="AQ466" i="1"/>
  <c r="AR466" i="1"/>
  <c r="AS466" i="1"/>
  <c r="AL467" i="1"/>
  <c r="AM467" i="1"/>
  <c r="AN467" i="1"/>
  <c r="AO467" i="1"/>
  <c r="AP467" i="1"/>
  <c r="AQ467" i="1"/>
  <c r="AR467" i="1"/>
  <c r="AS467" i="1"/>
  <c r="AL468" i="1"/>
  <c r="AM468" i="1"/>
  <c r="AN468" i="1"/>
  <c r="AO468" i="1"/>
  <c r="AP468" i="1"/>
  <c r="AQ468" i="1"/>
  <c r="AR468" i="1"/>
  <c r="AS468" i="1"/>
  <c r="AL469" i="1"/>
  <c r="AM469" i="1"/>
  <c r="AN469" i="1"/>
  <c r="AO469" i="1"/>
  <c r="AP469" i="1"/>
  <c r="AQ469" i="1"/>
  <c r="AR469" i="1"/>
  <c r="AS469" i="1"/>
  <c r="AL470" i="1"/>
  <c r="AM470" i="1"/>
  <c r="AN470" i="1"/>
  <c r="AO470" i="1"/>
  <c r="AP470" i="1"/>
  <c r="AQ470" i="1"/>
  <c r="AR470" i="1"/>
  <c r="AS470" i="1"/>
  <c r="AL471" i="1"/>
  <c r="AM471" i="1"/>
  <c r="AN471" i="1"/>
  <c r="AO471" i="1"/>
  <c r="AP471" i="1"/>
  <c r="AQ471" i="1"/>
  <c r="AR471" i="1"/>
  <c r="AS471" i="1"/>
  <c r="AL472" i="1"/>
  <c r="AM472" i="1"/>
  <c r="AN472" i="1"/>
  <c r="AO472" i="1"/>
  <c r="AP472" i="1"/>
  <c r="AQ472" i="1"/>
  <c r="AR472" i="1"/>
  <c r="AS472" i="1"/>
  <c r="AL473" i="1"/>
  <c r="AM473" i="1"/>
  <c r="AN473" i="1"/>
  <c r="AO473" i="1"/>
  <c r="AP473" i="1"/>
  <c r="AQ473" i="1"/>
  <c r="AR473" i="1"/>
  <c r="AS473" i="1"/>
  <c r="AL474" i="1"/>
  <c r="AM474" i="1"/>
  <c r="AN474" i="1"/>
  <c r="AO474" i="1"/>
  <c r="AP474" i="1"/>
  <c r="AQ474" i="1"/>
  <c r="AR474" i="1"/>
  <c r="AS474" i="1"/>
  <c r="AL475" i="1"/>
  <c r="AM475" i="1"/>
  <c r="AN475" i="1"/>
  <c r="AO475" i="1"/>
  <c r="AP475" i="1"/>
  <c r="AQ475" i="1"/>
  <c r="AR475" i="1"/>
  <c r="AS475" i="1"/>
  <c r="AL476" i="1"/>
  <c r="AM476" i="1"/>
  <c r="AN476" i="1"/>
  <c r="AO476" i="1"/>
  <c r="AP476" i="1"/>
  <c r="AQ476" i="1"/>
  <c r="AR476" i="1"/>
  <c r="AS476" i="1"/>
  <c r="AL477" i="1"/>
  <c r="AM477" i="1"/>
  <c r="AN477" i="1"/>
  <c r="AO477" i="1"/>
  <c r="AP477" i="1"/>
  <c r="AQ477" i="1"/>
  <c r="AR477" i="1"/>
  <c r="AS477" i="1"/>
  <c r="AL478" i="1"/>
  <c r="AM478" i="1"/>
  <c r="AN478" i="1"/>
  <c r="AO478" i="1"/>
  <c r="AP478" i="1"/>
  <c r="AQ478" i="1"/>
  <c r="AR478" i="1"/>
  <c r="AS478" i="1"/>
  <c r="AL479" i="1"/>
  <c r="AM479" i="1"/>
  <c r="AN479" i="1"/>
  <c r="AO479" i="1"/>
  <c r="AP479" i="1"/>
  <c r="AQ479" i="1"/>
  <c r="AR479" i="1"/>
  <c r="AS479" i="1"/>
  <c r="AL480" i="1"/>
  <c r="AM480" i="1"/>
  <c r="AN480" i="1"/>
  <c r="AO480" i="1"/>
  <c r="AP480" i="1"/>
  <c r="AQ480" i="1"/>
  <c r="AR480" i="1"/>
  <c r="AS480" i="1"/>
  <c r="AL481" i="1"/>
  <c r="AM481" i="1"/>
  <c r="AN481" i="1"/>
  <c r="AO481" i="1"/>
  <c r="AP481" i="1"/>
  <c r="AQ481" i="1"/>
  <c r="AR481" i="1"/>
  <c r="AS481" i="1"/>
  <c r="AL482" i="1"/>
  <c r="AM482" i="1"/>
  <c r="AN482" i="1"/>
  <c r="AO482" i="1"/>
  <c r="AP482" i="1"/>
  <c r="AQ482" i="1"/>
  <c r="AR482" i="1"/>
  <c r="AS482" i="1"/>
  <c r="AL483" i="1"/>
  <c r="AM483" i="1"/>
  <c r="AN483" i="1"/>
  <c r="AO483" i="1"/>
  <c r="AP483" i="1"/>
  <c r="AQ483" i="1"/>
  <c r="AR483" i="1"/>
  <c r="AS483" i="1"/>
  <c r="AL484" i="1"/>
  <c r="AM484" i="1"/>
  <c r="AN484" i="1"/>
  <c r="AO484" i="1"/>
  <c r="AP484" i="1"/>
  <c r="AQ484" i="1"/>
  <c r="AR484" i="1"/>
  <c r="AS484" i="1"/>
  <c r="AL485" i="1"/>
  <c r="AM485" i="1"/>
  <c r="AN485" i="1"/>
  <c r="AO485" i="1"/>
  <c r="AP485" i="1"/>
  <c r="AQ485" i="1"/>
  <c r="AR485" i="1"/>
  <c r="AS485" i="1"/>
  <c r="AL486" i="1"/>
  <c r="AM486" i="1"/>
  <c r="AN486" i="1"/>
  <c r="AO486" i="1"/>
  <c r="AP486" i="1"/>
  <c r="AQ486" i="1"/>
  <c r="AR486" i="1"/>
  <c r="AS486" i="1"/>
  <c r="AL487" i="1"/>
  <c r="AM487" i="1"/>
  <c r="AN487" i="1"/>
  <c r="AO487" i="1"/>
  <c r="AP487" i="1"/>
  <c r="AQ487" i="1"/>
  <c r="AR487" i="1"/>
  <c r="AS487" i="1"/>
  <c r="AL488" i="1"/>
  <c r="AM488" i="1"/>
  <c r="AN488" i="1"/>
  <c r="AO488" i="1"/>
  <c r="AP488" i="1"/>
  <c r="AQ488" i="1"/>
  <c r="AR488" i="1"/>
  <c r="AS488" i="1"/>
  <c r="AL489" i="1"/>
  <c r="AM489" i="1"/>
  <c r="AN489" i="1"/>
  <c r="AO489" i="1"/>
  <c r="AP489" i="1"/>
  <c r="AQ489" i="1"/>
  <c r="AR489" i="1"/>
  <c r="AS489" i="1"/>
  <c r="AL490" i="1"/>
  <c r="AM490" i="1"/>
  <c r="AN490" i="1"/>
  <c r="AO490" i="1"/>
  <c r="AP490" i="1"/>
  <c r="AQ490" i="1"/>
  <c r="AR490" i="1"/>
  <c r="AS490" i="1"/>
  <c r="AL491" i="1"/>
  <c r="AM491" i="1"/>
  <c r="AN491" i="1"/>
  <c r="AO491" i="1"/>
  <c r="AP491" i="1"/>
  <c r="AQ491" i="1"/>
  <c r="AR491" i="1"/>
  <c r="AS491" i="1"/>
  <c r="AL492" i="1"/>
  <c r="AM492" i="1"/>
  <c r="AN492" i="1"/>
  <c r="AO492" i="1"/>
  <c r="AP492" i="1"/>
  <c r="AQ492" i="1"/>
  <c r="AR492" i="1"/>
  <c r="AS492" i="1"/>
  <c r="AL493" i="1"/>
  <c r="AM493" i="1"/>
  <c r="AN493" i="1"/>
  <c r="AO493" i="1"/>
  <c r="AP493" i="1"/>
  <c r="AQ493" i="1"/>
  <c r="AR493" i="1"/>
  <c r="AS493" i="1"/>
  <c r="AL494" i="1"/>
  <c r="AM494" i="1"/>
  <c r="AN494" i="1"/>
  <c r="AO494" i="1"/>
  <c r="AP494" i="1"/>
  <c r="AQ494" i="1"/>
  <c r="AR494" i="1"/>
  <c r="AS494" i="1"/>
  <c r="AL495" i="1"/>
  <c r="AM495" i="1"/>
  <c r="AN495" i="1"/>
  <c r="AO495" i="1"/>
  <c r="AP495" i="1"/>
  <c r="AQ495" i="1"/>
  <c r="AR495" i="1"/>
  <c r="AS495" i="1"/>
  <c r="AL496" i="1"/>
  <c r="AM496" i="1"/>
  <c r="AN496" i="1"/>
  <c r="AO496" i="1"/>
  <c r="AP496" i="1"/>
  <c r="AQ496" i="1"/>
  <c r="AR496" i="1"/>
  <c r="AS496" i="1"/>
  <c r="AL497" i="1"/>
  <c r="AM497" i="1"/>
  <c r="AN497" i="1"/>
  <c r="AO497" i="1"/>
  <c r="AP497" i="1"/>
  <c r="AQ497" i="1"/>
  <c r="AR497" i="1"/>
  <c r="AS497" i="1"/>
  <c r="AL498" i="1"/>
  <c r="AM498" i="1"/>
  <c r="AN498" i="1"/>
  <c r="AO498" i="1"/>
  <c r="AP498" i="1"/>
  <c r="AQ498" i="1"/>
  <c r="AR498" i="1"/>
  <c r="AS498" i="1"/>
  <c r="AL499" i="1"/>
  <c r="AM499" i="1"/>
  <c r="AN499" i="1"/>
  <c r="AO499" i="1"/>
  <c r="AP499" i="1"/>
  <c r="AQ499" i="1"/>
  <c r="AR499" i="1"/>
  <c r="AS499" i="1"/>
  <c r="AL500" i="1"/>
  <c r="AM500" i="1"/>
  <c r="AN500" i="1"/>
  <c r="AO500" i="1"/>
  <c r="AP500" i="1"/>
  <c r="AQ500" i="1"/>
  <c r="AR500" i="1"/>
  <c r="AS500" i="1"/>
  <c r="AL501" i="1"/>
  <c r="AM501" i="1"/>
  <c r="AN501" i="1"/>
  <c r="AO501" i="1"/>
  <c r="AP501" i="1"/>
  <c r="AQ501" i="1"/>
  <c r="AR501" i="1"/>
  <c r="AS501" i="1"/>
  <c r="AL502" i="1"/>
  <c r="AM502" i="1"/>
  <c r="AN502" i="1"/>
  <c r="AO502" i="1"/>
  <c r="AP502" i="1"/>
  <c r="AQ502" i="1"/>
  <c r="AR502" i="1"/>
  <c r="AS502" i="1"/>
  <c r="AL503" i="1"/>
  <c r="AM503" i="1"/>
  <c r="AN503" i="1"/>
  <c r="AO503" i="1"/>
  <c r="AP503" i="1"/>
  <c r="AQ503" i="1"/>
  <c r="AR503" i="1"/>
  <c r="AS503" i="1"/>
  <c r="AL504" i="1"/>
  <c r="AM504" i="1"/>
  <c r="AN504" i="1"/>
  <c r="AO504" i="1"/>
  <c r="AP504" i="1"/>
  <c r="AQ504" i="1"/>
  <c r="AR504" i="1"/>
  <c r="AS504" i="1"/>
  <c r="AL505" i="1"/>
  <c r="AM505" i="1"/>
  <c r="AN505" i="1"/>
  <c r="AO505" i="1"/>
  <c r="AP505" i="1"/>
  <c r="AQ505" i="1"/>
  <c r="AR505" i="1"/>
  <c r="AS505" i="1"/>
  <c r="AL506" i="1"/>
  <c r="AM506" i="1"/>
  <c r="AN506" i="1"/>
  <c r="AO506" i="1"/>
  <c r="AP506" i="1"/>
  <c r="AQ506" i="1"/>
  <c r="AR506" i="1"/>
  <c r="AS506" i="1"/>
  <c r="AL507" i="1"/>
  <c r="AM507" i="1"/>
  <c r="AN507" i="1"/>
  <c r="AO507" i="1"/>
  <c r="AP507" i="1"/>
  <c r="AQ507" i="1"/>
  <c r="AR507" i="1"/>
  <c r="AS507" i="1"/>
  <c r="AL508" i="1"/>
  <c r="AM508" i="1"/>
  <c r="AN508" i="1"/>
  <c r="AO508" i="1"/>
  <c r="AP508" i="1"/>
  <c r="AQ508" i="1"/>
  <c r="AR508" i="1"/>
  <c r="AS508" i="1"/>
  <c r="AL509" i="1"/>
  <c r="AM509" i="1"/>
  <c r="AN509" i="1"/>
  <c r="AO509" i="1"/>
  <c r="AP509" i="1"/>
  <c r="AQ509" i="1"/>
  <c r="AR509" i="1"/>
  <c r="AS509" i="1"/>
  <c r="AL510" i="1"/>
  <c r="AM510" i="1"/>
  <c r="AN510" i="1"/>
  <c r="AO510" i="1"/>
  <c r="AP510" i="1"/>
  <c r="AQ510" i="1"/>
  <c r="AR510" i="1"/>
  <c r="AS510" i="1"/>
  <c r="AL511" i="1"/>
  <c r="AM511" i="1"/>
  <c r="AN511" i="1"/>
  <c r="AO511" i="1"/>
  <c r="AP511" i="1"/>
  <c r="AQ511" i="1"/>
  <c r="AR511" i="1"/>
  <c r="AS511" i="1"/>
  <c r="AL512" i="1"/>
  <c r="AM512" i="1"/>
  <c r="AN512" i="1"/>
  <c r="AO512" i="1"/>
  <c r="AP512" i="1"/>
  <c r="AQ512" i="1"/>
  <c r="AR512" i="1"/>
  <c r="AS512" i="1"/>
  <c r="AL513" i="1"/>
  <c r="AM513" i="1"/>
  <c r="AN513" i="1"/>
  <c r="AO513" i="1"/>
  <c r="AP513" i="1"/>
  <c r="AQ513" i="1"/>
  <c r="AR513" i="1"/>
  <c r="AS513" i="1"/>
  <c r="AL514" i="1"/>
  <c r="AM514" i="1"/>
  <c r="AN514" i="1"/>
  <c r="AO514" i="1"/>
  <c r="AP514" i="1"/>
  <c r="AQ514" i="1"/>
  <c r="AR514" i="1"/>
  <c r="AS514" i="1"/>
  <c r="AL515" i="1"/>
  <c r="AM515" i="1"/>
  <c r="AN515" i="1"/>
  <c r="AO515" i="1"/>
  <c r="AP515" i="1"/>
  <c r="AQ515" i="1"/>
  <c r="AR515" i="1"/>
  <c r="AS515" i="1"/>
  <c r="AL516" i="1"/>
  <c r="AM516" i="1"/>
  <c r="AN516" i="1"/>
  <c r="AO516" i="1"/>
  <c r="AP516" i="1"/>
  <c r="AQ516" i="1"/>
  <c r="AR516" i="1"/>
  <c r="AS516" i="1"/>
  <c r="AL517" i="1"/>
  <c r="AM517" i="1"/>
  <c r="AN517" i="1"/>
  <c r="AO517" i="1"/>
  <c r="AP517" i="1"/>
  <c r="AQ517" i="1"/>
  <c r="AR517" i="1"/>
  <c r="AS517" i="1"/>
  <c r="AL518" i="1"/>
  <c r="AM518" i="1"/>
  <c r="AN518" i="1"/>
  <c r="AO518" i="1"/>
  <c r="AP518" i="1"/>
  <c r="AQ518" i="1"/>
  <c r="AR518" i="1"/>
  <c r="AS518" i="1"/>
  <c r="AL519" i="1"/>
  <c r="AM519" i="1"/>
  <c r="AN519" i="1"/>
  <c r="AO519" i="1"/>
  <c r="AP519" i="1"/>
  <c r="AQ519" i="1"/>
  <c r="AR519" i="1"/>
  <c r="AS519" i="1"/>
  <c r="AL520" i="1"/>
  <c r="AM520" i="1"/>
  <c r="AN520" i="1"/>
  <c r="AO520" i="1"/>
  <c r="AP520" i="1"/>
  <c r="AQ520" i="1"/>
  <c r="AR520" i="1"/>
  <c r="AS520" i="1"/>
  <c r="AL521" i="1"/>
  <c r="AM521" i="1"/>
  <c r="AN521" i="1"/>
  <c r="AO521" i="1"/>
  <c r="AP521" i="1"/>
  <c r="AQ521" i="1"/>
  <c r="AR521" i="1"/>
  <c r="AS521" i="1"/>
  <c r="AL522" i="1"/>
  <c r="AM522" i="1"/>
  <c r="AN522" i="1"/>
  <c r="AO522" i="1"/>
  <c r="AP522" i="1"/>
  <c r="AQ522" i="1"/>
  <c r="AR522" i="1"/>
  <c r="AS522" i="1"/>
  <c r="AL523" i="1"/>
  <c r="AM523" i="1"/>
  <c r="AN523" i="1"/>
  <c r="AO523" i="1"/>
  <c r="AP523" i="1"/>
  <c r="AQ523" i="1"/>
  <c r="AR523" i="1"/>
  <c r="AS523" i="1"/>
  <c r="AL524" i="1"/>
  <c r="AM524" i="1"/>
  <c r="AN524" i="1"/>
  <c r="AO524" i="1"/>
  <c r="AP524" i="1"/>
  <c r="AQ524" i="1"/>
  <c r="AR524" i="1"/>
  <c r="AS524" i="1"/>
  <c r="AL525" i="1"/>
  <c r="AM525" i="1"/>
  <c r="AN525" i="1"/>
  <c r="AO525" i="1"/>
  <c r="AP525" i="1"/>
  <c r="AQ525" i="1"/>
  <c r="AR525" i="1"/>
  <c r="AS525" i="1"/>
  <c r="AL526" i="1"/>
  <c r="AM526" i="1"/>
  <c r="AN526" i="1"/>
  <c r="AO526" i="1"/>
  <c r="AP526" i="1"/>
  <c r="AQ526" i="1"/>
  <c r="AR526" i="1"/>
  <c r="AS526" i="1"/>
  <c r="AL527" i="1"/>
  <c r="AM527" i="1"/>
  <c r="AN527" i="1"/>
  <c r="AO527" i="1"/>
  <c r="AP527" i="1"/>
  <c r="AQ527" i="1"/>
  <c r="AR527" i="1"/>
  <c r="AS527" i="1"/>
  <c r="AL528" i="1"/>
  <c r="AM528" i="1"/>
  <c r="AN528" i="1"/>
  <c r="AO528" i="1"/>
  <c r="AP528" i="1"/>
  <c r="AQ528" i="1"/>
  <c r="AR528" i="1"/>
  <c r="AS528" i="1"/>
  <c r="AL529" i="1"/>
  <c r="AM529" i="1"/>
  <c r="AN529" i="1"/>
  <c r="AO529" i="1"/>
  <c r="AP529" i="1"/>
  <c r="AQ529" i="1"/>
  <c r="AR529" i="1"/>
  <c r="AS529" i="1"/>
  <c r="AL530" i="1"/>
  <c r="AM530" i="1"/>
  <c r="AN530" i="1"/>
  <c r="AO530" i="1"/>
  <c r="AP530" i="1"/>
  <c r="AQ530" i="1"/>
  <c r="AR530" i="1"/>
  <c r="AS530" i="1"/>
  <c r="AL531" i="1"/>
  <c r="AM531" i="1"/>
  <c r="AN531" i="1"/>
  <c r="AO531" i="1"/>
  <c r="AP531" i="1"/>
  <c r="AQ531" i="1"/>
  <c r="AR531" i="1"/>
  <c r="AS531" i="1"/>
  <c r="AL532" i="1"/>
  <c r="AM532" i="1"/>
  <c r="AN532" i="1"/>
  <c r="AO532" i="1"/>
  <c r="AP532" i="1"/>
  <c r="AQ532" i="1"/>
  <c r="AR532" i="1"/>
  <c r="AS532" i="1"/>
  <c r="AL533" i="1"/>
  <c r="AM533" i="1"/>
  <c r="AN533" i="1"/>
  <c r="AO533" i="1"/>
  <c r="AP533" i="1"/>
  <c r="AQ533" i="1"/>
  <c r="AR533" i="1"/>
  <c r="AS533" i="1"/>
  <c r="AL534" i="1"/>
  <c r="AM534" i="1"/>
  <c r="AN534" i="1"/>
  <c r="AO534" i="1"/>
  <c r="AP534" i="1"/>
  <c r="AQ534" i="1"/>
  <c r="AR534" i="1"/>
  <c r="AS534" i="1"/>
  <c r="AL535" i="1"/>
  <c r="AM535" i="1"/>
  <c r="AN535" i="1"/>
  <c r="AO535" i="1"/>
  <c r="AP535" i="1"/>
  <c r="AQ535" i="1"/>
  <c r="AR535" i="1"/>
  <c r="AS535" i="1"/>
  <c r="AL536" i="1"/>
  <c r="AM536" i="1"/>
  <c r="AN536" i="1"/>
  <c r="AO536" i="1"/>
  <c r="AP536" i="1"/>
  <c r="AQ536" i="1"/>
  <c r="AR536" i="1"/>
  <c r="AS536" i="1"/>
  <c r="AL537" i="1"/>
  <c r="AM537" i="1"/>
  <c r="AN537" i="1"/>
  <c r="AO537" i="1"/>
  <c r="AP537" i="1"/>
  <c r="AQ537" i="1"/>
  <c r="AR537" i="1"/>
  <c r="AS537" i="1"/>
  <c r="AL538" i="1"/>
  <c r="AM538" i="1"/>
  <c r="AN538" i="1"/>
  <c r="AO538" i="1"/>
  <c r="AP538" i="1"/>
  <c r="AQ538" i="1"/>
  <c r="AR538" i="1"/>
  <c r="AS538" i="1"/>
  <c r="AL539" i="1"/>
  <c r="AM539" i="1"/>
  <c r="AN539" i="1"/>
  <c r="AO539" i="1"/>
  <c r="AP539" i="1"/>
  <c r="AQ539" i="1"/>
  <c r="AR539" i="1"/>
  <c r="AS539" i="1"/>
  <c r="AL540" i="1"/>
  <c r="AM540" i="1"/>
  <c r="AN540" i="1"/>
  <c r="AO540" i="1"/>
  <c r="AP540" i="1"/>
  <c r="AQ540" i="1"/>
  <c r="AR540" i="1"/>
  <c r="AS540" i="1"/>
  <c r="AL541" i="1"/>
  <c r="AM541" i="1"/>
  <c r="AN541" i="1"/>
  <c r="AO541" i="1"/>
  <c r="AP541" i="1"/>
  <c r="AQ541" i="1"/>
  <c r="AR541" i="1"/>
  <c r="AS541" i="1"/>
  <c r="AL542" i="1"/>
  <c r="AM542" i="1"/>
  <c r="AN542" i="1"/>
  <c r="AO542" i="1"/>
  <c r="AP542" i="1"/>
  <c r="AQ542" i="1"/>
  <c r="AR542" i="1"/>
  <c r="AS542" i="1"/>
  <c r="AL543" i="1"/>
  <c r="AM543" i="1"/>
  <c r="AN543" i="1"/>
  <c r="AO543" i="1"/>
  <c r="AP543" i="1"/>
  <c r="AQ543" i="1"/>
  <c r="AR543" i="1"/>
  <c r="AS543" i="1"/>
  <c r="AL544" i="1"/>
  <c r="AM544" i="1"/>
  <c r="AN544" i="1"/>
  <c r="AO544" i="1"/>
  <c r="AP544" i="1"/>
  <c r="AQ544" i="1"/>
  <c r="AR544" i="1"/>
  <c r="AS544" i="1"/>
  <c r="AL545" i="1"/>
  <c r="AM545" i="1"/>
  <c r="AN545" i="1"/>
  <c r="AO545" i="1"/>
  <c r="AP545" i="1"/>
  <c r="AQ545" i="1"/>
  <c r="AR545" i="1"/>
  <c r="AS545" i="1"/>
  <c r="AL546" i="1"/>
  <c r="AM546" i="1"/>
  <c r="AN546" i="1"/>
  <c r="AO546" i="1"/>
  <c r="AP546" i="1"/>
  <c r="AQ546" i="1"/>
  <c r="AR546" i="1"/>
  <c r="AS546" i="1"/>
  <c r="AL547" i="1"/>
  <c r="AM547" i="1"/>
  <c r="AN547" i="1"/>
  <c r="AO547" i="1"/>
  <c r="AP547" i="1"/>
  <c r="AQ547" i="1"/>
  <c r="AR547" i="1"/>
  <c r="AS547" i="1"/>
  <c r="AL548" i="1"/>
  <c r="AM548" i="1"/>
  <c r="AN548" i="1"/>
  <c r="AO548" i="1"/>
  <c r="AP548" i="1"/>
  <c r="AQ548" i="1"/>
  <c r="AR548" i="1"/>
  <c r="AS548" i="1"/>
  <c r="AL549" i="1"/>
  <c r="AM549" i="1"/>
  <c r="AN549" i="1"/>
  <c r="AO549" i="1"/>
  <c r="AP549" i="1"/>
  <c r="AQ549" i="1"/>
  <c r="AR549" i="1"/>
  <c r="AS549" i="1"/>
  <c r="AL550" i="1"/>
  <c r="AM550" i="1"/>
  <c r="AN550" i="1"/>
  <c r="AO550" i="1"/>
  <c r="AP550" i="1"/>
  <c r="AQ550" i="1"/>
  <c r="AR550" i="1"/>
  <c r="AS550" i="1"/>
  <c r="AL551" i="1"/>
  <c r="AM551" i="1"/>
  <c r="AN551" i="1"/>
  <c r="AO551" i="1"/>
  <c r="AP551" i="1"/>
  <c r="AQ551" i="1"/>
  <c r="AR551" i="1"/>
  <c r="AS551" i="1"/>
  <c r="AL552" i="1"/>
  <c r="AM552" i="1"/>
  <c r="AN552" i="1"/>
  <c r="AO552" i="1"/>
  <c r="AP552" i="1"/>
  <c r="AQ552" i="1"/>
  <c r="AR552" i="1"/>
  <c r="AS552" i="1"/>
  <c r="AL553" i="1"/>
  <c r="AM553" i="1"/>
  <c r="AN553" i="1"/>
  <c r="AO553" i="1"/>
  <c r="AP553" i="1"/>
  <c r="AQ553" i="1"/>
  <c r="AR553" i="1"/>
  <c r="AS553" i="1"/>
  <c r="AL554" i="1"/>
  <c r="AM554" i="1"/>
  <c r="AN554" i="1"/>
  <c r="AO554" i="1"/>
  <c r="AP554" i="1"/>
  <c r="AQ554" i="1"/>
  <c r="AR554" i="1"/>
  <c r="AS554" i="1"/>
  <c r="AL555" i="1"/>
  <c r="AM555" i="1"/>
  <c r="AN555" i="1"/>
  <c r="AO555" i="1"/>
  <c r="AP555" i="1"/>
  <c r="AQ555" i="1"/>
  <c r="AR555" i="1"/>
  <c r="AS555" i="1"/>
  <c r="AL556" i="1"/>
  <c r="AM556" i="1"/>
  <c r="AN556" i="1"/>
  <c r="AO556" i="1"/>
  <c r="AP556" i="1"/>
  <c r="AQ556" i="1"/>
  <c r="AR556" i="1"/>
  <c r="AS556" i="1"/>
  <c r="AL557" i="1"/>
  <c r="AM557" i="1"/>
  <c r="AN557" i="1"/>
  <c r="AO557" i="1"/>
  <c r="AP557" i="1"/>
  <c r="AQ557" i="1"/>
  <c r="AR557" i="1"/>
  <c r="AS557" i="1"/>
  <c r="AL558" i="1"/>
  <c r="AM558" i="1"/>
  <c r="AN558" i="1"/>
  <c r="AO558" i="1"/>
  <c r="AP558" i="1"/>
  <c r="AQ558" i="1"/>
  <c r="AR558" i="1"/>
  <c r="AS558" i="1"/>
  <c r="AL559" i="1"/>
  <c r="AM559" i="1"/>
  <c r="AN559" i="1"/>
  <c r="AO559" i="1"/>
  <c r="AP559" i="1"/>
  <c r="AQ559" i="1"/>
  <c r="AR559" i="1"/>
  <c r="AS559" i="1"/>
  <c r="AL560" i="1"/>
  <c r="AM560" i="1"/>
  <c r="AN560" i="1"/>
  <c r="AO560" i="1"/>
  <c r="AP560" i="1"/>
  <c r="AQ560" i="1"/>
  <c r="AR560" i="1"/>
  <c r="AS560" i="1"/>
  <c r="AL561" i="1"/>
  <c r="AM561" i="1"/>
  <c r="AN561" i="1"/>
  <c r="AO561" i="1"/>
  <c r="AP561" i="1"/>
  <c r="AQ561" i="1"/>
  <c r="AR561" i="1"/>
  <c r="AS561" i="1"/>
  <c r="AL562" i="1"/>
  <c r="AM562" i="1"/>
  <c r="AN562" i="1"/>
  <c r="AO562" i="1"/>
  <c r="AP562" i="1"/>
  <c r="AQ562" i="1"/>
  <c r="AR562" i="1"/>
  <c r="AS562" i="1"/>
  <c r="AL563" i="1"/>
  <c r="AM563" i="1"/>
  <c r="AN563" i="1"/>
  <c r="AO563" i="1"/>
  <c r="AP563" i="1"/>
  <c r="AQ563" i="1"/>
  <c r="AR563" i="1"/>
  <c r="AS563" i="1"/>
  <c r="AL564" i="1"/>
  <c r="AM564" i="1"/>
  <c r="AN564" i="1"/>
  <c r="AO564" i="1"/>
  <c r="AP564" i="1"/>
  <c r="AQ564" i="1"/>
  <c r="AR564" i="1"/>
  <c r="AS564" i="1"/>
  <c r="AL565" i="1"/>
  <c r="AM565" i="1"/>
  <c r="AN565" i="1"/>
  <c r="AO565" i="1"/>
  <c r="AP565" i="1"/>
  <c r="AQ565" i="1"/>
  <c r="AR565" i="1"/>
  <c r="AS565" i="1"/>
  <c r="AL566" i="1"/>
  <c r="AM566" i="1"/>
  <c r="AN566" i="1"/>
  <c r="AO566" i="1"/>
  <c r="AP566" i="1"/>
  <c r="AQ566" i="1"/>
  <c r="AR566" i="1"/>
  <c r="AS566" i="1"/>
  <c r="AL567" i="1"/>
  <c r="AM567" i="1"/>
  <c r="AN567" i="1"/>
  <c r="AO567" i="1"/>
  <c r="AP567" i="1"/>
  <c r="AQ567" i="1"/>
  <c r="AR567" i="1"/>
  <c r="AS567" i="1"/>
  <c r="AL568" i="1"/>
  <c r="AM568" i="1"/>
  <c r="AN568" i="1"/>
  <c r="AO568" i="1"/>
  <c r="AP568" i="1"/>
  <c r="AQ568" i="1"/>
  <c r="AR568" i="1"/>
  <c r="AS568" i="1"/>
  <c r="AL569" i="1"/>
  <c r="AM569" i="1"/>
  <c r="AN569" i="1"/>
  <c r="AO569" i="1"/>
  <c r="AP569" i="1"/>
  <c r="AQ569" i="1"/>
  <c r="AR569" i="1"/>
  <c r="AS569" i="1"/>
  <c r="AL570" i="1"/>
  <c r="AM570" i="1"/>
  <c r="AN570" i="1"/>
  <c r="AO570" i="1"/>
  <c r="AP570" i="1"/>
  <c r="AQ570" i="1"/>
  <c r="AR570" i="1"/>
  <c r="AS570" i="1"/>
  <c r="AL571" i="1"/>
  <c r="AM571" i="1"/>
  <c r="AN571" i="1"/>
  <c r="AO571" i="1"/>
  <c r="AP571" i="1"/>
  <c r="AQ571" i="1"/>
  <c r="AR571" i="1"/>
  <c r="AS571" i="1"/>
  <c r="AL572" i="1"/>
  <c r="AM572" i="1"/>
  <c r="AN572" i="1"/>
  <c r="AO572" i="1"/>
  <c r="AP572" i="1"/>
  <c r="AQ572" i="1"/>
  <c r="AR572" i="1"/>
  <c r="AS572" i="1"/>
  <c r="AL573" i="1"/>
  <c r="AM573" i="1"/>
  <c r="AN573" i="1"/>
  <c r="AO573" i="1"/>
  <c r="AP573" i="1"/>
  <c r="AQ573" i="1"/>
  <c r="AR573" i="1"/>
  <c r="AS573" i="1"/>
  <c r="AL574" i="1"/>
  <c r="AM574" i="1"/>
  <c r="AN574" i="1"/>
  <c r="AO574" i="1"/>
  <c r="AP574" i="1"/>
  <c r="AQ574" i="1"/>
  <c r="AR574" i="1"/>
  <c r="AS574" i="1"/>
  <c r="AL575" i="1"/>
  <c r="AM575" i="1"/>
  <c r="AN575" i="1"/>
  <c r="AO575" i="1"/>
  <c r="AP575" i="1"/>
  <c r="AQ575" i="1"/>
  <c r="AR575" i="1"/>
  <c r="AS575" i="1"/>
  <c r="AL576" i="1"/>
  <c r="AM576" i="1"/>
  <c r="AN576" i="1"/>
  <c r="AO576" i="1"/>
  <c r="AP576" i="1"/>
  <c r="AQ576" i="1"/>
  <c r="AR576" i="1"/>
  <c r="AS576" i="1"/>
  <c r="AL577" i="1"/>
  <c r="AM577" i="1"/>
  <c r="AN577" i="1"/>
  <c r="AO577" i="1"/>
  <c r="AP577" i="1"/>
  <c r="AQ577" i="1"/>
  <c r="AR577" i="1"/>
  <c r="AS577" i="1"/>
  <c r="AL578" i="1"/>
  <c r="AM578" i="1"/>
  <c r="AN578" i="1"/>
  <c r="AO578" i="1"/>
  <c r="AP578" i="1"/>
  <c r="AQ578" i="1"/>
  <c r="AR578" i="1"/>
  <c r="AS578" i="1"/>
  <c r="AL579" i="1"/>
  <c r="AM579" i="1"/>
  <c r="AN579" i="1"/>
  <c r="AO579" i="1"/>
  <c r="AP579" i="1"/>
  <c r="AQ579" i="1"/>
  <c r="AR579" i="1"/>
  <c r="AS579" i="1"/>
  <c r="AL580" i="1"/>
  <c r="AM580" i="1"/>
  <c r="AN580" i="1"/>
  <c r="AO580" i="1"/>
  <c r="AP580" i="1"/>
  <c r="AQ580" i="1"/>
  <c r="AR580" i="1"/>
  <c r="AS580" i="1"/>
  <c r="AL581" i="1"/>
  <c r="AM581" i="1"/>
  <c r="AN581" i="1"/>
  <c r="AO581" i="1"/>
  <c r="AP581" i="1"/>
  <c r="AQ581" i="1"/>
  <c r="AR581" i="1"/>
  <c r="AS581" i="1"/>
  <c r="AL582" i="1"/>
  <c r="AM582" i="1"/>
  <c r="AN582" i="1"/>
  <c r="AO582" i="1"/>
  <c r="AP582" i="1"/>
  <c r="AQ582" i="1"/>
  <c r="AR582" i="1"/>
  <c r="AS582" i="1"/>
  <c r="AL583" i="1"/>
  <c r="AM583" i="1"/>
  <c r="AN583" i="1"/>
  <c r="AO583" i="1"/>
  <c r="AP583" i="1"/>
  <c r="AQ583" i="1"/>
  <c r="AR583" i="1"/>
  <c r="AS583" i="1"/>
  <c r="AL584" i="1"/>
  <c r="AM584" i="1"/>
  <c r="AN584" i="1"/>
  <c r="AO584" i="1"/>
  <c r="AP584" i="1"/>
  <c r="AQ584" i="1"/>
  <c r="AR584" i="1"/>
  <c r="AS584" i="1"/>
  <c r="AL585" i="1"/>
  <c r="AM585" i="1"/>
  <c r="AN585" i="1"/>
  <c r="AO585" i="1"/>
  <c r="AP585" i="1"/>
  <c r="AQ585" i="1"/>
  <c r="AR585" i="1"/>
  <c r="AS585" i="1"/>
  <c r="AL586" i="1"/>
  <c r="AM586" i="1"/>
  <c r="AN586" i="1"/>
  <c r="AO586" i="1"/>
  <c r="AP586" i="1"/>
  <c r="AQ586" i="1"/>
  <c r="AR586" i="1"/>
  <c r="AS586" i="1"/>
  <c r="AL587" i="1"/>
  <c r="AM587" i="1"/>
  <c r="AN587" i="1"/>
  <c r="AO587" i="1"/>
  <c r="AP587" i="1"/>
  <c r="AQ587" i="1"/>
  <c r="AR587" i="1"/>
  <c r="AS587" i="1"/>
  <c r="AL588" i="1"/>
  <c r="AM588" i="1"/>
  <c r="AN588" i="1"/>
  <c r="AO588" i="1"/>
  <c r="AP588" i="1"/>
  <c r="AQ588" i="1"/>
  <c r="AR588" i="1"/>
  <c r="AS588" i="1"/>
  <c r="AL589" i="1"/>
  <c r="AM589" i="1"/>
  <c r="AN589" i="1"/>
  <c r="AO589" i="1"/>
  <c r="AP589" i="1"/>
  <c r="AQ589" i="1"/>
  <c r="AR589" i="1"/>
  <c r="AS589" i="1"/>
  <c r="AL590" i="1"/>
  <c r="AM590" i="1"/>
  <c r="AN590" i="1"/>
  <c r="AO590" i="1"/>
  <c r="AP590" i="1"/>
  <c r="AQ590" i="1"/>
  <c r="AR590" i="1"/>
  <c r="AS590" i="1"/>
  <c r="AL591" i="1"/>
  <c r="AM591" i="1"/>
  <c r="AN591" i="1"/>
  <c r="AO591" i="1"/>
  <c r="AP591" i="1"/>
  <c r="AQ591" i="1"/>
  <c r="AR591" i="1"/>
  <c r="AS591" i="1"/>
  <c r="AL592" i="1"/>
  <c r="AM592" i="1"/>
  <c r="AN592" i="1"/>
  <c r="AO592" i="1"/>
  <c r="AP592" i="1"/>
  <c r="AQ592" i="1"/>
  <c r="AR592" i="1"/>
  <c r="AS592" i="1"/>
  <c r="AL593" i="1"/>
  <c r="AM593" i="1"/>
  <c r="AN593" i="1"/>
  <c r="AO593" i="1"/>
  <c r="AP593" i="1"/>
  <c r="AQ593" i="1"/>
  <c r="AR593" i="1"/>
  <c r="AS593" i="1"/>
  <c r="AL594" i="1"/>
  <c r="AM594" i="1"/>
  <c r="AN594" i="1"/>
  <c r="AO594" i="1"/>
  <c r="AP594" i="1"/>
  <c r="AQ594" i="1"/>
  <c r="AR594" i="1"/>
  <c r="AS594" i="1"/>
  <c r="AL595" i="1"/>
  <c r="AM595" i="1"/>
  <c r="AN595" i="1"/>
  <c r="AO595" i="1"/>
  <c r="AP595" i="1"/>
  <c r="AQ595" i="1"/>
  <c r="AR595" i="1"/>
  <c r="AS595" i="1"/>
  <c r="AL596" i="1"/>
  <c r="AM596" i="1"/>
  <c r="AN596" i="1"/>
  <c r="AO596" i="1"/>
  <c r="AP596" i="1"/>
  <c r="AQ596" i="1"/>
  <c r="AR596" i="1"/>
  <c r="AS596" i="1"/>
  <c r="AL597" i="1"/>
  <c r="AM597" i="1"/>
  <c r="AN597" i="1"/>
  <c r="AO597" i="1"/>
  <c r="AP597" i="1"/>
  <c r="AQ597" i="1"/>
  <c r="AR597" i="1"/>
  <c r="AS597" i="1"/>
  <c r="AL598" i="1"/>
  <c r="AM598" i="1"/>
  <c r="AN598" i="1"/>
  <c r="AO598" i="1"/>
  <c r="AP598" i="1"/>
  <c r="AQ598" i="1"/>
  <c r="AR598" i="1"/>
  <c r="AS598" i="1"/>
  <c r="AL599" i="1"/>
  <c r="AM599" i="1"/>
  <c r="AN599" i="1"/>
  <c r="AO599" i="1"/>
  <c r="AP599" i="1"/>
  <c r="AQ599" i="1"/>
  <c r="AR599" i="1"/>
  <c r="AS599" i="1"/>
  <c r="AL600" i="1"/>
  <c r="AM600" i="1"/>
  <c r="AN600" i="1"/>
  <c r="AO600" i="1"/>
  <c r="AP600" i="1"/>
  <c r="AQ600" i="1"/>
  <c r="AR600" i="1"/>
  <c r="AS600" i="1"/>
  <c r="AL601" i="1"/>
  <c r="AM601" i="1"/>
  <c r="AN601" i="1"/>
  <c r="AO601" i="1"/>
  <c r="AP601" i="1"/>
  <c r="AQ601" i="1"/>
  <c r="AR601" i="1"/>
  <c r="AS601" i="1"/>
  <c r="AL602" i="1"/>
  <c r="AM602" i="1"/>
  <c r="AN602" i="1"/>
  <c r="AO602" i="1"/>
  <c r="AP602" i="1"/>
  <c r="AQ602" i="1"/>
  <c r="AR602" i="1"/>
  <c r="AS602" i="1"/>
  <c r="AS4" i="1"/>
  <c r="AR4" i="1"/>
  <c r="AQ4" i="1"/>
  <c r="T638" i="1" s="1"/>
  <c r="AP4" i="1"/>
  <c r="AO4" i="1"/>
  <c r="AN4" i="1"/>
  <c r="AM4" i="1"/>
  <c r="T637" i="1" s="1"/>
  <c r="AL4" i="1"/>
  <c r="V5" i="1"/>
  <c r="W5" i="1"/>
  <c r="X5" i="1"/>
  <c r="Y5" i="1"/>
  <c r="Z5" i="1"/>
  <c r="AA5" i="1"/>
  <c r="AB5" i="1"/>
  <c r="AC5" i="1"/>
  <c r="V6" i="1"/>
  <c r="W6" i="1"/>
  <c r="X6" i="1"/>
  <c r="Y6" i="1"/>
  <c r="Z6" i="1"/>
  <c r="AA6" i="1"/>
  <c r="AB6" i="1"/>
  <c r="AC6" i="1"/>
  <c r="V7" i="1"/>
  <c r="W7" i="1"/>
  <c r="X7" i="1"/>
  <c r="Y7" i="1"/>
  <c r="Z7" i="1"/>
  <c r="AA7" i="1"/>
  <c r="AB7" i="1"/>
  <c r="AC7" i="1"/>
  <c r="V8" i="1"/>
  <c r="W8" i="1"/>
  <c r="X8" i="1"/>
  <c r="Y8" i="1"/>
  <c r="Z8" i="1"/>
  <c r="AA8" i="1"/>
  <c r="AB8" i="1"/>
  <c r="AC8" i="1"/>
  <c r="V9" i="1"/>
  <c r="W9" i="1"/>
  <c r="X9" i="1"/>
  <c r="Y9" i="1"/>
  <c r="Z9" i="1"/>
  <c r="AA9" i="1"/>
  <c r="AB9" i="1"/>
  <c r="AC9" i="1"/>
  <c r="V10" i="1"/>
  <c r="W10" i="1"/>
  <c r="X10" i="1"/>
  <c r="Y10" i="1"/>
  <c r="Z10" i="1"/>
  <c r="AA10" i="1"/>
  <c r="AB10" i="1"/>
  <c r="AC10" i="1"/>
  <c r="V11" i="1"/>
  <c r="W11" i="1"/>
  <c r="X11" i="1"/>
  <c r="Y11" i="1"/>
  <c r="Z11" i="1"/>
  <c r="AA11" i="1"/>
  <c r="AB11" i="1"/>
  <c r="AC11" i="1"/>
  <c r="V12" i="1"/>
  <c r="W12" i="1"/>
  <c r="X12" i="1"/>
  <c r="Y12" i="1"/>
  <c r="Z12" i="1"/>
  <c r="AA12" i="1"/>
  <c r="AB12" i="1"/>
  <c r="AC12" i="1"/>
  <c r="V13" i="1"/>
  <c r="W13" i="1"/>
  <c r="X13" i="1"/>
  <c r="Y13" i="1"/>
  <c r="Z13" i="1"/>
  <c r="AA13" i="1"/>
  <c r="AB13" i="1"/>
  <c r="AC13" i="1"/>
  <c r="V14" i="1"/>
  <c r="W14" i="1"/>
  <c r="X14" i="1"/>
  <c r="Y14" i="1"/>
  <c r="Z14" i="1"/>
  <c r="AA14" i="1"/>
  <c r="AB14" i="1"/>
  <c r="AC14" i="1"/>
  <c r="V15" i="1"/>
  <c r="W15" i="1"/>
  <c r="X15" i="1"/>
  <c r="Y15" i="1"/>
  <c r="Z15" i="1"/>
  <c r="AA15" i="1"/>
  <c r="AB15" i="1"/>
  <c r="AC15" i="1"/>
  <c r="V16" i="1"/>
  <c r="W16" i="1"/>
  <c r="X16" i="1"/>
  <c r="Y16" i="1"/>
  <c r="Z16" i="1"/>
  <c r="AA16" i="1"/>
  <c r="AB16" i="1"/>
  <c r="AC16" i="1"/>
  <c r="V17" i="1"/>
  <c r="W17" i="1"/>
  <c r="X17" i="1"/>
  <c r="Y17" i="1"/>
  <c r="Z17" i="1"/>
  <c r="AA17" i="1"/>
  <c r="AB17" i="1"/>
  <c r="AC17" i="1"/>
  <c r="V18" i="1"/>
  <c r="W18" i="1"/>
  <c r="X18" i="1"/>
  <c r="Y18" i="1"/>
  <c r="Z18" i="1"/>
  <c r="AA18" i="1"/>
  <c r="AB18" i="1"/>
  <c r="AC18" i="1"/>
  <c r="V19" i="1"/>
  <c r="W19" i="1"/>
  <c r="X19" i="1"/>
  <c r="Y19" i="1"/>
  <c r="Z19" i="1"/>
  <c r="AA19" i="1"/>
  <c r="AB19" i="1"/>
  <c r="AC19" i="1"/>
  <c r="V20" i="1"/>
  <c r="W20" i="1"/>
  <c r="X20" i="1"/>
  <c r="Y20" i="1"/>
  <c r="Z20" i="1"/>
  <c r="AA20" i="1"/>
  <c r="AB20" i="1"/>
  <c r="AC20" i="1"/>
  <c r="V21" i="1"/>
  <c r="W21" i="1"/>
  <c r="X21" i="1"/>
  <c r="Y21" i="1"/>
  <c r="Z21" i="1"/>
  <c r="AA21" i="1"/>
  <c r="AB21" i="1"/>
  <c r="AC21" i="1"/>
  <c r="V22" i="1"/>
  <c r="W22" i="1"/>
  <c r="X22" i="1"/>
  <c r="Y22" i="1"/>
  <c r="Z22" i="1"/>
  <c r="AA22" i="1"/>
  <c r="AB22" i="1"/>
  <c r="AC22" i="1"/>
  <c r="V23" i="1"/>
  <c r="W23" i="1"/>
  <c r="X23" i="1"/>
  <c r="Y23" i="1"/>
  <c r="Z23" i="1"/>
  <c r="AA23" i="1"/>
  <c r="AB23" i="1"/>
  <c r="AC23" i="1"/>
  <c r="V24" i="1"/>
  <c r="W24" i="1"/>
  <c r="X24" i="1"/>
  <c r="Y24" i="1"/>
  <c r="Z24" i="1"/>
  <c r="AA24" i="1"/>
  <c r="AB24" i="1"/>
  <c r="AC24" i="1"/>
  <c r="V25" i="1"/>
  <c r="W25" i="1"/>
  <c r="X25" i="1"/>
  <c r="Y25" i="1"/>
  <c r="Z25" i="1"/>
  <c r="AA25" i="1"/>
  <c r="AB25" i="1"/>
  <c r="AC25" i="1"/>
  <c r="V26" i="1"/>
  <c r="W26" i="1"/>
  <c r="X26" i="1"/>
  <c r="Y26" i="1"/>
  <c r="Z26" i="1"/>
  <c r="AA26" i="1"/>
  <c r="AB26" i="1"/>
  <c r="AC26" i="1"/>
  <c r="V27" i="1"/>
  <c r="W27" i="1"/>
  <c r="X27" i="1"/>
  <c r="Y27" i="1"/>
  <c r="Z27" i="1"/>
  <c r="AA27" i="1"/>
  <c r="AB27" i="1"/>
  <c r="AC27" i="1"/>
  <c r="V28" i="1"/>
  <c r="W28" i="1"/>
  <c r="X28" i="1"/>
  <c r="Y28" i="1"/>
  <c r="Z28" i="1"/>
  <c r="AA28" i="1"/>
  <c r="AB28" i="1"/>
  <c r="AC28" i="1"/>
  <c r="V29" i="1"/>
  <c r="W29" i="1"/>
  <c r="X29" i="1"/>
  <c r="Y29" i="1"/>
  <c r="Z29" i="1"/>
  <c r="AA29" i="1"/>
  <c r="AB29" i="1"/>
  <c r="AC29" i="1"/>
  <c r="V30" i="1"/>
  <c r="W30" i="1"/>
  <c r="X30" i="1"/>
  <c r="Y30" i="1"/>
  <c r="Z30" i="1"/>
  <c r="AA30" i="1"/>
  <c r="AB30" i="1"/>
  <c r="AC30" i="1"/>
  <c r="V31" i="1"/>
  <c r="W31" i="1"/>
  <c r="X31" i="1"/>
  <c r="Y31" i="1"/>
  <c r="Z31" i="1"/>
  <c r="AA31" i="1"/>
  <c r="AB31" i="1"/>
  <c r="AC31" i="1"/>
  <c r="V32" i="1"/>
  <c r="W32" i="1"/>
  <c r="X32" i="1"/>
  <c r="Y32" i="1"/>
  <c r="Z32" i="1"/>
  <c r="AA32" i="1"/>
  <c r="AB32" i="1"/>
  <c r="AC32" i="1"/>
  <c r="V33" i="1"/>
  <c r="W33" i="1"/>
  <c r="X33" i="1"/>
  <c r="Y33" i="1"/>
  <c r="Z33" i="1"/>
  <c r="AA33" i="1"/>
  <c r="AB33" i="1"/>
  <c r="AC33" i="1"/>
  <c r="V34" i="1"/>
  <c r="W34" i="1"/>
  <c r="X34" i="1"/>
  <c r="Y34" i="1"/>
  <c r="Z34" i="1"/>
  <c r="AA34" i="1"/>
  <c r="AB34" i="1"/>
  <c r="AC34" i="1"/>
  <c r="V35" i="1"/>
  <c r="W35" i="1"/>
  <c r="X35" i="1"/>
  <c r="Y35" i="1"/>
  <c r="Z35" i="1"/>
  <c r="AA35" i="1"/>
  <c r="AB35" i="1"/>
  <c r="AC35" i="1"/>
  <c r="V36" i="1"/>
  <c r="W36" i="1"/>
  <c r="X36" i="1"/>
  <c r="Y36" i="1"/>
  <c r="Z36" i="1"/>
  <c r="AA36" i="1"/>
  <c r="AB36" i="1"/>
  <c r="AC36" i="1"/>
  <c r="V37" i="1"/>
  <c r="W37" i="1"/>
  <c r="X37" i="1"/>
  <c r="Y37" i="1"/>
  <c r="Z37" i="1"/>
  <c r="AA37" i="1"/>
  <c r="AB37" i="1"/>
  <c r="AC37" i="1"/>
  <c r="V38" i="1"/>
  <c r="W38" i="1"/>
  <c r="X38" i="1"/>
  <c r="Y38" i="1"/>
  <c r="Z38" i="1"/>
  <c r="AA38" i="1"/>
  <c r="AB38" i="1"/>
  <c r="AC38" i="1"/>
  <c r="V39" i="1"/>
  <c r="W39" i="1"/>
  <c r="X39" i="1"/>
  <c r="Y39" i="1"/>
  <c r="Z39" i="1"/>
  <c r="AA39" i="1"/>
  <c r="AB39" i="1"/>
  <c r="AC39" i="1"/>
  <c r="V40" i="1"/>
  <c r="W40" i="1"/>
  <c r="X40" i="1"/>
  <c r="Y40" i="1"/>
  <c r="Z40" i="1"/>
  <c r="AA40" i="1"/>
  <c r="AB40" i="1"/>
  <c r="AC40" i="1"/>
  <c r="V41" i="1"/>
  <c r="W41" i="1"/>
  <c r="X41" i="1"/>
  <c r="Y41" i="1"/>
  <c r="Z41" i="1"/>
  <c r="AA41" i="1"/>
  <c r="AB41" i="1"/>
  <c r="AC41" i="1"/>
  <c r="V42" i="1"/>
  <c r="W42" i="1"/>
  <c r="X42" i="1"/>
  <c r="Y42" i="1"/>
  <c r="Z42" i="1"/>
  <c r="AA42" i="1"/>
  <c r="AB42" i="1"/>
  <c r="AC42" i="1"/>
  <c r="V43" i="1"/>
  <c r="W43" i="1"/>
  <c r="X43" i="1"/>
  <c r="Y43" i="1"/>
  <c r="Z43" i="1"/>
  <c r="AA43" i="1"/>
  <c r="AB43" i="1"/>
  <c r="AC43" i="1"/>
  <c r="V44" i="1"/>
  <c r="W44" i="1"/>
  <c r="X44" i="1"/>
  <c r="Y44" i="1"/>
  <c r="Z44" i="1"/>
  <c r="AA44" i="1"/>
  <c r="AB44" i="1"/>
  <c r="AC44" i="1"/>
  <c r="V45" i="1"/>
  <c r="W45" i="1"/>
  <c r="X45" i="1"/>
  <c r="Y45" i="1"/>
  <c r="Z45" i="1"/>
  <c r="AA45" i="1"/>
  <c r="AB45" i="1"/>
  <c r="AC45" i="1"/>
  <c r="V46" i="1"/>
  <c r="W46" i="1"/>
  <c r="X46" i="1"/>
  <c r="Y46" i="1"/>
  <c r="Z46" i="1"/>
  <c r="AA46" i="1"/>
  <c r="AB46" i="1"/>
  <c r="AC46" i="1"/>
  <c r="V47" i="1"/>
  <c r="W47" i="1"/>
  <c r="X47" i="1"/>
  <c r="Y47" i="1"/>
  <c r="Z47" i="1"/>
  <c r="AA47" i="1"/>
  <c r="AB47" i="1"/>
  <c r="AC47" i="1"/>
  <c r="V48" i="1"/>
  <c r="W48" i="1"/>
  <c r="X48" i="1"/>
  <c r="Y48" i="1"/>
  <c r="Z48" i="1"/>
  <c r="AA48" i="1"/>
  <c r="AB48" i="1"/>
  <c r="AC48" i="1"/>
  <c r="V49" i="1"/>
  <c r="W49" i="1"/>
  <c r="X49" i="1"/>
  <c r="Y49" i="1"/>
  <c r="Z49" i="1"/>
  <c r="AA49" i="1"/>
  <c r="AB49" i="1"/>
  <c r="AC49" i="1"/>
  <c r="V50" i="1"/>
  <c r="W50" i="1"/>
  <c r="X50" i="1"/>
  <c r="Y50" i="1"/>
  <c r="Z50" i="1"/>
  <c r="AA50" i="1"/>
  <c r="AB50" i="1"/>
  <c r="AC50" i="1"/>
  <c r="V51" i="1"/>
  <c r="W51" i="1"/>
  <c r="X51" i="1"/>
  <c r="Y51" i="1"/>
  <c r="Z51" i="1"/>
  <c r="AA51" i="1"/>
  <c r="AB51" i="1"/>
  <c r="AC51" i="1"/>
  <c r="V52" i="1"/>
  <c r="W52" i="1"/>
  <c r="X52" i="1"/>
  <c r="Y52" i="1"/>
  <c r="Z52" i="1"/>
  <c r="AA52" i="1"/>
  <c r="AB52" i="1"/>
  <c r="AC52" i="1"/>
  <c r="V53" i="1"/>
  <c r="W53" i="1"/>
  <c r="X53" i="1"/>
  <c r="Y53" i="1"/>
  <c r="Z53" i="1"/>
  <c r="AA53" i="1"/>
  <c r="AB53" i="1"/>
  <c r="AC53" i="1"/>
  <c r="V54" i="1"/>
  <c r="W54" i="1"/>
  <c r="X54" i="1"/>
  <c r="Y54" i="1"/>
  <c r="Z54" i="1"/>
  <c r="AA54" i="1"/>
  <c r="AB54" i="1"/>
  <c r="AC54" i="1"/>
  <c r="V55" i="1"/>
  <c r="W55" i="1"/>
  <c r="X55" i="1"/>
  <c r="Y55" i="1"/>
  <c r="Z55" i="1"/>
  <c r="AA55" i="1"/>
  <c r="AB55" i="1"/>
  <c r="AC55" i="1"/>
  <c r="V56" i="1"/>
  <c r="W56" i="1"/>
  <c r="X56" i="1"/>
  <c r="Y56" i="1"/>
  <c r="Z56" i="1"/>
  <c r="AA56" i="1"/>
  <c r="AB56" i="1"/>
  <c r="AC56" i="1"/>
  <c r="V57" i="1"/>
  <c r="W57" i="1"/>
  <c r="X57" i="1"/>
  <c r="Y57" i="1"/>
  <c r="Z57" i="1"/>
  <c r="AA57" i="1"/>
  <c r="AB57" i="1"/>
  <c r="AC57" i="1"/>
  <c r="V58" i="1"/>
  <c r="W58" i="1"/>
  <c r="X58" i="1"/>
  <c r="Y58" i="1"/>
  <c r="Z58" i="1"/>
  <c r="AA58" i="1"/>
  <c r="AB58" i="1"/>
  <c r="AC58" i="1"/>
  <c r="V59" i="1"/>
  <c r="W59" i="1"/>
  <c r="X59" i="1"/>
  <c r="Y59" i="1"/>
  <c r="Z59" i="1"/>
  <c r="AA59" i="1"/>
  <c r="AB59" i="1"/>
  <c r="AC59" i="1"/>
  <c r="V60" i="1"/>
  <c r="W60" i="1"/>
  <c r="X60" i="1"/>
  <c r="Y60" i="1"/>
  <c r="Z60" i="1"/>
  <c r="AA60" i="1"/>
  <c r="AB60" i="1"/>
  <c r="AC60" i="1"/>
  <c r="V61" i="1"/>
  <c r="W61" i="1"/>
  <c r="X61" i="1"/>
  <c r="Y61" i="1"/>
  <c r="Z61" i="1"/>
  <c r="AA61" i="1"/>
  <c r="AB61" i="1"/>
  <c r="AC61" i="1"/>
  <c r="V62" i="1"/>
  <c r="W62" i="1"/>
  <c r="X62" i="1"/>
  <c r="Y62" i="1"/>
  <c r="Z62" i="1"/>
  <c r="AA62" i="1"/>
  <c r="AB62" i="1"/>
  <c r="AC62" i="1"/>
  <c r="V63" i="1"/>
  <c r="W63" i="1"/>
  <c r="X63" i="1"/>
  <c r="Y63" i="1"/>
  <c r="Z63" i="1"/>
  <c r="AA63" i="1"/>
  <c r="AB63" i="1"/>
  <c r="AC63" i="1"/>
  <c r="V64" i="1"/>
  <c r="W64" i="1"/>
  <c r="X64" i="1"/>
  <c r="Y64" i="1"/>
  <c r="Z64" i="1"/>
  <c r="AA64" i="1"/>
  <c r="AB64" i="1"/>
  <c r="AC64" i="1"/>
  <c r="V65" i="1"/>
  <c r="W65" i="1"/>
  <c r="X65" i="1"/>
  <c r="Y65" i="1"/>
  <c r="Z65" i="1"/>
  <c r="AA65" i="1"/>
  <c r="AB65" i="1"/>
  <c r="AC65" i="1"/>
  <c r="V66" i="1"/>
  <c r="W66" i="1"/>
  <c r="X66" i="1"/>
  <c r="Y66" i="1"/>
  <c r="Z66" i="1"/>
  <c r="AA66" i="1"/>
  <c r="AB66" i="1"/>
  <c r="AC66" i="1"/>
  <c r="V67" i="1"/>
  <c r="W67" i="1"/>
  <c r="X67" i="1"/>
  <c r="Y67" i="1"/>
  <c r="Z67" i="1"/>
  <c r="AA67" i="1"/>
  <c r="AB67" i="1"/>
  <c r="AC67" i="1"/>
  <c r="V68" i="1"/>
  <c r="W68" i="1"/>
  <c r="X68" i="1"/>
  <c r="Y68" i="1"/>
  <c r="Z68" i="1"/>
  <c r="AA68" i="1"/>
  <c r="AB68" i="1"/>
  <c r="AC68" i="1"/>
  <c r="V69" i="1"/>
  <c r="W69" i="1"/>
  <c r="X69" i="1"/>
  <c r="Y69" i="1"/>
  <c r="Z69" i="1"/>
  <c r="AA69" i="1"/>
  <c r="AB69" i="1"/>
  <c r="AC69" i="1"/>
  <c r="V70" i="1"/>
  <c r="W70" i="1"/>
  <c r="X70" i="1"/>
  <c r="Y70" i="1"/>
  <c r="Z70" i="1"/>
  <c r="AA70" i="1"/>
  <c r="AB70" i="1"/>
  <c r="AC70" i="1"/>
  <c r="V71" i="1"/>
  <c r="W71" i="1"/>
  <c r="X71" i="1"/>
  <c r="Y71" i="1"/>
  <c r="Z71" i="1"/>
  <c r="AA71" i="1"/>
  <c r="AB71" i="1"/>
  <c r="AC71" i="1"/>
  <c r="V72" i="1"/>
  <c r="W72" i="1"/>
  <c r="X72" i="1"/>
  <c r="Y72" i="1"/>
  <c r="Z72" i="1"/>
  <c r="AA72" i="1"/>
  <c r="AB72" i="1"/>
  <c r="AC72" i="1"/>
  <c r="V73" i="1"/>
  <c r="W73" i="1"/>
  <c r="X73" i="1"/>
  <c r="Y73" i="1"/>
  <c r="Z73" i="1"/>
  <c r="AA73" i="1"/>
  <c r="AB73" i="1"/>
  <c r="AC73" i="1"/>
  <c r="V74" i="1"/>
  <c r="W74" i="1"/>
  <c r="X74" i="1"/>
  <c r="Y74" i="1"/>
  <c r="Z74" i="1"/>
  <c r="AA74" i="1"/>
  <c r="AB74" i="1"/>
  <c r="AC74" i="1"/>
  <c r="V75" i="1"/>
  <c r="W75" i="1"/>
  <c r="X75" i="1"/>
  <c r="Y75" i="1"/>
  <c r="Z75" i="1"/>
  <c r="AA75" i="1"/>
  <c r="AB75" i="1"/>
  <c r="AC75" i="1"/>
  <c r="V76" i="1"/>
  <c r="W76" i="1"/>
  <c r="X76" i="1"/>
  <c r="Y76" i="1"/>
  <c r="Z76" i="1"/>
  <c r="AA76" i="1"/>
  <c r="AB76" i="1"/>
  <c r="AC76" i="1"/>
  <c r="V77" i="1"/>
  <c r="W77" i="1"/>
  <c r="X77" i="1"/>
  <c r="Y77" i="1"/>
  <c r="Z77" i="1"/>
  <c r="AA77" i="1"/>
  <c r="AB77" i="1"/>
  <c r="AC77" i="1"/>
  <c r="V78" i="1"/>
  <c r="W78" i="1"/>
  <c r="X78" i="1"/>
  <c r="Y78" i="1"/>
  <c r="Z78" i="1"/>
  <c r="AA78" i="1"/>
  <c r="AB78" i="1"/>
  <c r="AC78" i="1"/>
  <c r="V79" i="1"/>
  <c r="W79" i="1"/>
  <c r="X79" i="1"/>
  <c r="Y79" i="1"/>
  <c r="Z79" i="1"/>
  <c r="AA79" i="1"/>
  <c r="AB79" i="1"/>
  <c r="AC79" i="1"/>
  <c r="V80" i="1"/>
  <c r="W80" i="1"/>
  <c r="X80" i="1"/>
  <c r="Y80" i="1"/>
  <c r="Z80" i="1"/>
  <c r="AA80" i="1"/>
  <c r="AB80" i="1"/>
  <c r="AC80" i="1"/>
  <c r="V81" i="1"/>
  <c r="W81" i="1"/>
  <c r="X81" i="1"/>
  <c r="Y81" i="1"/>
  <c r="Z81" i="1"/>
  <c r="AA81" i="1"/>
  <c r="AB81" i="1"/>
  <c r="AC81" i="1"/>
  <c r="V82" i="1"/>
  <c r="W82" i="1"/>
  <c r="X82" i="1"/>
  <c r="Y82" i="1"/>
  <c r="Z82" i="1"/>
  <c r="AA82" i="1"/>
  <c r="AB82" i="1"/>
  <c r="AC82" i="1"/>
  <c r="V83" i="1"/>
  <c r="W83" i="1"/>
  <c r="X83" i="1"/>
  <c r="Y83" i="1"/>
  <c r="Z83" i="1"/>
  <c r="AA83" i="1"/>
  <c r="AB83" i="1"/>
  <c r="AC83" i="1"/>
  <c r="V84" i="1"/>
  <c r="W84" i="1"/>
  <c r="X84" i="1"/>
  <c r="Y84" i="1"/>
  <c r="Z84" i="1"/>
  <c r="AA84" i="1"/>
  <c r="AB84" i="1"/>
  <c r="AC84" i="1"/>
  <c r="V85" i="1"/>
  <c r="W85" i="1"/>
  <c r="X85" i="1"/>
  <c r="Y85" i="1"/>
  <c r="Z85" i="1"/>
  <c r="AA85" i="1"/>
  <c r="AB85" i="1"/>
  <c r="AC85" i="1"/>
  <c r="V86" i="1"/>
  <c r="W86" i="1"/>
  <c r="X86" i="1"/>
  <c r="Y86" i="1"/>
  <c r="Z86" i="1"/>
  <c r="AA86" i="1"/>
  <c r="AB86" i="1"/>
  <c r="AC86" i="1"/>
  <c r="V87" i="1"/>
  <c r="W87" i="1"/>
  <c r="X87" i="1"/>
  <c r="Y87" i="1"/>
  <c r="Z87" i="1"/>
  <c r="AA87" i="1"/>
  <c r="AB87" i="1"/>
  <c r="AC87" i="1"/>
  <c r="V88" i="1"/>
  <c r="W88" i="1"/>
  <c r="X88" i="1"/>
  <c r="Y88" i="1"/>
  <c r="Z88" i="1"/>
  <c r="AA88" i="1"/>
  <c r="AB88" i="1"/>
  <c r="AC88" i="1"/>
  <c r="V89" i="1"/>
  <c r="W89" i="1"/>
  <c r="X89" i="1"/>
  <c r="Y89" i="1"/>
  <c r="Z89" i="1"/>
  <c r="AA89" i="1"/>
  <c r="AB89" i="1"/>
  <c r="AC89" i="1"/>
  <c r="V90" i="1"/>
  <c r="W90" i="1"/>
  <c r="X90" i="1"/>
  <c r="Y90" i="1"/>
  <c r="Z90" i="1"/>
  <c r="AA90" i="1"/>
  <c r="AB90" i="1"/>
  <c r="AC90" i="1"/>
  <c r="V91" i="1"/>
  <c r="W91" i="1"/>
  <c r="X91" i="1"/>
  <c r="Y91" i="1"/>
  <c r="Z91" i="1"/>
  <c r="AA91" i="1"/>
  <c r="AB91" i="1"/>
  <c r="AC91" i="1"/>
  <c r="V92" i="1"/>
  <c r="W92" i="1"/>
  <c r="X92" i="1"/>
  <c r="Y92" i="1"/>
  <c r="Z92" i="1"/>
  <c r="AA92" i="1"/>
  <c r="AB92" i="1"/>
  <c r="AC92" i="1"/>
  <c r="V93" i="1"/>
  <c r="W93" i="1"/>
  <c r="X93" i="1"/>
  <c r="Y93" i="1"/>
  <c r="Z93" i="1"/>
  <c r="AA93" i="1"/>
  <c r="AB93" i="1"/>
  <c r="AC93" i="1"/>
  <c r="V94" i="1"/>
  <c r="W94" i="1"/>
  <c r="X94" i="1"/>
  <c r="Y94" i="1"/>
  <c r="Z94" i="1"/>
  <c r="AA94" i="1"/>
  <c r="AB94" i="1"/>
  <c r="AC94" i="1"/>
  <c r="V95" i="1"/>
  <c r="W95" i="1"/>
  <c r="X95" i="1"/>
  <c r="Y95" i="1"/>
  <c r="Z95" i="1"/>
  <c r="AA95" i="1"/>
  <c r="AB95" i="1"/>
  <c r="AC95" i="1"/>
  <c r="V96" i="1"/>
  <c r="W96" i="1"/>
  <c r="X96" i="1"/>
  <c r="Y96" i="1"/>
  <c r="Z96" i="1"/>
  <c r="AA96" i="1"/>
  <c r="AB96" i="1"/>
  <c r="AC96" i="1"/>
  <c r="V97" i="1"/>
  <c r="W97" i="1"/>
  <c r="X97" i="1"/>
  <c r="Y97" i="1"/>
  <c r="Z97" i="1"/>
  <c r="AA97" i="1"/>
  <c r="AB97" i="1"/>
  <c r="AC97" i="1"/>
  <c r="V98" i="1"/>
  <c r="W98" i="1"/>
  <c r="X98" i="1"/>
  <c r="Y98" i="1"/>
  <c r="Z98" i="1"/>
  <c r="AA98" i="1"/>
  <c r="AB98" i="1"/>
  <c r="AC98" i="1"/>
  <c r="V99" i="1"/>
  <c r="W99" i="1"/>
  <c r="X99" i="1"/>
  <c r="Y99" i="1"/>
  <c r="Z99" i="1"/>
  <c r="AA99" i="1"/>
  <c r="AB99" i="1"/>
  <c r="AC99" i="1"/>
  <c r="V100" i="1"/>
  <c r="W100" i="1"/>
  <c r="X100" i="1"/>
  <c r="Y100" i="1"/>
  <c r="Z100" i="1"/>
  <c r="AA100" i="1"/>
  <c r="AB100" i="1"/>
  <c r="AC100" i="1"/>
  <c r="V101" i="1"/>
  <c r="W101" i="1"/>
  <c r="X101" i="1"/>
  <c r="Y101" i="1"/>
  <c r="Z101" i="1"/>
  <c r="AA101" i="1"/>
  <c r="AB101" i="1"/>
  <c r="AC101" i="1"/>
  <c r="V102" i="1"/>
  <c r="W102" i="1"/>
  <c r="X102" i="1"/>
  <c r="Y102" i="1"/>
  <c r="Z102" i="1"/>
  <c r="AA102" i="1"/>
  <c r="AB102" i="1"/>
  <c r="AC102" i="1"/>
  <c r="V103" i="1"/>
  <c r="W103" i="1"/>
  <c r="X103" i="1"/>
  <c r="Y103" i="1"/>
  <c r="Z103" i="1"/>
  <c r="AA103" i="1"/>
  <c r="AB103" i="1"/>
  <c r="AC103" i="1"/>
  <c r="V104" i="1"/>
  <c r="W104" i="1"/>
  <c r="X104" i="1"/>
  <c r="Y104" i="1"/>
  <c r="Z104" i="1"/>
  <c r="AA104" i="1"/>
  <c r="AB104" i="1"/>
  <c r="AC104" i="1"/>
  <c r="V105" i="1"/>
  <c r="W105" i="1"/>
  <c r="X105" i="1"/>
  <c r="Y105" i="1"/>
  <c r="Z105" i="1"/>
  <c r="AA105" i="1"/>
  <c r="AB105" i="1"/>
  <c r="AC105" i="1"/>
  <c r="V106" i="1"/>
  <c r="W106" i="1"/>
  <c r="X106" i="1"/>
  <c r="Y106" i="1"/>
  <c r="Z106" i="1"/>
  <c r="AA106" i="1"/>
  <c r="AB106" i="1"/>
  <c r="AC106" i="1"/>
  <c r="V107" i="1"/>
  <c r="W107" i="1"/>
  <c r="X107" i="1"/>
  <c r="Y107" i="1"/>
  <c r="Z107" i="1"/>
  <c r="AA107" i="1"/>
  <c r="AB107" i="1"/>
  <c r="AC107" i="1"/>
  <c r="V108" i="1"/>
  <c r="W108" i="1"/>
  <c r="X108" i="1"/>
  <c r="Y108" i="1"/>
  <c r="Z108" i="1"/>
  <c r="AA108" i="1"/>
  <c r="AB108" i="1"/>
  <c r="AC108" i="1"/>
  <c r="V109" i="1"/>
  <c r="W109" i="1"/>
  <c r="X109" i="1"/>
  <c r="Y109" i="1"/>
  <c r="Z109" i="1"/>
  <c r="AA109" i="1"/>
  <c r="AB109" i="1"/>
  <c r="AC109" i="1"/>
  <c r="V110" i="1"/>
  <c r="W110" i="1"/>
  <c r="X110" i="1"/>
  <c r="Y110" i="1"/>
  <c r="Z110" i="1"/>
  <c r="AA110" i="1"/>
  <c r="AB110" i="1"/>
  <c r="AC110" i="1"/>
  <c r="V111" i="1"/>
  <c r="W111" i="1"/>
  <c r="X111" i="1"/>
  <c r="Y111" i="1"/>
  <c r="Z111" i="1"/>
  <c r="AA111" i="1"/>
  <c r="AB111" i="1"/>
  <c r="AC111" i="1"/>
  <c r="V112" i="1"/>
  <c r="W112" i="1"/>
  <c r="X112" i="1"/>
  <c r="Y112" i="1"/>
  <c r="Z112" i="1"/>
  <c r="AA112" i="1"/>
  <c r="AB112" i="1"/>
  <c r="AC112" i="1"/>
  <c r="V113" i="1"/>
  <c r="W113" i="1"/>
  <c r="X113" i="1"/>
  <c r="Y113" i="1"/>
  <c r="Z113" i="1"/>
  <c r="AA113" i="1"/>
  <c r="AB113" i="1"/>
  <c r="AC113" i="1"/>
  <c r="V114" i="1"/>
  <c r="W114" i="1"/>
  <c r="X114" i="1"/>
  <c r="Y114" i="1"/>
  <c r="Z114" i="1"/>
  <c r="AA114" i="1"/>
  <c r="AB114" i="1"/>
  <c r="AC114" i="1"/>
  <c r="V115" i="1"/>
  <c r="W115" i="1"/>
  <c r="X115" i="1"/>
  <c r="Y115" i="1"/>
  <c r="Z115" i="1"/>
  <c r="AA115" i="1"/>
  <c r="AB115" i="1"/>
  <c r="AC115" i="1"/>
  <c r="V116" i="1"/>
  <c r="W116" i="1"/>
  <c r="X116" i="1"/>
  <c r="Y116" i="1"/>
  <c r="Z116" i="1"/>
  <c r="AA116" i="1"/>
  <c r="AB116" i="1"/>
  <c r="AC116" i="1"/>
  <c r="V117" i="1"/>
  <c r="W117" i="1"/>
  <c r="X117" i="1"/>
  <c r="Y117" i="1"/>
  <c r="Z117" i="1"/>
  <c r="AA117" i="1"/>
  <c r="AB117" i="1"/>
  <c r="AC117" i="1"/>
  <c r="V118" i="1"/>
  <c r="W118" i="1"/>
  <c r="X118" i="1"/>
  <c r="Y118" i="1"/>
  <c r="Z118" i="1"/>
  <c r="AA118" i="1"/>
  <c r="AB118" i="1"/>
  <c r="AC118" i="1"/>
  <c r="V119" i="1"/>
  <c r="W119" i="1"/>
  <c r="X119" i="1"/>
  <c r="Y119" i="1"/>
  <c r="Z119" i="1"/>
  <c r="AA119" i="1"/>
  <c r="AB119" i="1"/>
  <c r="AC119" i="1"/>
  <c r="V120" i="1"/>
  <c r="W120" i="1"/>
  <c r="X120" i="1"/>
  <c r="Y120" i="1"/>
  <c r="Z120" i="1"/>
  <c r="AA120" i="1"/>
  <c r="AB120" i="1"/>
  <c r="AC120" i="1"/>
  <c r="V121" i="1"/>
  <c r="W121" i="1"/>
  <c r="X121" i="1"/>
  <c r="Y121" i="1"/>
  <c r="Z121" i="1"/>
  <c r="AA121" i="1"/>
  <c r="AB121" i="1"/>
  <c r="AC121" i="1"/>
  <c r="V122" i="1"/>
  <c r="W122" i="1"/>
  <c r="X122" i="1"/>
  <c r="Y122" i="1"/>
  <c r="Z122" i="1"/>
  <c r="AA122" i="1"/>
  <c r="AB122" i="1"/>
  <c r="AC122" i="1"/>
  <c r="V123" i="1"/>
  <c r="W123" i="1"/>
  <c r="X123" i="1"/>
  <c r="Y123" i="1"/>
  <c r="Z123" i="1"/>
  <c r="AA123" i="1"/>
  <c r="AB123" i="1"/>
  <c r="AC123" i="1"/>
  <c r="V124" i="1"/>
  <c r="W124" i="1"/>
  <c r="X124" i="1"/>
  <c r="Y124" i="1"/>
  <c r="Z124" i="1"/>
  <c r="AA124" i="1"/>
  <c r="AB124" i="1"/>
  <c r="AC124" i="1"/>
  <c r="V125" i="1"/>
  <c r="W125" i="1"/>
  <c r="X125" i="1"/>
  <c r="Y125" i="1"/>
  <c r="Z125" i="1"/>
  <c r="AA125" i="1"/>
  <c r="AB125" i="1"/>
  <c r="AC125" i="1"/>
  <c r="V126" i="1"/>
  <c r="W126" i="1"/>
  <c r="X126" i="1"/>
  <c r="Y126" i="1"/>
  <c r="Z126" i="1"/>
  <c r="AA126" i="1"/>
  <c r="AB126" i="1"/>
  <c r="AC126" i="1"/>
  <c r="V127" i="1"/>
  <c r="W127" i="1"/>
  <c r="X127" i="1"/>
  <c r="Y127" i="1"/>
  <c r="Z127" i="1"/>
  <c r="AA127" i="1"/>
  <c r="AB127" i="1"/>
  <c r="AC127" i="1"/>
  <c r="V128" i="1"/>
  <c r="W128" i="1"/>
  <c r="X128" i="1"/>
  <c r="Y128" i="1"/>
  <c r="Z128" i="1"/>
  <c r="AA128" i="1"/>
  <c r="AB128" i="1"/>
  <c r="AC128" i="1"/>
  <c r="V129" i="1"/>
  <c r="W129" i="1"/>
  <c r="X129" i="1"/>
  <c r="Y129" i="1"/>
  <c r="Z129" i="1"/>
  <c r="AA129" i="1"/>
  <c r="AB129" i="1"/>
  <c r="AC129" i="1"/>
  <c r="V130" i="1"/>
  <c r="W130" i="1"/>
  <c r="X130" i="1"/>
  <c r="Y130" i="1"/>
  <c r="Z130" i="1"/>
  <c r="AA130" i="1"/>
  <c r="AB130" i="1"/>
  <c r="AC130" i="1"/>
  <c r="V131" i="1"/>
  <c r="W131" i="1"/>
  <c r="X131" i="1"/>
  <c r="Y131" i="1"/>
  <c r="Z131" i="1"/>
  <c r="AA131" i="1"/>
  <c r="AB131" i="1"/>
  <c r="AC131" i="1"/>
  <c r="V132" i="1"/>
  <c r="W132" i="1"/>
  <c r="X132" i="1"/>
  <c r="Y132" i="1"/>
  <c r="Z132" i="1"/>
  <c r="AA132" i="1"/>
  <c r="AB132" i="1"/>
  <c r="AC132" i="1"/>
  <c r="V133" i="1"/>
  <c r="W133" i="1"/>
  <c r="X133" i="1"/>
  <c r="Y133" i="1"/>
  <c r="Z133" i="1"/>
  <c r="AA133" i="1"/>
  <c r="AB133" i="1"/>
  <c r="AC133" i="1"/>
  <c r="V134" i="1"/>
  <c r="W134" i="1"/>
  <c r="X134" i="1"/>
  <c r="Y134" i="1"/>
  <c r="Z134" i="1"/>
  <c r="AA134" i="1"/>
  <c r="AB134" i="1"/>
  <c r="AC134" i="1"/>
  <c r="V135" i="1"/>
  <c r="W135" i="1"/>
  <c r="X135" i="1"/>
  <c r="Y135" i="1"/>
  <c r="Z135" i="1"/>
  <c r="AA135" i="1"/>
  <c r="AB135" i="1"/>
  <c r="AC135" i="1"/>
  <c r="V136" i="1"/>
  <c r="W136" i="1"/>
  <c r="X136" i="1"/>
  <c r="Y136" i="1"/>
  <c r="Z136" i="1"/>
  <c r="AA136" i="1"/>
  <c r="AB136" i="1"/>
  <c r="AC136" i="1"/>
  <c r="V137" i="1"/>
  <c r="W137" i="1"/>
  <c r="X137" i="1"/>
  <c r="Y137" i="1"/>
  <c r="Z137" i="1"/>
  <c r="AA137" i="1"/>
  <c r="AB137" i="1"/>
  <c r="AC137" i="1"/>
  <c r="V138" i="1"/>
  <c r="W138" i="1"/>
  <c r="X138" i="1"/>
  <c r="Y138" i="1"/>
  <c r="Z138" i="1"/>
  <c r="AA138" i="1"/>
  <c r="AB138" i="1"/>
  <c r="AC138" i="1"/>
  <c r="V139" i="1"/>
  <c r="W139" i="1"/>
  <c r="X139" i="1"/>
  <c r="Y139" i="1"/>
  <c r="Z139" i="1"/>
  <c r="AA139" i="1"/>
  <c r="AB139" i="1"/>
  <c r="AC139" i="1"/>
  <c r="V140" i="1"/>
  <c r="W140" i="1"/>
  <c r="X140" i="1"/>
  <c r="Y140" i="1"/>
  <c r="Z140" i="1"/>
  <c r="AA140" i="1"/>
  <c r="AB140" i="1"/>
  <c r="AC140" i="1"/>
  <c r="V141" i="1"/>
  <c r="W141" i="1"/>
  <c r="X141" i="1"/>
  <c r="Y141" i="1"/>
  <c r="Z141" i="1"/>
  <c r="AA141" i="1"/>
  <c r="AB141" i="1"/>
  <c r="AC141" i="1"/>
  <c r="V142" i="1"/>
  <c r="W142" i="1"/>
  <c r="X142" i="1"/>
  <c r="Y142" i="1"/>
  <c r="Z142" i="1"/>
  <c r="AA142" i="1"/>
  <c r="AB142" i="1"/>
  <c r="AC142" i="1"/>
  <c r="V143" i="1"/>
  <c r="W143" i="1"/>
  <c r="X143" i="1"/>
  <c r="Y143" i="1"/>
  <c r="Z143" i="1"/>
  <c r="AA143" i="1"/>
  <c r="AB143" i="1"/>
  <c r="AC143" i="1"/>
  <c r="V144" i="1"/>
  <c r="W144" i="1"/>
  <c r="X144" i="1"/>
  <c r="Y144" i="1"/>
  <c r="Z144" i="1"/>
  <c r="AA144" i="1"/>
  <c r="AB144" i="1"/>
  <c r="AC144" i="1"/>
  <c r="V145" i="1"/>
  <c r="W145" i="1"/>
  <c r="X145" i="1"/>
  <c r="Y145" i="1"/>
  <c r="Z145" i="1"/>
  <c r="AA145" i="1"/>
  <c r="AB145" i="1"/>
  <c r="AC145" i="1"/>
  <c r="V146" i="1"/>
  <c r="W146" i="1"/>
  <c r="X146" i="1"/>
  <c r="Y146" i="1"/>
  <c r="Z146" i="1"/>
  <c r="AA146" i="1"/>
  <c r="AB146" i="1"/>
  <c r="AC146" i="1"/>
  <c r="V147" i="1"/>
  <c r="W147" i="1"/>
  <c r="X147" i="1"/>
  <c r="Y147" i="1"/>
  <c r="Z147" i="1"/>
  <c r="AA147" i="1"/>
  <c r="AB147" i="1"/>
  <c r="AC147" i="1"/>
  <c r="V148" i="1"/>
  <c r="W148" i="1"/>
  <c r="X148" i="1"/>
  <c r="Y148" i="1"/>
  <c r="Z148" i="1"/>
  <c r="AA148" i="1"/>
  <c r="AB148" i="1"/>
  <c r="AC148" i="1"/>
  <c r="V149" i="1"/>
  <c r="W149" i="1"/>
  <c r="X149" i="1"/>
  <c r="Y149" i="1"/>
  <c r="Z149" i="1"/>
  <c r="AA149" i="1"/>
  <c r="AB149" i="1"/>
  <c r="AC149" i="1"/>
  <c r="V150" i="1"/>
  <c r="W150" i="1"/>
  <c r="X150" i="1"/>
  <c r="Y150" i="1"/>
  <c r="Z150" i="1"/>
  <c r="AA150" i="1"/>
  <c r="AB150" i="1"/>
  <c r="AC150" i="1"/>
  <c r="V151" i="1"/>
  <c r="W151" i="1"/>
  <c r="X151" i="1"/>
  <c r="Y151" i="1"/>
  <c r="Z151" i="1"/>
  <c r="AA151" i="1"/>
  <c r="AB151" i="1"/>
  <c r="AC151" i="1"/>
  <c r="V152" i="1"/>
  <c r="W152" i="1"/>
  <c r="X152" i="1"/>
  <c r="Y152" i="1"/>
  <c r="Z152" i="1"/>
  <c r="AA152" i="1"/>
  <c r="AB152" i="1"/>
  <c r="AC152" i="1"/>
  <c r="V153" i="1"/>
  <c r="W153" i="1"/>
  <c r="X153" i="1"/>
  <c r="Y153" i="1"/>
  <c r="Z153" i="1"/>
  <c r="AA153" i="1"/>
  <c r="AB153" i="1"/>
  <c r="AC153" i="1"/>
  <c r="V154" i="1"/>
  <c r="W154" i="1"/>
  <c r="X154" i="1"/>
  <c r="Y154" i="1"/>
  <c r="Z154" i="1"/>
  <c r="AA154" i="1"/>
  <c r="AB154" i="1"/>
  <c r="AC154" i="1"/>
  <c r="V155" i="1"/>
  <c r="W155" i="1"/>
  <c r="X155" i="1"/>
  <c r="Y155" i="1"/>
  <c r="Z155" i="1"/>
  <c r="AA155" i="1"/>
  <c r="AB155" i="1"/>
  <c r="AC155" i="1"/>
  <c r="V156" i="1"/>
  <c r="W156" i="1"/>
  <c r="X156" i="1"/>
  <c r="Y156" i="1"/>
  <c r="Z156" i="1"/>
  <c r="AA156" i="1"/>
  <c r="AB156" i="1"/>
  <c r="AC156" i="1"/>
  <c r="V157" i="1"/>
  <c r="W157" i="1"/>
  <c r="X157" i="1"/>
  <c r="Y157" i="1"/>
  <c r="Z157" i="1"/>
  <c r="AA157" i="1"/>
  <c r="AB157" i="1"/>
  <c r="AC157" i="1"/>
  <c r="V158" i="1"/>
  <c r="W158" i="1"/>
  <c r="X158" i="1"/>
  <c r="Y158" i="1"/>
  <c r="Z158" i="1"/>
  <c r="AA158" i="1"/>
  <c r="AB158" i="1"/>
  <c r="AC158" i="1"/>
  <c r="V159" i="1"/>
  <c r="W159" i="1"/>
  <c r="X159" i="1"/>
  <c r="Y159" i="1"/>
  <c r="Z159" i="1"/>
  <c r="AA159" i="1"/>
  <c r="AB159" i="1"/>
  <c r="AC159" i="1"/>
  <c r="V160" i="1"/>
  <c r="W160" i="1"/>
  <c r="X160" i="1"/>
  <c r="Y160" i="1"/>
  <c r="Z160" i="1"/>
  <c r="AA160" i="1"/>
  <c r="AB160" i="1"/>
  <c r="AC160" i="1"/>
  <c r="V161" i="1"/>
  <c r="W161" i="1"/>
  <c r="X161" i="1"/>
  <c r="Y161" i="1"/>
  <c r="Z161" i="1"/>
  <c r="AA161" i="1"/>
  <c r="AB161" i="1"/>
  <c r="AC161" i="1"/>
  <c r="V162" i="1"/>
  <c r="W162" i="1"/>
  <c r="X162" i="1"/>
  <c r="Y162" i="1"/>
  <c r="Z162" i="1"/>
  <c r="AA162" i="1"/>
  <c r="AB162" i="1"/>
  <c r="AC162" i="1"/>
  <c r="V163" i="1"/>
  <c r="W163" i="1"/>
  <c r="X163" i="1"/>
  <c r="Y163" i="1"/>
  <c r="Z163" i="1"/>
  <c r="AA163" i="1"/>
  <c r="AB163" i="1"/>
  <c r="AC163" i="1"/>
  <c r="V164" i="1"/>
  <c r="W164" i="1"/>
  <c r="X164" i="1"/>
  <c r="Y164" i="1"/>
  <c r="Z164" i="1"/>
  <c r="AA164" i="1"/>
  <c r="AB164" i="1"/>
  <c r="AC164" i="1"/>
  <c r="V165" i="1"/>
  <c r="W165" i="1"/>
  <c r="X165" i="1"/>
  <c r="Y165" i="1"/>
  <c r="Z165" i="1"/>
  <c r="AA165" i="1"/>
  <c r="AB165" i="1"/>
  <c r="AC165" i="1"/>
  <c r="V166" i="1"/>
  <c r="W166" i="1"/>
  <c r="X166" i="1"/>
  <c r="Y166" i="1"/>
  <c r="Z166" i="1"/>
  <c r="AA166" i="1"/>
  <c r="AB166" i="1"/>
  <c r="AC166" i="1"/>
  <c r="V167" i="1"/>
  <c r="W167" i="1"/>
  <c r="X167" i="1"/>
  <c r="Y167" i="1"/>
  <c r="Z167" i="1"/>
  <c r="AA167" i="1"/>
  <c r="AB167" i="1"/>
  <c r="AC167" i="1"/>
  <c r="V168" i="1"/>
  <c r="W168" i="1"/>
  <c r="X168" i="1"/>
  <c r="Y168" i="1"/>
  <c r="Z168" i="1"/>
  <c r="AA168" i="1"/>
  <c r="AB168" i="1"/>
  <c r="AC168" i="1"/>
  <c r="V169" i="1"/>
  <c r="W169" i="1"/>
  <c r="X169" i="1"/>
  <c r="Y169" i="1"/>
  <c r="Z169" i="1"/>
  <c r="AA169" i="1"/>
  <c r="AB169" i="1"/>
  <c r="AC169" i="1"/>
  <c r="V170" i="1"/>
  <c r="W170" i="1"/>
  <c r="X170" i="1"/>
  <c r="Y170" i="1"/>
  <c r="Z170" i="1"/>
  <c r="AA170" i="1"/>
  <c r="AB170" i="1"/>
  <c r="AC170" i="1"/>
  <c r="V171" i="1"/>
  <c r="W171" i="1"/>
  <c r="X171" i="1"/>
  <c r="Y171" i="1"/>
  <c r="Z171" i="1"/>
  <c r="AA171" i="1"/>
  <c r="AB171" i="1"/>
  <c r="AC171" i="1"/>
  <c r="V172" i="1"/>
  <c r="W172" i="1"/>
  <c r="X172" i="1"/>
  <c r="Y172" i="1"/>
  <c r="Z172" i="1"/>
  <c r="AA172" i="1"/>
  <c r="AB172" i="1"/>
  <c r="AC172" i="1"/>
  <c r="V173" i="1"/>
  <c r="W173" i="1"/>
  <c r="X173" i="1"/>
  <c r="Y173" i="1"/>
  <c r="Z173" i="1"/>
  <c r="AA173" i="1"/>
  <c r="AB173" i="1"/>
  <c r="AC173" i="1"/>
  <c r="V174" i="1"/>
  <c r="W174" i="1"/>
  <c r="X174" i="1"/>
  <c r="Y174" i="1"/>
  <c r="Z174" i="1"/>
  <c r="AA174" i="1"/>
  <c r="AB174" i="1"/>
  <c r="AC174" i="1"/>
  <c r="V175" i="1"/>
  <c r="W175" i="1"/>
  <c r="X175" i="1"/>
  <c r="Y175" i="1"/>
  <c r="Z175" i="1"/>
  <c r="AA175" i="1"/>
  <c r="AB175" i="1"/>
  <c r="AC175" i="1"/>
  <c r="V176" i="1"/>
  <c r="W176" i="1"/>
  <c r="X176" i="1"/>
  <c r="Y176" i="1"/>
  <c r="Z176" i="1"/>
  <c r="AA176" i="1"/>
  <c r="AB176" i="1"/>
  <c r="AC176" i="1"/>
  <c r="V177" i="1"/>
  <c r="W177" i="1"/>
  <c r="X177" i="1"/>
  <c r="Y177" i="1"/>
  <c r="Z177" i="1"/>
  <c r="AA177" i="1"/>
  <c r="AB177" i="1"/>
  <c r="AC177" i="1"/>
  <c r="V178" i="1"/>
  <c r="W178" i="1"/>
  <c r="X178" i="1"/>
  <c r="Y178" i="1"/>
  <c r="Z178" i="1"/>
  <c r="AA178" i="1"/>
  <c r="AB178" i="1"/>
  <c r="AC178" i="1"/>
  <c r="V179" i="1"/>
  <c r="W179" i="1"/>
  <c r="X179" i="1"/>
  <c r="Y179" i="1"/>
  <c r="Z179" i="1"/>
  <c r="AA179" i="1"/>
  <c r="AB179" i="1"/>
  <c r="AC179" i="1"/>
  <c r="V180" i="1"/>
  <c r="W180" i="1"/>
  <c r="X180" i="1"/>
  <c r="Y180" i="1"/>
  <c r="Z180" i="1"/>
  <c r="AA180" i="1"/>
  <c r="AB180" i="1"/>
  <c r="AC180" i="1"/>
  <c r="V181" i="1"/>
  <c r="W181" i="1"/>
  <c r="X181" i="1"/>
  <c r="Y181" i="1"/>
  <c r="Z181" i="1"/>
  <c r="AA181" i="1"/>
  <c r="AB181" i="1"/>
  <c r="AC181" i="1"/>
  <c r="V182" i="1"/>
  <c r="W182" i="1"/>
  <c r="X182" i="1"/>
  <c r="Y182" i="1"/>
  <c r="Z182" i="1"/>
  <c r="AA182" i="1"/>
  <c r="AB182" i="1"/>
  <c r="AC182" i="1"/>
  <c r="V183" i="1"/>
  <c r="W183" i="1"/>
  <c r="X183" i="1"/>
  <c r="Y183" i="1"/>
  <c r="Z183" i="1"/>
  <c r="AA183" i="1"/>
  <c r="AB183" i="1"/>
  <c r="AC183" i="1"/>
  <c r="V184" i="1"/>
  <c r="W184" i="1"/>
  <c r="X184" i="1"/>
  <c r="Y184" i="1"/>
  <c r="Z184" i="1"/>
  <c r="AA184" i="1"/>
  <c r="AB184" i="1"/>
  <c r="AC184" i="1"/>
  <c r="V185" i="1"/>
  <c r="W185" i="1"/>
  <c r="X185" i="1"/>
  <c r="Y185" i="1"/>
  <c r="Z185" i="1"/>
  <c r="AA185" i="1"/>
  <c r="AB185" i="1"/>
  <c r="AC185" i="1"/>
  <c r="V186" i="1"/>
  <c r="W186" i="1"/>
  <c r="X186" i="1"/>
  <c r="Y186" i="1"/>
  <c r="Z186" i="1"/>
  <c r="AA186" i="1"/>
  <c r="AB186" i="1"/>
  <c r="AC186" i="1"/>
  <c r="V187" i="1"/>
  <c r="W187" i="1"/>
  <c r="X187" i="1"/>
  <c r="Y187" i="1"/>
  <c r="Z187" i="1"/>
  <c r="AA187" i="1"/>
  <c r="AB187" i="1"/>
  <c r="AC187" i="1"/>
  <c r="V188" i="1"/>
  <c r="W188" i="1"/>
  <c r="X188" i="1"/>
  <c r="Y188" i="1"/>
  <c r="Z188" i="1"/>
  <c r="AA188" i="1"/>
  <c r="AB188" i="1"/>
  <c r="AC188" i="1"/>
  <c r="V189" i="1"/>
  <c r="W189" i="1"/>
  <c r="X189" i="1"/>
  <c r="Y189" i="1"/>
  <c r="Z189" i="1"/>
  <c r="AA189" i="1"/>
  <c r="AB189" i="1"/>
  <c r="AC189" i="1"/>
  <c r="V190" i="1"/>
  <c r="W190" i="1"/>
  <c r="X190" i="1"/>
  <c r="Y190" i="1"/>
  <c r="Z190" i="1"/>
  <c r="AA190" i="1"/>
  <c r="AB190" i="1"/>
  <c r="AC190" i="1"/>
  <c r="V191" i="1"/>
  <c r="W191" i="1"/>
  <c r="X191" i="1"/>
  <c r="Y191" i="1"/>
  <c r="Z191" i="1"/>
  <c r="AA191" i="1"/>
  <c r="AB191" i="1"/>
  <c r="AC191" i="1"/>
  <c r="V192" i="1"/>
  <c r="W192" i="1"/>
  <c r="X192" i="1"/>
  <c r="Y192" i="1"/>
  <c r="Z192" i="1"/>
  <c r="AA192" i="1"/>
  <c r="AB192" i="1"/>
  <c r="AC192" i="1"/>
  <c r="V193" i="1"/>
  <c r="W193" i="1"/>
  <c r="X193" i="1"/>
  <c r="Y193" i="1"/>
  <c r="Z193" i="1"/>
  <c r="AA193" i="1"/>
  <c r="AB193" i="1"/>
  <c r="AC193" i="1"/>
  <c r="V194" i="1"/>
  <c r="W194" i="1"/>
  <c r="X194" i="1"/>
  <c r="Y194" i="1"/>
  <c r="Z194" i="1"/>
  <c r="AA194" i="1"/>
  <c r="AB194" i="1"/>
  <c r="AC194" i="1"/>
  <c r="V195" i="1"/>
  <c r="W195" i="1"/>
  <c r="X195" i="1"/>
  <c r="Y195" i="1"/>
  <c r="Z195" i="1"/>
  <c r="AA195" i="1"/>
  <c r="AB195" i="1"/>
  <c r="AC195" i="1"/>
  <c r="V196" i="1"/>
  <c r="W196" i="1"/>
  <c r="X196" i="1"/>
  <c r="Y196" i="1"/>
  <c r="Z196" i="1"/>
  <c r="AA196" i="1"/>
  <c r="AB196" i="1"/>
  <c r="AC196" i="1"/>
  <c r="V197" i="1"/>
  <c r="W197" i="1"/>
  <c r="X197" i="1"/>
  <c r="Y197" i="1"/>
  <c r="Z197" i="1"/>
  <c r="AA197" i="1"/>
  <c r="AB197" i="1"/>
  <c r="AC197" i="1"/>
  <c r="V198" i="1"/>
  <c r="W198" i="1"/>
  <c r="X198" i="1"/>
  <c r="Y198" i="1"/>
  <c r="Z198" i="1"/>
  <c r="AA198" i="1"/>
  <c r="AB198" i="1"/>
  <c r="AC198" i="1"/>
  <c r="V199" i="1"/>
  <c r="W199" i="1"/>
  <c r="X199" i="1"/>
  <c r="Y199" i="1"/>
  <c r="Z199" i="1"/>
  <c r="AA199" i="1"/>
  <c r="AB199" i="1"/>
  <c r="AC199" i="1"/>
  <c r="V200" i="1"/>
  <c r="W200" i="1"/>
  <c r="X200" i="1"/>
  <c r="Y200" i="1"/>
  <c r="Z200" i="1"/>
  <c r="AA200" i="1"/>
  <c r="AB200" i="1"/>
  <c r="AC200" i="1"/>
  <c r="V201" i="1"/>
  <c r="W201" i="1"/>
  <c r="X201" i="1"/>
  <c r="Y201" i="1"/>
  <c r="Z201" i="1"/>
  <c r="AA201" i="1"/>
  <c r="AB201" i="1"/>
  <c r="AC201" i="1"/>
  <c r="V202" i="1"/>
  <c r="W202" i="1"/>
  <c r="X202" i="1"/>
  <c r="Y202" i="1"/>
  <c r="Z202" i="1"/>
  <c r="AA202" i="1"/>
  <c r="AB202" i="1"/>
  <c r="AC202" i="1"/>
  <c r="V203" i="1"/>
  <c r="W203" i="1"/>
  <c r="X203" i="1"/>
  <c r="Y203" i="1"/>
  <c r="Z203" i="1"/>
  <c r="AA203" i="1"/>
  <c r="AB203" i="1"/>
  <c r="AC203" i="1"/>
  <c r="V204" i="1"/>
  <c r="W204" i="1"/>
  <c r="X204" i="1"/>
  <c r="Y204" i="1"/>
  <c r="Z204" i="1"/>
  <c r="AA204" i="1"/>
  <c r="AB204" i="1"/>
  <c r="AC204" i="1"/>
  <c r="V205" i="1"/>
  <c r="W205" i="1"/>
  <c r="X205" i="1"/>
  <c r="Y205" i="1"/>
  <c r="Z205" i="1"/>
  <c r="AA205" i="1"/>
  <c r="AB205" i="1"/>
  <c r="AC205" i="1"/>
  <c r="V206" i="1"/>
  <c r="W206" i="1"/>
  <c r="X206" i="1"/>
  <c r="Y206" i="1"/>
  <c r="Z206" i="1"/>
  <c r="AA206" i="1"/>
  <c r="AB206" i="1"/>
  <c r="AC206" i="1"/>
  <c r="V207" i="1"/>
  <c r="W207" i="1"/>
  <c r="X207" i="1"/>
  <c r="Y207" i="1"/>
  <c r="Z207" i="1"/>
  <c r="AA207" i="1"/>
  <c r="AB207" i="1"/>
  <c r="AC207" i="1"/>
  <c r="V208" i="1"/>
  <c r="W208" i="1"/>
  <c r="X208" i="1"/>
  <c r="Y208" i="1"/>
  <c r="Z208" i="1"/>
  <c r="AA208" i="1"/>
  <c r="AB208" i="1"/>
  <c r="AC208" i="1"/>
  <c r="V209" i="1"/>
  <c r="W209" i="1"/>
  <c r="X209" i="1"/>
  <c r="Y209" i="1"/>
  <c r="Z209" i="1"/>
  <c r="AA209" i="1"/>
  <c r="AB209" i="1"/>
  <c r="AC209" i="1"/>
  <c r="V210" i="1"/>
  <c r="W210" i="1"/>
  <c r="X210" i="1"/>
  <c r="Y210" i="1"/>
  <c r="Z210" i="1"/>
  <c r="AA210" i="1"/>
  <c r="AB210" i="1"/>
  <c r="AC210" i="1"/>
  <c r="V211" i="1"/>
  <c r="W211" i="1"/>
  <c r="X211" i="1"/>
  <c r="Y211" i="1"/>
  <c r="Z211" i="1"/>
  <c r="AA211" i="1"/>
  <c r="AB211" i="1"/>
  <c r="AC211" i="1"/>
  <c r="V212" i="1"/>
  <c r="W212" i="1"/>
  <c r="X212" i="1"/>
  <c r="Y212" i="1"/>
  <c r="Z212" i="1"/>
  <c r="AA212" i="1"/>
  <c r="AB212" i="1"/>
  <c r="AC212" i="1"/>
  <c r="V213" i="1"/>
  <c r="W213" i="1"/>
  <c r="X213" i="1"/>
  <c r="Y213" i="1"/>
  <c r="Z213" i="1"/>
  <c r="AA213" i="1"/>
  <c r="AB213" i="1"/>
  <c r="AC213" i="1"/>
  <c r="V214" i="1"/>
  <c r="W214" i="1"/>
  <c r="X214" i="1"/>
  <c r="Y214" i="1"/>
  <c r="Z214" i="1"/>
  <c r="AA214" i="1"/>
  <c r="AB214" i="1"/>
  <c r="AC214" i="1"/>
  <c r="V215" i="1"/>
  <c r="W215" i="1"/>
  <c r="X215" i="1"/>
  <c r="Y215" i="1"/>
  <c r="Z215" i="1"/>
  <c r="AA215" i="1"/>
  <c r="AB215" i="1"/>
  <c r="AC215" i="1"/>
  <c r="V216" i="1"/>
  <c r="W216" i="1"/>
  <c r="X216" i="1"/>
  <c r="Y216" i="1"/>
  <c r="Z216" i="1"/>
  <c r="AA216" i="1"/>
  <c r="AB216" i="1"/>
  <c r="AC216" i="1"/>
  <c r="V217" i="1"/>
  <c r="W217" i="1"/>
  <c r="X217" i="1"/>
  <c r="Y217" i="1"/>
  <c r="Z217" i="1"/>
  <c r="AA217" i="1"/>
  <c r="AB217" i="1"/>
  <c r="AC217" i="1"/>
  <c r="V218" i="1"/>
  <c r="W218" i="1"/>
  <c r="X218" i="1"/>
  <c r="Y218" i="1"/>
  <c r="Z218" i="1"/>
  <c r="AA218" i="1"/>
  <c r="AB218" i="1"/>
  <c r="AC218" i="1"/>
  <c r="V219" i="1"/>
  <c r="W219" i="1"/>
  <c r="X219" i="1"/>
  <c r="Y219" i="1"/>
  <c r="Z219" i="1"/>
  <c r="AA219" i="1"/>
  <c r="AB219" i="1"/>
  <c r="AC219" i="1"/>
  <c r="V220" i="1"/>
  <c r="W220" i="1"/>
  <c r="X220" i="1"/>
  <c r="Y220" i="1"/>
  <c r="Z220" i="1"/>
  <c r="AA220" i="1"/>
  <c r="AB220" i="1"/>
  <c r="AC220" i="1"/>
  <c r="V221" i="1"/>
  <c r="W221" i="1"/>
  <c r="X221" i="1"/>
  <c r="Y221" i="1"/>
  <c r="Z221" i="1"/>
  <c r="AA221" i="1"/>
  <c r="AB221" i="1"/>
  <c r="AC221" i="1"/>
  <c r="V222" i="1"/>
  <c r="W222" i="1"/>
  <c r="X222" i="1"/>
  <c r="Y222" i="1"/>
  <c r="Z222" i="1"/>
  <c r="AA222" i="1"/>
  <c r="AB222" i="1"/>
  <c r="AC222" i="1"/>
  <c r="V223" i="1"/>
  <c r="W223" i="1"/>
  <c r="X223" i="1"/>
  <c r="Y223" i="1"/>
  <c r="Z223" i="1"/>
  <c r="AA223" i="1"/>
  <c r="AB223" i="1"/>
  <c r="AC223" i="1"/>
  <c r="V224" i="1"/>
  <c r="W224" i="1"/>
  <c r="X224" i="1"/>
  <c r="Y224" i="1"/>
  <c r="Z224" i="1"/>
  <c r="AA224" i="1"/>
  <c r="AB224" i="1"/>
  <c r="AC224" i="1"/>
  <c r="V225" i="1"/>
  <c r="W225" i="1"/>
  <c r="X225" i="1"/>
  <c r="Y225" i="1"/>
  <c r="Z225" i="1"/>
  <c r="AA225" i="1"/>
  <c r="AB225" i="1"/>
  <c r="AC225" i="1"/>
  <c r="V226" i="1"/>
  <c r="W226" i="1"/>
  <c r="X226" i="1"/>
  <c r="Y226" i="1"/>
  <c r="Z226" i="1"/>
  <c r="AA226" i="1"/>
  <c r="AB226" i="1"/>
  <c r="AC226" i="1"/>
  <c r="V227" i="1"/>
  <c r="W227" i="1"/>
  <c r="X227" i="1"/>
  <c r="Y227" i="1"/>
  <c r="Z227" i="1"/>
  <c r="AA227" i="1"/>
  <c r="AB227" i="1"/>
  <c r="AC227" i="1"/>
  <c r="V228" i="1"/>
  <c r="W228" i="1"/>
  <c r="X228" i="1"/>
  <c r="Y228" i="1"/>
  <c r="Z228" i="1"/>
  <c r="AA228" i="1"/>
  <c r="AB228" i="1"/>
  <c r="AC228" i="1"/>
  <c r="V229" i="1"/>
  <c r="W229" i="1"/>
  <c r="X229" i="1"/>
  <c r="Y229" i="1"/>
  <c r="Z229" i="1"/>
  <c r="AA229" i="1"/>
  <c r="AB229" i="1"/>
  <c r="AC229" i="1"/>
  <c r="V230" i="1"/>
  <c r="W230" i="1"/>
  <c r="X230" i="1"/>
  <c r="Y230" i="1"/>
  <c r="Z230" i="1"/>
  <c r="AA230" i="1"/>
  <c r="AB230" i="1"/>
  <c r="AC230" i="1"/>
  <c r="V231" i="1"/>
  <c r="W231" i="1"/>
  <c r="X231" i="1"/>
  <c r="Y231" i="1"/>
  <c r="Z231" i="1"/>
  <c r="AA231" i="1"/>
  <c r="AB231" i="1"/>
  <c r="AC231" i="1"/>
  <c r="V232" i="1"/>
  <c r="W232" i="1"/>
  <c r="X232" i="1"/>
  <c r="Y232" i="1"/>
  <c r="Z232" i="1"/>
  <c r="AA232" i="1"/>
  <c r="AB232" i="1"/>
  <c r="AC232" i="1"/>
  <c r="V233" i="1"/>
  <c r="W233" i="1"/>
  <c r="X233" i="1"/>
  <c r="Y233" i="1"/>
  <c r="Z233" i="1"/>
  <c r="AA233" i="1"/>
  <c r="AB233" i="1"/>
  <c r="AC233" i="1"/>
  <c r="V234" i="1"/>
  <c r="W234" i="1"/>
  <c r="X234" i="1"/>
  <c r="Y234" i="1"/>
  <c r="Z234" i="1"/>
  <c r="AA234" i="1"/>
  <c r="AB234" i="1"/>
  <c r="AC234" i="1"/>
  <c r="V235" i="1"/>
  <c r="W235" i="1"/>
  <c r="X235" i="1"/>
  <c r="Y235" i="1"/>
  <c r="Z235" i="1"/>
  <c r="AA235" i="1"/>
  <c r="AB235" i="1"/>
  <c r="AC235" i="1"/>
  <c r="V236" i="1"/>
  <c r="W236" i="1"/>
  <c r="X236" i="1"/>
  <c r="Y236" i="1"/>
  <c r="Z236" i="1"/>
  <c r="AA236" i="1"/>
  <c r="AB236" i="1"/>
  <c r="AC236" i="1"/>
  <c r="V237" i="1"/>
  <c r="W237" i="1"/>
  <c r="X237" i="1"/>
  <c r="Y237" i="1"/>
  <c r="Z237" i="1"/>
  <c r="AA237" i="1"/>
  <c r="AB237" i="1"/>
  <c r="AC237" i="1"/>
  <c r="V238" i="1"/>
  <c r="W238" i="1"/>
  <c r="X238" i="1"/>
  <c r="Y238" i="1"/>
  <c r="Z238" i="1"/>
  <c r="AA238" i="1"/>
  <c r="AB238" i="1"/>
  <c r="AC238" i="1"/>
  <c r="V239" i="1"/>
  <c r="W239" i="1"/>
  <c r="X239" i="1"/>
  <c r="Y239" i="1"/>
  <c r="Z239" i="1"/>
  <c r="AA239" i="1"/>
  <c r="AB239" i="1"/>
  <c r="AC239" i="1"/>
  <c r="V240" i="1"/>
  <c r="W240" i="1"/>
  <c r="X240" i="1"/>
  <c r="Y240" i="1"/>
  <c r="Z240" i="1"/>
  <c r="AA240" i="1"/>
  <c r="AB240" i="1"/>
  <c r="AC240" i="1"/>
  <c r="V241" i="1"/>
  <c r="W241" i="1"/>
  <c r="X241" i="1"/>
  <c r="Y241" i="1"/>
  <c r="Z241" i="1"/>
  <c r="AA241" i="1"/>
  <c r="AB241" i="1"/>
  <c r="AC241" i="1"/>
  <c r="V242" i="1"/>
  <c r="W242" i="1"/>
  <c r="X242" i="1"/>
  <c r="Y242" i="1"/>
  <c r="Z242" i="1"/>
  <c r="AA242" i="1"/>
  <c r="AB242" i="1"/>
  <c r="AC242" i="1"/>
  <c r="V243" i="1"/>
  <c r="W243" i="1"/>
  <c r="X243" i="1"/>
  <c r="Y243" i="1"/>
  <c r="Z243" i="1"/>
  <c r="AA243" i="1"/>
  <c r="AB243" i="1"/>
  <c r="AC243" i="1"/>
  <c r="V244" i="1"/>
  <c r="W244" i="1"/>
  <c r="X244" i="1"/>
  <c r="Y244" i="1"/>
  <c r="Z244" i="1"/>
  <c r="AA244" i="1"/>
  <c r="AB244" i="1"/>
  <c r="AC244" i="1"/>
  <c r="V245" i="1"/>
  <c r="W245" i="1"/>
  <c r="X245" i="1"/>
  <c r="Y245" i="1"/>
  <c r="Z245" i="1"/>
  <c r="AA245" i="1"/>
  <c r="AB245" i="1"/>
  <c r="AC245" i="1"/>
  <c r="V246" i="1"/>
  <c r="W246" i="1"/>
  <c r="X246" i="1"/>
  <c r="Y246" i="1"/>
  <c r="Z246" i="1"/>
  <c r="AA246" i="1"/>
  <c r="AB246" i="1"/>
  <c r="AC246" i="1"/>
  <c r="V247" i="1"/>
  <c r="W247" i="1"/>
  <c r="X247" i="1"/>
  <c r="Y247" i="1"/>
  <c r="Z247" i="1"/>
  <c r="AA247" i="1"/>
  <c r="AB247" i="1"/>
  <c r="AC247" i="1"/>
  <c r="V248" i="1"/>
  <c r="W248" i="1"/>
  <c r="X248" i="1"/>
  <c r="Y248" i="1"/>
  <c r="Z248" i="1"/>
  <c r="AA248" i="1"/>
  <c r="AB248" i="1"/>
  <c r="AC248" i="1"/>
  <c r="V249" i="1"/>
  <c r="W249" i="1"/>
  <c r="X249" i="1"/>
  <c r="Y249" i="1"/>
  <c r="Z249" i="1"/>
  <c r="AA249" i="1"/>
  <c r="AB249" i="1"/>
  <c r="AC249" i="1"/>
  <c r="V250" i="1"/>
  <c r="W250" i="1"/>
  <c r="X250" i="1"/>
  <c r="Y250" i="1"/>
  <c r="Z250" i="1"/>
  <c r="AA250" i="1"/>
  <c r="AB250" i="1"/>
  <c r="AC250" i="1"/>
  <c r="V251" i="1"/>
  <c r="W251" i="1"/>
  <c r="X251" i="1"/>
  <c r="Y251" i="1"/>
  <c r="Z251" i="1"/>
  <c r="AA251" i="1"/>
  <c r="AB251" i="1"/>
  <c r="AC251" i="1"/>
  <c r="V252" i="1"/>
  <c r="W252" i="1"/>
  <c r="X252" i="1"/>
  <c r="Y252" i="1"/>
  <c r="Z252" i="1"/>
  <c r="AA252" i="1"/>
  <c r="AB252" i="1"/>
  <c r="AC252" i="1"/>
  <c r="V253" i="1"/>
  <c r="W253" i="1"/>
  <c r="X253" i="1"/>
  <c r="Y253" i="1"/>
  <c r="Z253" i="1"/>
  <c r="AA253" i="1"/>
  <c r="AB253" i="1"/>
  <c r="AC253" i="1"/>
  <c r="V254" i="1"/>
  <c r="W254" i="1"/>
  <c r="X254" i="1"/>
  <c r="Y254" i="1"/>
  <c r="Z254" i="1"/>
  <c r="AA254" i="1"/>
  <c r="AB254" i="1"/>
  <c r="AC254" i="1"/>
  <c r="V255" i="1"/>
  <c r="W255" i="1"/>
  <c r="X255" i="1"/>
  <c r="Y255" i="1"/>
  <c r="Z255" i="1"/>
  <c r="AA255" i="1"/>
  <c r="AB255" i="1"/>
  <c r="AC255" i="1"/>
  <c r="V256" i="1"/>
  <c r="W256" i="1"/>
  <c r="X256" i="1"/>
  <c r="Y256" i="1"/>
  <c r="Z256" i="1"/>
  <c r="AA256" i="1"/>
  <c r="AB256" i="1"/>
  <c r="AC256" i="1"/>
  <c r="V257" i="1"/>
  <c r="W257" i="1"/>
  <c r="X257" i="1"/>
  <c r="Y257" i="1"/>
  <c r="Z257" i="1"/>
  <c r="AA257" i="1"/>
  <c r="AB257" i="1"/>
  <c r="AC257" i="1"/>
  <c r="V258" i="1"/>
  <c r="W258" i="1"/>
  <c r="X258" i="1"/>
  <c r="Y258" i="1"/>
  <c r="Z258" i="1"/>
  <c r="AA258" i="1"/>
  <c r="AB258" i="1"/>
  <c r="AC258" i="1"/>
  <c r="V259" i="1"/>
  <c r="W259" i="1"/>
  <c r="X259" i="1"/>
  <c r="Y259" i="1"/>
  <c r="Z259" i="1"/>
  <c r="AA259" i="1"/>
  <c r="AB259" i="1"/>
  <c r="AC259" i="1"/>
  <c r="V260" i="1"/>
  <c r="W260" i="1"/>
  <c r="X260" i="1"/>
  <c r="Y260" i="1"/>
  <c r="Z260" i="1"/>
  <c r="AA260" i="1"/>
  <c r="AB260" i="1"/>
  <c r="AC260" i="1"/>
  <c r="V261" i="1"/>
  <c r="W261" i="1"/>
  <c r="X261" i="1"/>
  <c r="Y261" i="1"/>
  <c r="Z261" i="1"/>
  <c r="AA261" i="1"/>
  <c r="AB261" i="1"/>
  <c r="AC261" i="1"/>
  <c r="V262" i="1"/>
  <c r="W262" i="1"/>
  <c r="X262" i="1"/>
  <c r="Y262" i="1"/>
  <c r="Z262" i="1"/>
  <c r="AA262" i="1"/>
  <c r="AB262" i="1"/>
  <c r="AC262" i="1"/>
  <c r="V263" i="1"/>
  <c r="W263" i="1"/>
  <c r="X263" i="1"/>
  <c r="Y263" i="1"/>
  <c r="Z263" i="1"/>
  <c r="AA263" i="1"/>
  <c r="AB263" i="1"/>
  <c r="AC263" i="1"/>
  <c r="V264" i="1"/>
  <c r="W264" i="1"/>
  <c r="X264" i="1"/>
  <c r="Y264" i="1"/>
  <c r="Z264" i="1"/>
  <c r="AA264" i="1"/>
  <c r="AB264" i="1"/>
  <c r="AC264" i="1"/>
  <c r="V265" i="1"/>
  <c r="W265" i="1"/>
  <c r="X265" i="1"/>
  <c r="Y265" i="1"/>
  <c r="Z265" i="1"/>
  <c r="AA265" i="1"/>
  <c r="AB265" i="1"/>
  <c r="AC265" i="1"/>
  <c r="V266" i="1"/>
  <c r="W266" i="1"/>
  <c r="X266" i="1"/>
  <c r="Y266" i="1"/>
  <c r="Z266" i="1"/>
  <c r="AA266" i="1"/>
  <c r="AB266" i="1"/>
  <c r="AC266" i="1"/>
  <c r="V267" i="1"/>
  <c r="W267" i="1"/>
  <c r="X267" i="1"/>
  <c r="Y267" i="1"/>
  <c r="Z267" i="1"/>
  <c r="AA267" i="1"/>
  <c r="AB267" i="1"/>
  <c r="AC267" i="1"/>
  <c r="V268" i="1"/>
  <c r="W268" i="1"/>
  <c r="X268" i="1"/>
  <c r="Y268" i="1"/>
  <c r="Z268" i="1"/>
  <c r="AA268" i="1"/>
  <c r="AB268" i="1"/>
  <c r="AC268" i="1"/>
  <c r="V269" i="1"/>
  <c r="W269" i="1"/>
  <c r="X269" i="1"/>
  <c r="Y269" i="1"/>
  <c r="Z269" i="1"/>
  <c r="AA269" i="1"/>
  <c r="AB269" i="1"/>
  <c r="AC269" i="1"/>
  <c r="V270" i="1"/>
  <c r="W270" i="1"/>
  <c r="X270" i="1"/>
  <c r="Y270" i="1"/>
  <c r="Z270" i="1"/>
  <c r="AA270" i="1"/>
  <c r="AB270" i="1"/>
  <c r="AC270" i="1"/>
  <c r="V271" i="1"/>
  <c r="W271" i="1"/>
  <c r="X271" i="1"/>
  <c r="Y271" i="1"/>
  <c r="Z271" i="1"/>
  <c r="AA271" i="1"/>
  <c r="AB271" i="1"/>
  <c r="AC271" i="1"/>
  <c r="V272" i="1"/>
  <c r="W272" i="1"/>
  <c r="X272" i="1"/>
  <c r="Y272" i="1"/>
  <c r="Z272" i="1"/>
  <c r="AA272" i="1"/>
  <c r="AB272" i="1"/>
  <c r="AC272" i="1"/>
  <c r="V273" i="1"/>
  <c r="W273" i="1"/>
  <c r="X273" i="1"/>
  <c r="Y273" i="1"/>
  <c r="Z273" i="1"/>
  <c r="AA273" i="1"/>
  <c r="AB273" i="1"/>
  <c r="AC273" i="1"/>
  <c r="V274" i="1"/>
  <c r="W274" i="1"/>
  <c r="X274" i="1"/>
  <c r="Y274" i="1"/>
  <c r="Z274" i="1"/>
  <c r="AA274" i="1"/>
  <c r="AB274" i="1"/>
  <c r="AC274" i="1"/>
  <c r="V275" i="1"/>
  <c r="W275" i="1"/>
  <c r="X275" i="1"/>
  <c r="Y275" i="1"/>
  <c r="Z275" i="1"/>
  <c r="AA275" i="1"/>
  <c r="AB275" i="1"/>
  <c r="AC275" i="1"/>
  <c r="V276" i="1"/>
  <c r="W276" i="1"/>
  <c r="X276" i="1"/>
  <c r="Y276" i="1"/>
  <c r="Z276" i="1"/>
  <c r="AA276" i="1"/>
  <c r="AB276" i="1"/>
  <c r="AC276" i="1"/>
  <c r="V277" i="1"/>
  <c r="W277" i="1"/>
  <c r="X277" i="1"/>
  <c r="Y277" i="1"/>
  <c r="Z277" i="1"/>
  <c r="AA277" i="1"/>
  <c r="AB277" i="1"/>
  <c r="AC277" i="1"/>
  <c r="V278" i="1"/>
  <c r="W278" i="1"/>
  <c r="X278" i="1"/>
  <c r="Y278" i="1"/>
  <c r="Z278" i="1"/>
  <c r="AA278" i="1"/>
  <c r="AB278" i="1"/>
  <c r="AC278" i="1"/>
  <c r="V279" i="1"/>
  <c r="W279" i="1"/>
  <c r="X279" i="1"/>
  <c r="Y279" i="1"/>
  <c r="Z279" i="1"/>
  <c r="AA279" i="1"/>
  <c r="AB279" i="1"/>
  <c r="AC279" i="1"/>
  <c r="V280" i="1"/>
  <c r="W280" i="1"/>
  <c r="X280" i="1"/>
  <c r="Y280" i="1"/>
  <c r="Z280" i="1"/>
  <c r="AA280" i="1"/>
  <c r="AB280" i="1"/>
  <c r="AC280" i="1"/>
  <c r="V281" i="1"/>
  <c r="W281" i="1"/>
  <c r="X281" i="1"/>
  <c r="Y281" i="1"/>
  <c r="Z281" i="1"/>
  <c r="AA281" i="1"/>
  <c r="AB281" i="1"/>
  <c r="AC281" i="1"/>
  <c r="V282" i="1"/>
  <c r="W282" i="1"/>
  <c r="X282" i="1"/>
  <c r="Y282" i="1"/>
  <c r="Z282" i="1"/>
  <c r="AA282" i="1"/>
  <c r="AB282" i="1"/>
  <c r="AC282" i="1"/>
  <c r="V283" i="1"/>
  <c r="W283" i="1"/>
  <c r="X283" i="1"/>
  <c r="Y283" i="1"/>
  <c r="Z283" i="1"/>
  <c r="AA283" i="1"/>
  <c r="AB283" i="1"/>
  <c r="AC283" i="1"/>
  <c r="V284" i="1"/>
  <c r="W284" i="1"/>
  <c r="X284" i="1"/>
  <c r="Y284" i="1"/>
  <c r="Z284" i="1"/>
  <c r="AA284" i="1"/>
  <c r="AB284" i="1"/>
  <c r="AC284" i="1"/>
  <c r="V285" i="1"/>
  <c r="W285" i="1"/>
  <c r="X285" i="1"/>
  <c r="Y285" i="1"/>
  <c r="Z285" i="1"/>
  <c r="AA285" i="1"/>
  <c r="AB285" i="1"/>
  <c r="AC285" i="1"/>
  <c r="V286" i="1"/>
  <c r="W286" i="1"/>
  <c r="X286" i="1"/>
  <c r="Y286" i="1"/>
  <c r="Z286" i="1"/>
  <c r="AA286" i="1"/>
  <c r="AB286" i="1"/>
  <c r="AC286" i="1"/>
  <c r="V287" i="1"/>
  <c r="W287" i="1"/>
  <c r="X287" i="1"/>
  <c r="Y287" i="1"/>
  <c r="Z287" i="1"/>
  <c r="AA287" i="1"/>
  <c r="AB287" i="1"/>
  <c r="AC287" i="1"/>
  <c r="V288" i="1"/>
  <c r="W288" i="1"/>
  <c r="X288" i="1"/>
  <c r="Y288" i="1"/>
  <c r="Z288" i="1"/>
  <c r="AA288" i="1"/>
  <c r="AB288" i="1"/>
  <c r="AC288" i="1"/>
  <c r="V289" i="1"/>
  <c r="W289" i="1"/>
  <c r="X289" i="1"/>
  <c r="Y289" i="1"/>
  <c r="Z289" i="1"/>
  <c r="AA289" i="1"/>
  <c r="AB289" i="1"/>
  <c r="AC289" i="1"/>
  <c r="V290" i="1"/>
  <c r="W290" i="1"/>
  <c r="X290" i="1"/>
  <c r="Y290" i="1"/>
  <c r="Z290" i="1"/>
  <c r="AA290" i="1"/>
  <c r="AB290" i="1"/>
  <c r="AC290" i="1"/>
  <c r="V291" i="1"/>
  <c r="W291" i="1"/>
  <c r="X291" i="1"/>
  <c r="Y291" i="1"/>
  <c r="Z291" i="1"/>
  <c r="AA291" i="1"/>
  <c r="AB291" i="1"/>
  <c r="AC291" i="1"/>
  <c r="V292" i="1"/>
  <c r="W292" i="1"/>
  <c r="X292" i="1"/>
  <c r="Y292" i="1"/>
  <c r="Z292" i="1"/>
  <c r="AA292" i="1"/>
  <c r="AB292" i="1"/>
  <c r="AC292" i="1"/>
  <c r="V293" i="1"/>
  <c r="W293" i="1"/>
  <c r="X293" i="1"/>
  <c r="Y293" i="1"/>
  <c r="Z293" i="1"/>
  <c r="AA293" i="1"/>
  <c r="AB293" i="1"/>
  <c r="AC293" i="1"/>
  <c r="V294" i="1"/>
  <c r="W294" i="1"/>
  <c r="X294" i="1"/>
  <c r="Y294" i="1"/>
  <c r="Z294" i="1"/>
  <c r="AA294" i="1"/>
  <c r="AB294" i="1"/>
  <c r="AC294" i="1"/>
  <c r="V295" i="1"/>
  <c r="W295" i="1"/>
  <c r="X295" i="1"/>
  <c r="Y295" i="1"/>
  <c r="Z295" i="1"/>
  <c r="AA295" i="1"/>
  <c r="AB295" i="1"/>
  <c r="AC295" i="1"/>
  <c r="V296" i="1"/>
  <c r="W296" i="1"/>
  <c r="X296" i="1"/>
  <c r="Y296" i="1"/>
  <c r="Z296" i="1"/>
  <c r="AA296" i="1"/>
  <c r="AB296" i="1"/>
  <c r="AC296" i="1"/>
  <c r="V297" i="1"/>
  <c r="W297" i="1"/>
  <c r="X297" i="1"/>
  <c r="Y297" i="1"/>
  <c r="Z297" i="1"/>
  <c r="AA297" i="1"/>
  <c r="AB297" i="1"/>
  <c r="AC297" i="1"/>
  <c r="V298" i="1"/>
  <c r="W298" i="1"/>
  <c r="X298" i="1"/>
  <c r="Y298" i="1"/>
  <c r="Z298" i="1"/>
  <c r="AA298" i="1"/>
  <c r="AB298" i="1"/>
  <c r="AC298" i="1"/>
  <c r="V299" i="1"/>
  <c r="W299" i="1"/>
  <c r="X299" i="1"/>
  <c r="Y299" i="1"/>
  <c r="Z299" i="1"/>
  <c r="AA299" i="1"/>
  <c r="AB299" i="1"/>
  <c r="AC299" i="1"/>
  <c r="V300" i="1"/>
  <c r="W300" i="1"/>
  <c r="X300" i="1"/>
  <c r="Y300" i="1"/>
  <c r="Z300" i="1"/>
  <c r="AA300" i="1"/>
  <c r="AB300" i="1"/>
  <c r="AC300" i="1"/>
  <c r="V301" i="1"/>
  <c r="W301" i="1"/>
  <c r="X301" i="1"/>
  <c r="Y301" i="1"/>
  <c r="Z301" i="1"/>
  <c r="AA301" i="1"/>
  <c r="AB301" i="1"/>
  <c r="AC301" i="1"/>
  <c r="V302" i="1"/>
  <c r="W302" i="1"/>
  <c r="X302" i="1"/>
  <c r="Y302" i="1"/>
  <c r="Z302" i="1"/>
  <c r="AA302" i="1"/>
  <c r="AB302" i="1"/>
  <c r="AC302" i="1"/>
  <c r="V303" i="1"/>
  <c r="W303" i="1"/>
  <c r="X303" i="1"/>
  <c r="Y303" i="1"/>
  <c r="Z303" i="1"/>
  <c r="AA303" i="1"/>
  <c r="AB303" i="1"/>
  <c r="AC303" i="1"/>
  <c r="V304" i="1"/>
  <c r="W304" i="1"/>
  <c r="X304" i="1"/>
  <c r="Y304" i="1"/>
  <c r="Z304" i="1"/>
  <c r="AA304" i="1"/>
  <c r="AB304" i="1"/>
  <c r="AC304" i="1"/>
  <c r="V305" i="1"/>
  <c r="W305" i="1"/>
  <c r="X305" i="1"/>
  <c r="Y305" i="1"/>
  <c r="Z305" i="1"/>
  <c r="AA305" i="1"/>
  <c r="AB305" i="1"/>
  <c r="AC305" i="1"/>
  <c r="V306" i="1"/>
  <c r="W306" i="1"/>
  <c r="X306" i="1"/>
  <c r="Y306" i="1"/>
  <c r="Z306" i="1"/>
  <c r="AA306" i="1"/>
  <c r="AB306" i="1"/>
  <c r="AC306" i="1"/>
  <c r="V307" i="1"/>
  <c r="W307" i="1"/>
  <c r="X307" i="1"/>
  <c r="Y307" i="1"/>
  <c r="Z307" i="1"/>
  <c r="AA307" i="1"/>
  <c r="AB307" i="1"/>
  <c r="AC307" i="1"/>
  <c r="V308" i="1"/>
  <c r="W308" i="1"/>
  <c r="X308" i="1"/>
  <c r="Y308" i="1"/>
  <c r="Z308" i="1"/>
  <c r="AA308" i="1"/>
  <c r="AB308" i="1"/>
  <c r="AC308" i="1"/>
  <c r="V309" i="1"/>
  <c r="W309" i="1"/>
  <c r="X309" i="1"/>
  <c r="Y309" i="1"/>
  <c r="Z309" i="1"/>
  <c r="AA309" i="1"/>
  <c r="AB309" i="1"/>
  <c r="AC309" i="1"/>
  <c r="V310" i="1"/>
  <c r="W310" i="1"/>
  <c r="X310" i="1"/>
  <c r="Y310" i="1"/>
  <c r="Z310" i="1"/>
  <c r="AA310" i="1"/>
  <c r="AB310" i="1"/>
  <c r="AC310" i="1"/>
  <c r="V311" i="1"/>
  <c r="W311" i="1"/>
  <c r="X311" i="1"/>
  <c r="Y311" i="1"/>
  <c r="Z311" i="1"/>
  <c r="AA311" i="1"/>
  <c r="AB311" i="1"/>
  <c r="AC311" i="1"/>
  <c r="V312" i="1"/>
  <c r="W312" i="1"/>
  <c r="X312" i="1"/>
  <c r="Y312" i="1"/>
  <c r="Z312" i="1"/>
  <c r="AA312" i="1"/>
  <c r="AB312" i="1"/>
  <c r="AC312" i="1"/>
  <c r="V313" i="1"/>
  <c r="W313" i="1"/>
  <c r="X313" i="1"/>
  <c r="Y313" i="1"/>
  <c r="Z313" i="1"/>
  <c r="AA313" i="1"/>
  <c r="AB313" i="1"/>
  <c r="AC313" i="1"/>
  <c r="V314" i="1"/>
  <c r="W314" i="1"/>
  <c r="X314" i="1"/>
  <c r="Y314" i="1"/>
  <c r="Z314" i="1"/>
  <c r="AA314" i="1"/>
  <c r="AB314" i="1"/>
  <c r="AC314" i="1"/>
  <c r="V315" i="1"/>
  <c r="W315" i="1"/>
  <c r="X315" i="1"/>
  <c r="Y315" i="1"/>
  <c r="Z315" i="1"/>
  <c r="AA315" i="1"/>
  <c r="AB315" i="1"/>
  <c r="AC315" i="1"/>
  <c r="V316" i="1"/>
  <c r="W316" i="1"/>
  <c r="X316" i="1"/>
  <c r="Y316" i="1"/>
  <c r="Z316" i="1"/>
  <c r="AA316" i="1"/>
  <c r="AB316" i="1"/>
  <c r="AC316" i="1"/>
  <c r="V317" i="1"/>
  <c r="W317" i="1"/>
  <c r="X317" i="1"/>
  <c r="Y317" i="1"/>
  <c r="Z317" i="1"/>
  <c r="AA317" i="1"/>
  <c r="AB317" i="1"/>
  <c r="AC317" i="1"/>
  <c r="V318" i="1"/>
  <c r="W318" i="1"/>
  <c r="X318" i="1"/>
  <c r="Y318" i="1"/>
  <c r="Z318" i="1"/>
  <c r="AA318" i="1"/>
  <c r="AB318" i="1"/>
  <c r="AC318" i="1"/>
  <c r="V319" i="1"/>
  <c r="W319" i="1"/>
  <c r="X319" i="1"/>
  <c r="Y319" i="1"/>
  <c r="Z319" i="1"/>
  <c r="AA319" i="1"/>
  <c r="AB319" i="1"/>
  <c r="AC319" i="1"/>
  <c r="V320" i="1"/>
  <c r="W320" i="1"/>
  <c r="X320" i="1"/>
  <c r="Y320" i="1"/>
  <c r="Z320" i="1"/>
  <c r="AA320" i="1"/>
  <c r="AB320" i="1"/>
  <c r="AC320" i="1"/>
  <c r="V321" i="1"/>
  <c r="W321" i="1"/>
  <c r="X321" i="1"/>
  <c r="Y321" i="1"/>
  <c r="Z321" i="1"/>
  <c r="AA321" i="1"/>
  <c r="AB321" i="1"/>
  <c r="AC321" i="1"/>
  <c r="V322" i="1"/>
  <c r="W322" i="1"/>
  <c r="X322" i="1"/>
  <c r="Y322" i="1"/>
  <c r="Z322" i="1"/>
  <c r="AA322" i="1"/>
  <c r="AB322" i="1"/>
  <c r="AC322" i="1"/>
  <c r="V323" i="1"/>
  <c r="W323" i="1"/>
  <c r="X323" i="1"/>
  <c r="Y323" i="1"/>
  <c r="Z323" i="1"/>
  <c r="AA323" i="1"/>
  <c r="AB323" i="1"/>
  <c r="AC323" i="1"/>
  <c r="V324" i="1"/>
  <c r="W324" i="1"/>
  <c r="X324" i="1"/>
  <c r="Y324" i="1"/>
  <c r="Z324" i="1"/>
  <c r="AA324" i="1"/>
  <c r="AB324" i="1"/>
  <c r="AC324" i="1"/>
  <c r="V325" i="1"/>
  <c r="W325" i="1"/>
  <c r="X325" i="1"/>
  <c r="Y325" i="1"/>
  <c r="Z325" i="1"/>
  <c r="AA325" i="1"/>
  <c r="AB325" i="1"/>
  <c r="AC325" i="1"/>
  <c r="V326" i="1"/>
  <c r="W326" i="1"/>
  <c r="X326" i="1"/>
  <c r="Y326" i="1"/>
  <c r="Z326" i="1"/>
  <c r="AA326" i="1"/>
  <c r="AB326" i="1"/>
  <c r="AC326" i="1"/>
  <c r="V327" i="1"/>
  <c r="W327" i="1"/>
  <c r="X327" i="1"/>
  <c r="Y327" i="1"/>
  <c r="Z327" i="1"/>
  <c r="AA327" i="1"/>
  <c r="AB327" i="1"/>
  <c r="AC327" i="1"/>
  <c r="V328" i="1"/>
  <c r="W328" i="1"/>
  <c r="X328" i="1"/>
  <c r="Y328" i="1"/>
  <c r="Z328" i="1"/>
  <c r="AA328" i="1"/>
  <c r="AB328" i="1"/>
  <c r="AC328" i="1"/>
  <c r="V329" i="1"/>
  <c r="W329" i="1"/>
  <c r="X329" i="1"/>
  <c r="Y329" i="1"/>
  <c r="Z329" i="1"/>
  <c r="AA329" i="1"/>
  <c r="AB329" i="1"/>
  <c r="AC329" i="1"/>
  <c r="V330" i="1"/>
  <c r="W330" i="1"/>
  <c r="X330" i="1"/>
  <c r="Y330" i="1"/>
  <c r="Z330" i="1"/>
  <c r="AA330" i="1"/>
  <c r="AB330" i="1"/>
  <c r="AC330" i="1"/>
  <c r="V331" i="1"/>
  <c r="W331" i="1"/>
  <c r="X331" i="1"/>
  <c r="Y331" i="1"/>
  <c r="Z331" i="1"/>
  <c r="AA331" i="1"/>
  <c r="AB331" i="1"/>
  <c r="AC331" i="1"/>
  <c r="V332" i="1"/>
  <c r="W332" i="1"/>
  <c r="X332" i="1"/>
  <c r="Y332" i="1"/>
  <c r="Z332" i="1"/>
  <c r="AA332" i="1"/>
  <c r="AB332" i="1"/>
  <c r="AC332" i="1"/>
  <c r="V333" i="1"/>
  <c r="W333" i="1"/>
  <c r="X333" i="1"/>
  <c r="Y333" i="1"/>
  <c r="Z333" i="1"/>
  <c r="AA333" i="1"/>
  <c r="AB333" i="1"/>
  <c r="AC333" i="1"/>
  <c r="V334" i="1"/>
  <c r="W334" i="1"/>
  <c r="X334" i="1"/>
  <c r="Y334" i="1"/>
  <c r="Z334" i="1"/>
  <c r="AA334" i="1"/>
  <c r="AB334" i="1"/>
  <c r="AC334" i="1"/>
  <c r="V335" i="1"/>
  <c r="W335" i="1"/>
  <c r="X335" i="1"/>
  <c r="Y335" i="1"/>
  <c r="Z335" i="1"/>
  <c r="AA335" i="1"/>
  <c r="AB335" i="1"/>
  <c r="AC335" i="1"/>
  <c r="V336" i="1"/>
  <c r="W336" i="1"/>
  <c r="X336" i="1"/>
  <c r="Y336" i="1"/>
  <c r="Z336" i="1"/>
  <c r="AA336" i="1"/>
  <c r="AB336" i="1"/>
  <c r="AC336" i="1"/>
  <c r="V337" i="1"/>
  <c r="W337" i="1"/>
  <c r="X337" i="1"/>
  <c r="Y337" i="1"/>
  <c r="Z337" i="1"/>
  <c r="AA337" i="1"/>
  <c r="AB337" i="1"/>
  <c r="AC337" i="1"/>
  <c r="V338" i="1"/>
  <c r="W338" i="1"/>
  <c r="X338" i="1"/>
  <c r="Y338" i="1"/>
  <c r="Z338" i="1"/>
  <c r="AA338" i="1"/>
  <c r="AB338" i="1"/>
  <c r="AC338" i="1"/>
  <c r="V339" i="1"/>
  <c r="W339" i="1"/>
  <c r="X339" i="1"/>
  <c r="Y339" i="1"/>
  <c r="Z339" i="1"/>
  <c r="AA339" i="1"/>
  <c r="AB339" i="1"/>
  <c r="AC339" i="1"/>
  <c r="V340" i="1"/>
  <c r="W340" i="1"/>
  <c r="X340" i="1"/>
  <c r="Y340" i="1"/>
  <c r="Z340" i="1"/>
  <c r="AA340" i="1"/>
  <c r="AB340" i="1"/>
  <c r="AC340" i="1"/>
  <c r="V341" i="1"/>
  <c r="W341" i="1"/>
  <c r="X341" i="1"/>
  <c r="Y341" i="1"/>
  <c r="Z341" i="1"/>
  <c r="AA341" i="1"/>
  <c r="AB341" i="1"/>
  <c r="AC341" i="1"/>
  <c r="V342" i="1"/>
  <c r="W342" i="1"/>
  <c r="X342" i="1"/>
  <c r="Y342" i="1"/>
  <c r="Z342" i="1"/>
  <c r="AA342" i="1"/>
  <c r="AB342" i="1"/>
  <c r="AC342" i="1"/>
  <c r="V343" i="1"/>
  <c r="W343" i="1"/>
  <c r="X343" i="1"/>
  <c r="Y343" i="1"/>
  <c r="Z343" i="1"/>
  <c r="AA343" i="1"/>
  <c r="AB343" i="1"/>
  <c r="AC343" i="1"/>
  <c r="V344" i="1"/>
  <c r="W344" i="1"/>
  <c r="X344" i="1"/>
  <c r="Y344" i="1"/>
  <c r="Z344" i="1"/>
  <c r="AA344" i="1"/>
  <c r="AB344" i="1"/>
  <c r="AC344" i="1"/>
  <c r="V345" i="1"/>
  <c r="W345" i="1"/>
  <c r="X345" i="1"/>
  <c r="Y345" i="1"/>
  <c r="Z345" i="1"/>
  <c r="AA345" i="1"/>
  <c r="AB345" i="1"/>
  <c r="AC345" i="1"/>
  <c r="V346" i="1"/>
  <c r="W346" i="1"/>
  <c r="X346" i="1"/>
  <c r="Y346" i="1"/>
  <c r="Z346" i="1"/>
  <c r="AA346" i="1"/>
  <c r="AB346" i="1"/>
  <c r="AC346" i="1"/>
  <c r="V347" i="1"/>
  <c r="W347" i="1"/>
  <c r="X347" i="1"/>
  <c r="Y347" i="1"/>
  <c r="Z347" i="1"/>
  <c r="AA347" i="1"/>
  <c r="AB347" i="1"/>
  <c r="AC347" i="1"/>
  <c r="V348" i="1"/>
  <c r="W348" i="1"/>
  <c r="X348" i="1"/>
  <c r="Y348" i="1"/>
  <c r="Z348" i="1"/>
  <c r="AA348" i="1"/>
  <c r="AB348" i="1"/>
  <c r="AC348" i="1"/>
  <c r="V349" i="1"/>
  <c r="W349" i="1"/>
  <c r="X349" i="1"/>
  <c r="Y349" i="1"/>
  <c r="Z349" i="1"/>
  <c r="AA349" i="1"/>
  <c r="AB349" i="1"/>
  <c r="AC349" i="1"/>
  <c r="V350" i="1"/>
  <c r="W350" i="1"/>
  <c r="X350" i="1"/>
  <c r="Y350" i="1"/>
  <c r="Z350" i="1"/>
  <c r="AA350" i="1"/>
  <c r="AB350" i="1"/>
  <c r="AC350" i="1"/>
  <c r="V351" i="1"/>
  <c r="W351" i="1"/>
  <c r="X351" i="1"/>
  <c r="Y351" i="1"/>
  <c r="Z351" i="1"/>
  <c r="AA351" i="1"/>
  <c r="AB351" i="1"/>
  <c r="AC351" i="1"/>
  <c r="V352" i="1"/>
  <c r="W352" i="1"/>
  <c r="X352" i="1"/>
  <c r="Y352" i="1"/>
  <c r="Z352" i="1"/>
  <c r="AA352" i="1"/>
  <c r="AB352" i="1"/>
  <c r="AC352" i="1"/>
  <c r="V353" i="1"/>
  <c r="W353" i="1"/>
  <c r="X353" i="1"/>
  <c r="Y353" i="1"/>
  <c r="Z353" i="1"/>
  <c r="AA353" i="1"/>
  <c r="AB353" i="1"/>
  <c r="AC353" i="1"/>
  <c r="V354" i="1"/>
  <c r="W354" i="1"/>
  <c r="X354" i="1"/>
  <c r="Y354" i="1"/>
  <c r="Z354" i="1"/>
  <c r="AA354" i="1"/>
  <c r="AB354" i="1"/>
  <c r="AC354" i="1"/>
  <c r="V355" i="1"/>
  <c r="W355" i="1"/>
  <c r="X355" i="1"/>
  <c r="Y355" i="1"/>
  <c r="Z355" i="1"/>
  <c r="AA355" i="1"/>
  <c r="AB355" i="1"/>
  <c r="AC355" i="1"/>
  <c r="V356" i="1"/>
  <c r="W356" i="1"/>
  <c r="X356" i="1"/>
  <c r="Y356" i="1"/>
  <c r="Z356" i="1"/>
  <c r="AA356" i="1"/>
  <c r="AB356" i="1"/>
  <c r="AC356" i="1"/>
  <c r="V357" i="1"/>
  <c r="W357" i="1"/>
  <c r="X357" i="1"/>
  <c r="Y357" i="1"/>
  <c r="Z357" i="1"/>
  <c r="AA357" i="1"/>
  <c r="AB357" i="1"/>
  <c r="AC357" i="1"/>
  <c r="V358" i="1"/>
  <c r="W358" i="1"/>
  <c r="X358" i="1"/>
  <c r="Y358" i="1"/>
  <c r="Z358" i="1"/>
  <c r="AA358" i="1"/>
  <c r="AB358" i="1"/>
  <c r="AC358" i="1"/>
  <c r="V359" i="1"/>
  <c r="W359" i="1"/>
  <c r="X359" i="1"/>
  <c r="Y359" i="1"/>
  <c r="Z359" i="1"/>
  <c r="AA359" i="1"/>
  <c r="AB359" i="1"/>
  <c r="AC359" i="1"/>
  <c r="V360" i="1"/>
  <c r="W360" i="1"/>
  <c r="X360" i="1"/>
  <c r="Y360" i="1"/>
  <c r="Z360" i="1"/>
  <c r="AA360" i="1"/>
  <c r="AB360" i="1"/>
  <c r="AC360" i="1"/>
  <c r="V361" i="1"/>
  <c r="W361" i="1"/>
  <c r="X361" i="1"/>
  <c r="Y361" i="1"/>
  <c r="Z361" i="1"/>
  <c r="AA361" i="1"/>
  <c r="AB361" i="1"/>
  <c r="AC361" i="1"/>
  <c r="V362" i="1"/>
  <c r="W362" i="1"/>
  <c r="X362" i="1"/>
  <c r="Y362" i="1"/>
  <c r="Z362" i="1"/>
  <c r="AA362" i="1"/>
  <c r="AB362" i="1"/>
  <c r="AC362" i="1"/>
  <c r="V363" i="1"/>
  <c r="W363" i="1"/>
  <c r="X363" i="1"/>
  <c r="Y363" i="1"/>
  <c r="Z363" i="1"/>
  <c r="AA363" i="1"/>
  <c r="AB363" i="1"/>
  <c r="AC363" i="1"/>
  <c r="V364" i="1"/>
  <c r="W364" i="1"/>
  <c r="X364" i="1"/>
  <c r="Y364" i="1"/>
  <c r="Z364" i="1"/>
  <c r="AA364" i="1"/>
  <c r="AB364" i="1"/>
  <c r="AC364" i="1"/>
  <c r="V365" i="1"/>
  <c r="W365" i="1"/>
  <c r="X365" i="1"/>
  <c r="Y365" i="1"/>
  <c r="Z365" i="1"/>
  <c r="AA365" i="1"/>
  <c r="AB365" i="1"/>
  <c r="AC365" i="1"/>
  <c r="V366" i="1"/>
  <c r="W366" i="1"/>
  <c r="X366" i="1"/>
  <c r="Y366" i="1"/>
  <c r="Z366" i="1"/>
  <c r="AA366" i="1"/>
  <c r="AB366" i="1"/>
  <c r="AC366" i="1"/>
  <c r="V367" i="1"/>
  <c r="W367" i="1"/>
  <c r="X367" i="1"/>
  <c r="Y367" i="1"/>
  <c r="Z367" i="1"/>
  <c r="AA367" i="1"/>
  <c r="AB367" i="1"/>
  <c r="AC367" i="1"/>
  <c r="V368" i="1"/>
  <c r="W368" i="1"/>
  <c r="X368" i="1"/>
  <c r="Y368" i="1"/>
  <c r="Z368" i="1"/>
  <c r="AA368" i="1"/>
  <c r="AB368" i="1"/>
  <c r="AC368" i="1"/>
  <c r="V369" i="1"/>
  <c r="W369" i="1"/>
  <c r="X369" i="1"/>
  <c r="Y369" i="1"/>
  <c r="Z369" i="1"/>
  <c r="AA369" i="1"/>
  <c r="AB369" i="1"/>
  <c r="AC369" i="1"/>
  <c r="V370" i="1"/>
  <c r="W370" i="1"/>
  <c r="X370" i="1"/>
  <c r="Y370" i="1"/>
  <c r="Z370" i="1"/>
  <c r="AA370" i="1"/>
  <c r="AB370" i="1"/>
  <c r="AC370" i="1"/>
  <c r="V371" i="1"/>
  <c r="W371" i="1"/>
  <c r="X371" i="1"/>
  <c r="Y371" i="1"/>
  <c r="Z371" i="1"/>
  <c r="AA371" i="1"/>
  <c r="AB371" i="1"/>
  <c r="AC371" i="1"/>
  <c r="V372" i="1"/>
  <c r="W372" i="1"/>
  <c r="X372" i="1"/>
  <c r="Y372" i="1"/>
  <c r="Z372" i="1"/>
  <c r="AA372" i="1"/>
  <c r="AB372" i="1"/>
  <c r="AC372" i="1"/>
  <c r="V373" i="1"/>
  <c r="W373" i="1"/>
  <c r="X373" i="1"/>
  <c r="Y373" i="1"/>
  <c r="Z373" i="1"/>
  <c r="AA373" i="1"/>
  <c r="AB373" i="1"/>
  <c r="AC373" i="1"/>
  <c r="V374" i="1"/>
  <c r="W374" i="1"/>
  <c r="X374" i="1"/>
  <c r="Y374" i="1"/>
  <c r="Z374" i="1"/>
  <c r="AA374" i="1"/>
  <c r="AB374" i="1"/>
  <c r="AC374" i="1"/>
  <c r="V375" i="1"/>
  <c r="W375" i="1"/>
  <c r="X375" i="1"/>
  <c r="Y375" i="1"/>
  <c r="Z375" i="1"/>
  <c r="AA375" i="1"/>
  <c r="AB375" i="1"/>
  <c r="AC375" i="1"/>
  <c r="V376" i="1"/>
  <c r="W376" i="1"/>
  <c r="X376" i="1"/>
  <c r="Y376" i="1"/>
  <c r="Z376" i="1"/>
  <c r="AA376" i="1"/>
  <c r="AB376" i="1"/>
  <c r="AC376" i="1"/>
  <c r="V377" i="1"/>
  <c r="W377" i="1"/>
  <c r="X377" i="1"/>
  <c r="Y377" i="1"/>
  <c r="Z377" i="1"/>
  <c r="AA377" i="1"/>
  <c r="AB377" i="1"/>
  <c r="AC377" i="1"/>
  <c r="V378" i="1"/>
  <c r="W378" i="1"/>
  <c r="X378" i="1"/>
  <c r="Y378" i="1"/>
  <c r="Z378" i="1"/>
  <c r="AA378" i="1"/>
  <c r="AB378" i="1"/>
  <c r="AC378" i="1"/>
  <c r="V379" i="1"/>
  <c r="W379" i="1"/>
  <c r="X379" i="1"/>
  <c r="Y379" i="1"/>
  <c r="Z379" i="1"/>
  <c r="AA379" i="1"/>
  <c r="AB379" i="1"/>
  <c r="AC379" i="1"/>
  <c r="V380" i="1"/>
  <c r="W380" i="1"/>
  <c r="X380" i="1"/>
  <c r="Y380" i="1"/>
  <c r="Z380" i="1"/>
  <c r="AA380" i="1"/>
  <c r="AB380" i="1"/>
  <c r="AC380" i="1"/>
  <c r="V381" i="1"/>
  <c r="W381" i="1"/>
  <c r="X381" i="1"/>
  <c r="Y381" i="1"/>
  <c r="Z381" i="1"/>
  <c r="AA381" i="1"/>
  <c r="AB381" i="1"/>
  <c r="AC381" i="1"/>
  <c r="V382" i="1"/>
  <c r="W382" i="1"/>
  <c r="X382" i="1"/>
  <c r="Y382" i="1"/>
  <c r="Z382" i="1"/>
  <c r="AA382" i="1"/>
  <c r="AB382" i="1"/>
  <c r="AC382" i="1"/>
  <c r="V383" i="1"/>
  <c r="W383" i="1"/>
  <c r="X383" i="1"/>
  <c r="Y383" i="1"/>
  <c r="Z383" i="1"/>
  <c r="AA383" i="1"/>
  <c r="AB383" i="1"/>
  <c r="AC383" i="1"/>
  <c r="V384" i="1"/>
  <c r="W384" i="1"/>
  <c r="X384" i="1"/>
  <c r="Y384" i="1"/>
  <c r="Z384" i="1"/>
  <c r="AA384" i="1"/>
  <c r="AB384" i="1"/>
  <c r="AC384" i="1"/>
  <c r="V385" i="1"/>
  <c r="W385" i="1"/>
  <c r="X385" i="1"/>
  <c r="Y385" i="1"/>
  <c r="Z385" i="1"/>
  <c r="AA385" i="1"/>
  <c r="AB385" i="1"/>
  <c r="AC385" i="1"/>
  <c r="V386" i="1"/>
  <c r="W386" i="1"/>
  <c r="X386" i="1"/>
  <c r="Y386" i="1"/>
  <c r="Z386" i="1"/>
  <c r="AA386" i="1"/>
  <c r="AB386" i="1"/>
  <c r="AC386" i="1"/>
  <c r="V387" i="1"/>
  <c r="W387" i="1"/>
  <c r="X387" i="1"/>
  <c r="Y387" i="1"/>
  <c r="Z387" i="1"/>
  <c r="AA387" i="1"/>
  <c r="AB387" i="1"/>
  <c r="AC387" i="1"/>
  <c r="V388" i="1"/>
  <c r="W388" i="1"/>
  <c r="X388" i="1"/>
  <c r="Y388" i="1"/>
  <c r="Z388" i="1"/>
  <c r="AA388" i="1"/>
  <c r="AB388" i="1"/>
  <c r="AC388" i="1"/>
  <c r="V389" i="1"/>
  <c r="W389" i="1"/>
  <c r="X389" i="1"/>
  <c r="Y389" i="1"/>
  <c r="Z389" i="1"/>
  <c r="AA389" i="1"/>
  <c r="AB389" i="1"/>
  <c r="AC389" i="1"/>
  <c r="V390" i="1"/>
  <c r="W390" i="1"/>
  <c r="X390" i="1"/>
  <c r="Y390" i="1"/>
  <c r="Z390" i="1"/>
  <c r="AA390" i="1"/>
  <c r="AB390" i="1"/>
  <c r="AC390" i="1"/>
  <c r="V391" i="1"/>
  <c r="W391" i="1"/>
  <c r="X391" i="1"/>
  <c r="Y391" i="1"/>
  <c r="Z391" i="1"/>
  <c r="AA391" i="1"/>
  <c r="AB391" i="1"/>
  <c r="AC391" i="1"/>
  <c r="V392" i="1"/>
  <c r="W392" i="1"/>
  <c r="X392" i="1"/>
  <c r="Y392" i="1"/>
  <c r="Z392" i="1"/>
  <c r="AA392" i="1"/>
  <c r="AB392" i="1"/>
  <c r="AC392" i="1"/>
  <c r="V393" i="1"/>
  <c r="W393" i="1"/>
  <c r="X393" i="1"/>
  <c r="Y393" i="1"/>
  <c r="Z393" i="1"/>
  <c r="AA393" i="1"/>
  <c r="AB393" i="1"/>
  <c r="AC393" i="1"/>
  <c r="V394" i="1"/>
  <c r="W394" i="1"/>
  <c r="X394" i="1"/>
  <c r="Y394" i="1"/>
  <c r="Z394" i="1"/>
  <c r="AA394" i="1"/>
  <c r="AB394" i="1"/>
  <c r="AC394" i="1"/>
  <c r="V395" i="1"/>
  <c r="W395" i="1"/>
  <c r="X395" i="1"/>
  <c r="Y395" i="1"/>
  <c r="Z395" i="1"/>
  <c r="AA395" i="1"/>
  <c r="AB395" i="1"/>
  <c r="AC395" i="1"/>
  <c r="V396" i="1"/>
  <c r="W396" i="1"/>
  <c r="X396" i="1"/>
  <c r="Y396" i="1"/>
  <c r="Z396" i="1"/>
  <c r="AA396" i="1"/>
  <c r="AB396" i="1"/>
  <c r="AC396" i="1"/>
  <c r="V397" i="1"/>
  <c r="W397" i="1"/>
  <c r="X397" i="1"/>
  <c r="Y397" i="1"/>
  <c r="Z397" i="1"/>
  <c r="AA397" i="1"/>
  <c r="AB397" i="1"/>
  <c r="AC397" i="1"/>
  <c r="V398" i="1"/>
  <c r="W398" i="1"/>
  <c r="X398" i="1"/>
  <c r="Y398" i="1"/>
  <c r="Z398" i="1"/>
  <c r="AA398" i="1"/>
  <c r="AB398" i="1"/>
  <c r="AC398" i="1"/>
  <c r="V399" i="1"/>
  <c r="W399" i="1"/>
  <c r="X399" i="1"/>
  <c r="Y399" i="1"/>
  <c r="Z399" i="1"/>
  <c r="AA399" i="1"/>
  <c r="AB399" i="1"/>
  <c r="AC399" i="1"/>
  <c r="V400" i="1"/>
  <c r="W400" i="1"/>
  <c r="X400" i="1"/>
  <c r="Y400" i="1"/>
  <c r="Z400" i="1"/>
  <c r="AA400" i="1"/>
  <c r="AB400" i="1"/>
  <c r="AC400" i="1"/>
  <c r="V401" i="1"/>
  <c r="W401" i="1"/>
  <c r="X401" i="1"/>
  <c r="Y401" i="1"/>
  <c r="Z401" i="1"/>
  <c r="AA401" i="1"/>
  <c r="AB401" i="1"/>
  <c r="AC401" i="1"/>
  <c r="V402" i="1"/>
  <c r="W402" i="1"/>
  <c r="X402" i="1"/>
  <c r="Y402" i="1"/>
  <c r="Z402" i="1"/>
  <c r="AA402" i="1"/>
  <c r="AB402" i="1"/>
  <c r="AC402" i="1"/>
  <c r="V403" i="1"/>
  <c r="W403" i="1"/>
  <c r="X403" i="1"/>
  <c r="Y403" i="1"/>
  <c r="Z403" i="1"/>
  <c r="AA403" i="1"/>
  <c r="AB403" i="1"/>
  <c r="AC403" i="1"/>
  <c r="V404" i="1"/>
  <c r="W404" i="1"/>
  <c r="X404" i="1"/>
  <c r="Y404" i="1"/>
  <c r="Z404" i="1"/>
  <c r="AA404" i="1"/>
  <c r="AB404" i="1"/>
  <c r="AC404" i="1"/>
  <c r="V405" i="1"/>
  <c r="W405" i="1"/>
  <c r="X405" i="1"/>
  <c r="Y405" i="1"/>
  <c r="Z405" i="1"/>
  <c r="AA405" i="1"/>
  <c r="AB405" i="1"/>
  <c r="AC405" i="1"/>
  <c r="V406" i="1"/>
  <c r="W406" i="1"/>
  <c r="X406" i="1"/>
  <c r="Y406" i="1"/>
  <c r="Z406" i="1"/>
  <c r="AA406" i="1"/>
  <c r="AB406" i="1"/>
  <c r="AC406" i="1"/>
  <c r="V407" i="1"/>
  <c r="W407" i="1"/>
  <c r="X407" i="1"/>
  <c r="Y407" i="1"/>
  <c r="Z407" i="1"/>
  <c r="AA407" i="1"/>
  <c r="AB407" i="1"/>
  <c r="AC407" i="1"/>
  <c r="V408" i="1"/>
  <c r="W408" i="1"/>
  <c r="X408" i="1"/>
  <c r="Y408" i="1"/>
  <c r="Z408" i="1"/>
  <c r="AA408" i="1"/>
  <c r="AB408" i="1"/>
  <c r="AC408" i="1"/>
  <c r="V409" i="1"/>
  <c r="W409" i="1"/>
  <c r="X409" i="1"/>
  <c r="Y409" i="1"/>
  <c r="Z409" i="1"/>
  <c r="AA409" i="1"/>
  <c r="AB409" i="1"/>
  <c r="AC409" i="1"/>
  <c r="V410" i="1"/>
  <c r="W410" i="1"/>
  <c r="X410" i="1"/>
  <c r="Y410" i="1"/>
  <c r="Z410" i="1"/>
  <c r="AA410" i="1"/>
  <c r="AB410" i="1"/>
  <c r="AC410" i="1"/>
  <c r="V411" i="1"/>
  <c r="W411" i="1"/>
  <c r="X411" i="1"/>
  <c r="Y411" i="1"/>
  <c r="Z411" i="1"/>
  <c r="AA411" i="1"/>
  <c r="AB411" i="1"/>
  <c r="AC411" i="1"/>
  <c r="V412" i="1"/>
  <c r="W412" i="1"/>
  <c r="X412" i="1"/>
  <c r="Y412" i="1"/>
  <c r="Z412" i="1"/>
  <c r="AA412" i="1"/>
  <c r="AB412" i="1"/>
  <c r="AC412" i="1"/>
  <c r="V413" i="1"/>
  <c r="W413" i="1"/>
  <c r="X413" i="1"/>
  <c r="Y413" i="1"/>
  <c r="Z413" i="1"/>
  <c r="AA413" i="1"/>
  <c r="AB413" i="1"/>
  <c r="AC413" i="1"/>
  <c r="V414" i="1"/>
  <c r="W414" i="1"/>
  <c r="X414" i="1"/>
  <c r="Y414" i="1"/>
  <c r="Z414" i="1"/>
  <c r="AA414" i="1"/>
  <c r="AB414" i="1"/>
  <c r="AC414" i="1"/>
  <c r="V415" i="1"/>
  <c r="W415" i="1"/>
  <c r="X415" i="1"/>
  <c r="Y415" i="1"/>
  <c r="Z415" i="1"/>
  <c r="AA415" i="1"/>
  <c r="AB415" i="1"/>
  <c r="AC415" i="1"/>
  <c r="V416" i="1"/>
  <c r="W416" i="1"/>
  <c r="X416" i="1"/>
  <c r="Y416" i="1"/>
  <c r="Z416" i="1"/>
  <c r="AA416" i="1"/>
  <c r="AB416" i="1"/>
  <c r="AC416" i="1"/>
  <c r="V417" i="1"/>
  <c r="W417" i="1"/>
  <c r="X417" i="1"/>
  <c r="Y417" i="1"/>
  <c r="Z417" i="1"/>
  <c r="AA417" i="1"/>
  <c r="AB417" i="1"/>
  <c r="AC417" i="1"/>
  <c r="V418" i="1"/>
  <c r="W418" i="1"/>
  <c r="X418" i="1"/>
  <c r="Y418" i="1"/>
  <c r="Z418" i="1"/>
  <c r="AA418" i="1"/>
  <c r="AB418" i="1"/>
  <c r="AC418" i="1"/>
  <c r="V419" i="1"/>
  <c r="W419" i="1"/>
  <c r="X419" i="1"/>
  <c r="Y419" i="1"/>
  <c r="Z419" i="1"/>
  <c r="AA419" i="1"/>
  <c r="AB419" i="1"/>
  <c r="AC419" i="1"/>
  <c r="V420" i="1"/>
  <c r="W420" i="1"/>
  <c r="X420" i="1"/>
  <c r="Y420" i="1"/>
  <c r="Z420" i="1"/>
  <c r="AA420" i="1"/>
  <c r="AB420" i="1"/>
  <c r="AC420" i="1"/>
  <c r="V421" i="1"/>
  <c r="W421" i="1"/>
  <c r="X421" i="1"/>
  <c r="Y421" i="1"/>
  <c r="Z421" i="1"/>
  <c r="AA421" i="1"/>
  <c r="AB421" i="1"/>
  <c r="AC421" i="1"/>
  <c r="V422" i="1"/>
  <c r="W422" i="1"/>
  <c r="X422" i="1"/>
  <c r="Y422" i="1"/>
  <c r="Z422" i="1"/>
  <c r="AA422" i="1"/>
  <c r="AB422" i="1"/>
  <c r="AC422" i="1"/>
  <c r="V423" i="1"/>
  <c r="W423" i="1"/>
  <c r="X423" i="1"/>
  <c r="Y423" i="1"/>
  <c r="Z423" i="1"/>
  <c r="AA423" i="1"/>
  <c r="AB423" i="1"/>
  <c r="AC423" i="1"/>
  <c r="V424" i="1"/>
  <c r="W424" i="1"/>
  <c r="X424" i="1"/>
  <c r="Y424" i="1"/>
  <c r="Z424" i="1"/>
  <c r="AA424" i="1"/>
  <c r="AB424" i="1"/>
  <c r="AC424" i="1"/>
  <c r="V425" i="1"/>
  <c r="W425" i="1"/>
  <c r="X425" i="1"/>
  <c r="Y425" i="1"/>
  <c r="Z425" i="1"/>
  <c r="AA425" i="1"/>
  <c r="AB425" i="1"/>
  <c r="AC425" i="1"/>
  <c r="V426" i="1"/>
  <c r="W426" i="1"/>
  <c r="X426" i="1"/>
  <c r="Y426" i="1"/>
  <c r="Z426" i="1"/>
  <c r="AA426" i="1"/>
  <c r="AB426" i="1"/>
  <c r="AC426" i="1"/>
  <c r="V427" i="1"/>
  <c r="W427" i="1"/>
  <c r="X427" i="1"/>
  <c r="Y427" i="1"/>
  <c r="Z427" i="1"/>
  <c r="AA427" i="1"/>
  <c r="AB427" i="1"/>
  <c r="AC427" i="1"/>
  <c r="V428" i="1"/>
  <c r="W428" i="1"/>
  <c r="X428" i="1"/>
  <c r="Y428" i="1"/>
  <c r="Z428" i="1"/>
  <c r="AA428" i="1"/>
  <c r="AB428" i="1"/>
  <c r="AC428" i="1"/>
  <c r="V429" i="1"/>
  <c r="W429" i="1"/>
  <c r="X429" i="1"/>
  <c r="Y429" i="1"/>
  <c r="Z429" i="1"/>
  <c r="AA429" i="1"/>
  <c r="AB429" i="1"/>
  <c r="AC429" i="1"/>
  <c r="V430" i="1"/>
  <c r="W430" i="1"/>
  <c r="X430" i="1"/>
  <c r="Y430" i="1"/>
  <c r="Z430" i="1"/>
  <c r="AA430" i="1"/>
  <c r="AB430" i="1"/>
  <c r="AC430" i="1"/>
  <c r="V431" i="1"/>
  <c r="W431" i="1"/>
  <c r="X431" i="1"/>
  <c r="Y431" i="1"/>
  <c r="Z431" i="1"/>
  <c r="AA431" i="1"/>
  <c r="AB431" i="1"/>
  <c r="AC431" i="1"/>
  <c r="V432" i="1"/>
  <c r="W432" i="1"/>
  <c r="X432" i="1"/>
  <c r="Y432" i="1"/>
  <c r="Z432" i="1"/>
  <c r="AA432" i="1"/>
  <c r="AB432" i="1"/>
  <c r="AC432" i="1"/>
  <c r="V433" i="1"/>
  <c r="W433" i="1"/>
  <c r="X433" i="1"/>
  <c r="Y433" i="1"/>
  <c r="Z433" i="1"/>
  <c r="AA433" i="1"/>
  <c r="AB433" i="1"/>
  <c r="AC433" i="1"/>
  <c r="V434" i="1"/>
  <c r="W434" i="1"/>
  <c r="X434" i="1"/>
  <c r="Y434" i="1"/>
  <c r="Z434" i="1"/>
  <c r="AA434" i="1"/>
  <c r="AB434" i="1"/>
  <c r="AC434" i="1"/>
  <c r="V435" i="1"/>
  <c r="W435" i="1"/>
  <c r="X435" i="1"/>
  <c r="Y435" i="1"/>
  <c r="Z435" i="1"/>
  <c r="AA435" i="1"/>
  <c r="AB435" i="1"/>
  <c r="AC435" i="1"/>
  <c r="V436" i="1"/>
  <c r="W436" i="1"/>
  <c r="X436" i="1"/>
  <c r="Y436" i="1"/>
  <c r="Z436" i="1"/>
  <c r="AA436" i="1"/>
  <c r="AB436" i="1"/>
  <c r="AC436" i="1"/>
  <c r="V437" i="1"/>
  <c r="W437" i="1"/>
  <c r="X437" i="1"/>
  <c r="Y437" i="1"/>
  <c r="Z437" i="1"/>
  <c r="AA437" i="1"/>
  <c r="AB437" i="1"/>
  <c r="AC437" i="1"/>
  <c r="V438" i="1"/>
  <c r="W438" i="1"/>
  <c r="X438" i="1"/>
  <c r="Y438" i="1"/>
  <c r="Z438" i="1"/>
  <c r="AA438" i="1"/>
  <c r="AB438" i="1"/>
  <c r="AC438" i="1"/>
  <c r="V439" i="1"/>
  <c r="W439" i="1"/>
  <c r="X439" i="1"/>
  <c r="Y439" i="1"/>
  <c r="Z439" i="1"/>
  <c r="AA439" i="1"/>
  <c r="AB439" i="1"/>
  <c r="AC439" i="1"/>
  <c r="V440" i="1"/>
  <c r="W440" i="1"/>
  <c r="X440" i="1"/>
  <c r="Y440" i="1"/>
  <c r="Z440" i="1"/>
  <c r="AA440" i="1"/>
  <c r="AB440" i="1"/>
  <c r="AC440" i="1"/>
  <c r="V441" i="1"/>
  <c r="W441" i="1"/>
  <c r="X441" i="1"/>
  <c r="Y441" i="1"/>
  <c r="Z441" i="1"/>
  <c r="AA441" i="1"/>
  <c r="AB441" i="1"/>
  <c r="AC441" i="1"/>
  <c r="V442" i="1"/>
  <c r="W442" i="1"/>
  <c r="X442" i="1"/>
  <c r="Y442" i="1"/>
  <c r="Z442" i="1"/>
  <c r="AA442" i="1"/>
  <c r="AB442" i="1"/>
  <c r="AC442" i="1"/>
  <c r="V443" i="1"/>
  <c r="W443" i="1"/>
  <c r="X443" i="1"/>
  <c r="Y443" i="1"/>
  <c r="Z443" i="1"/>
  <c r="AA443" i="1"/>
  <c r="AB443" i="1"/>
  <c r="AC443" i="1"/>
  <c r="V444" i="1"/>
  <c r="W444" i="1"/>
  <c r="X444" i="1"/>
  <c r="Y444" i="1"/>
  <c r="Z444" i="1"/>
  <c r="AA444" i="1"/>
  <c r="AB444" i="1"/>
  <c r="AC444" i="1"/>
  <c r="V445" i="1"/>
  <c r="W445" i="1"/>
  <c r="X445" i="1"/>
  <c r="Y445" i="1"/>
  <c r="Z445" i="1"/>
  <c r="AA445" i="1"/>
  <c r="AB445" i="1"/>
  <c r="AC445" i="1"/>
  <c r="V446" i="1"/>
  <c r="W446" i="1"/>
  <c r="X446" i="1"/>
  <c r="Y446" i="1"/>
  <c r="Z446" i="1"/>
  <c r="AA446" i="1"/>
  <c r="AB446" i="1"/>
  <c r="AC446" i="1"/>
  <c r="V447" i="1"/>
  <c r="W447" i="1"/>
  <c r="X447" i="1"/>
  <c r="Y447" i="1"/>
  <c r="Z447" i="1"/>
  <c r="AA447" i="1"/>
  <c r="AB447" i="1"/>
  <c r="AC447" i="1"/>
  <c r="V448" i="1"/>
  <c r="W448" i="1"/>
  <c r="X448" i="1"/>
  <c r="Y448" i="1"/>
  <c r="Z448" i="1"/>
  <c r="AA448" i="1"/>
  <c r="AB448" i="1"/>
  <c r="AC448" i="1"/>
  <c r="V449" i="1"/>
  <c r="W449" i="1"/>
  <c r="X449" i="1"/>
  <c r="Y449" i="1"/>
  <c r="Z449" i="1"/>
  <c r="AA449" i="1"/>
  <c r="AB449" i="1"/>
  <c r="AC449" i="1"/>
  <c r="V450" i="1"/>
  <c r="W450" i="1"/>
  <c r="X450" i="1"/>
  <c r="Y450" i="1"/>
  <c r="Z450" i="1"/>
  <c r="AA450" i="1"/>
  <c r="AB450" i="1"/>
  <c r="AC450" i="1"/>
  <c r="V451" i="1"/>
  <c r="W451" i="1"/>
  <c r="X451" i="1"/>
  <c r="Y451" i="1"/>
  <c r="Z451" i="1"/>
  <c r="AA451" i="1"/>
  <c r="AB451" i="1"/>
  <c r="AC451" i="1"/>
  <c r="V452" i="1"/>
  <c r="W452" i="1"/>
  <c r="X452" i="1"/>
  <c r="Y452" i="1"/>
  <c r="Z452" i="1"/>
  <c r="AA452" i="1"/>
  <c r="AB452" i="1"/>
  <c r="AC452" i="1"/>
  <c r="V453" i="1"/>
  <c r="W453" i="1"/>
  <c r="X453" i="1"/>
  <c r="Y453" i="1"/>
  <c r="Z453" i="1"/>
  <c r="AA453" i="1"/>
  <c r="AB453" i="1"/>
  <c r="AC453" i="1"/>
  <c r="V454" i="1"/>
  <c r="W454" i="1"/>
  <c r="X454" i="1"/>
  <c r="Y454" i="1"/>
  <c r="Z454" i="1"/>
  <c r="AA454" i="1"/>
  <c r="AB454" i="1"/>
  <c r="AC454" i="1"/>
  <c r="V455" i="1"/>
  <c r="W455" i="1"/>
  <c r="X455" i="1"/>
  <c r="Y455" i="1"/>
  <c r="Z455" i="1"/>
  <c r="AA455" i="1"/>
  <c r="AB455" i="1"/>
  <c r="AC455" i="1"/>
  <c r="V456" i="1"/>
  <c r="W456" i="1"/>
  <c r="X456" i="1"/>
  <c r="Y456" i="1"/>
  <c r="Z456" i="1"/>
  <c r="AA456" i="1"/>
  <c r="AB456" i="1"/>
  <c r="AC456" i="1"/>
  <c r="V457" i="1"/>
  <c r="W457" i="1"/>
  <c r="X457" i="1"/>
  <c r="Y457" i="1"/>
  <c r="Z457" i="1"/>
  <c r="AA457" i="1"/>
  <c r="AB457" i="1"/>
  <c r="AC457" i="1"/>
  <c r="V458" i="1"/>
  <c r="W458" i="1"/>
  <c r="X458" i="1"/>
  <c r="Y458" i="1"/>
  <c r="Z458" i="1"/>
  <c r="AA458" i="1"/>
  <c r="AB458" i="1"/>
  <c r="AC458" i="1"/>
  <c r="V459" i="1"/>
  <c r="W459" i="1"/>
  <c r="X459" i="1"/>
  <c r="Y459" i="1"/>
  <c r="Z459" i="1"/>
  <c r="AA459" i="1"/>
  <c r="AB459" i="1"/>
  <c r="AC459" i="1"/>
  <c r="V460" i="1"/>
  <c r="W460" i="1"/>
  <c r="X460" i="1"/>
  <c r="Y460" i="1"/>
  <c r="Z460" i="1"/>
  <c r="AA460" i="1"/>
  <c r="AB460" i="1"/>
  <c r="AC460" i="1"/>
  <c r="V461" i="1"/>
  <c r="W461" i="1"/>
  <c r="X461" i="1"/>
  <c r="Y461" i="1"/>
  <c r="Z461" i="1"/>
  <c r="AA461" i="1"/>
  <c r="AB461" i="1"/>
  <c r="AC461" i="1"/>
  <c r="V462" i="1"/>
  <c r="W462" i="1"/>
  <c r="X462" i="1"/>
  <c r="Y462" i="1"/>
  <c r="Z462" i="1"/>
  <c r="AA462" i="1"/>
  <c r="AB462" i="1"/>
  <c r="AC462" i="1"/>
  <c r="V463" i="1"/>
  <c r="W463" i="1"/>
  <c r="X463" i="1"/>
  <c r="Y463" i="1"/>
  <c r="Z463" i="1"/>
  <c r="AA463" i="1"/>
  <c r="AB463" i="1"/>
  <c r="AC463" i="1"/>
  <c r="V464" i="1"/>
  <c r="W464" i="1"/>
  <c r="X464" i="1"/>
  <c r="Y464" i="1"/>
  <c r="Z464" i="1"/>
  <c r="AA464" i="1"/>
  <c r="AB464" i="1"/>
  <c r="AC464" i="1"/>
  <c r="V465" i="1"/>
  <c r="W465" i="1"/>
  <c r="X465" i="1"/>
  <c r="Y465" i="1"/>
  <c r="Z465" i="1"/>
  <c r="AA465" i="1"/>
  <c r="AB465" i="1"/>
  <c r="AC465" i="1"/>
  <c r="V466" i="1"/>
  <c r="W466" i="1"/>
  <c r="X466" i="1"/>
  <c r="Y466" i="1"/>
  <c r="Z466" i="1"/>
  <c r="AA466" i="1"/>
  <c r="AB466" i="1"/>
  <c r="AC466" i="1"/>
  <c r="V467" i="1"/>
  <c r="W467" i="1"/>
  <c r="X467" i="1"/>
  <c r="Y467" i="1"/>
  <c r="Z467" i="1"/>
  <c r="AA467" i="1"/>
  <c r="AB467" i="1"/>
  <c r="AC467" i="1"/>
  <c r="V468" i="1"/>
  <c r="W468" i="1"/>
  <c r="X468" i="1"/>
  <c r="Y468" i="1"/>
  <c r="Z468" i="1"/>
  <c r="AA468" i="1"/>
  <c r="AB468" i="1"/>
  <c r="AC468" i="1"/>
  <c r="V469" i="1"/>
  <c r="W469" i="1"/>
  <c r="X469" i="1"/>
  <c r="Y469" i="1"/>
  <c r="Z469" i="1"/>
  <c r="AA469" i="1"/>
  <c r="AB469" i="1"/>
  <c r="AC469" i="1"/>
  <c r="V470" i="1"/>
  <c r="W470" i="1"/>
  <c r="X470" i="1"/>
  <c r="Y470" i="1"/>
  <c r="Z470" i="1"/>
  <c r="AA470" i="1"/>
  <c r="AB470" i="1"/>
  <c r="AC470" i="1"/>
  <c r="V471" i="1"/>
  <c r="W471" i="1"/>
  <c r="X471" i="1"/>
  <c r="Y471" i="1"/>
  <c r="Z471" i="1"/>
  <c r="AA471" i="1"/>
  <c r="AB471" i="1"/>
  <c r="AC471" i="1"/>
  <c r="V472" i="1"/>
  <c r="W472" i="1"/>
  <c r="X472" i="1"/>
  <c r="Y472" i="1"/>
  <c r="Z472" i="1"/>
  <c r="AA472" i="1"/>
  <c r="AB472" i="1"/>
  <c r="AC472" i="1"/>
  <c r="V473" i="1"/>
  <c r="W473" i="1"/>
  <c r="X473" i="1"/>
  <c r="Y473" i="1"/>
  <c r="Z473" i="1"/>
  <c r="AA473" i="1"/>
  <c r="AB473" i="1"/>
  <c r="AC473" i="1"/>
  <c r="V474" i="1"/>
  <c r="W474" i="1"/>
  <c r="X474" i="1"/>
  <c r="Y474" i="1"/>
  <c r="Z474" i="1"/>
  <c r="AA474" i="1"/>
  <c r="AB474" i="1"/>
  <c r="AC474" i="1"/>
  <c r="V475" i="1"/>
  <c r="W475" i="1"/>
  <c r="X475" i="1"/>
  <c r="Y475" i="1"/>
  <c r="Z475" i="1"/>
  <c r="AA475" i="1"/>
  <c r="AB475" i="1"/>
  <c r="AC475" i="1"/>
  <c r="V476" i="1"/>
  <c r="W476" i="1"/>
  <c r="X476" i="1"/>
  <c r="Y476" i="1"/>
  <c r="Z476" i="1"/>
  <c r="AA476" i="1"/>
  <c r="AB476" i="1"/>
  <c r="AC476" i="1"/>
  <c r="V477" i="1"/>
  <c r="W477" i="1"/>
  <c r="X477" i="1"/>
  <c r="Y477" i="1"/>
  <c r="Z477" i="1"/>
  <c r="AA477" i="1"/>
  <c r="AB477" i="1"/>
  <c r="AC477" i="1"/>
  <c r="V478" i="1"/>
  <c r="W478" i="1"/>
  <c r="X478" i="1"/>
  <c r="Y478" i="1"/>
  <c r="Z478" i="1"/>
  <c r="AA478" i="1"/>
  <c r="AB478" i="1"/>
  <c r="AC478" i="1"/>
  <c r="V479" i="1"/>
  <c r="W479" i="1"/>
  <c r="X479" i="1"/>
  <c r="Y479" i="1"/>
  <c r="Z479" i="1"/>
  <c r="AA479" i="1"/>
  <c r="AB479" i="1"/>
  <c r="AC479" i="1"/>
  <c r="V480" i="1"/>
  <c r="W480" i="1"/>
  <c r="X480" i="1"/>
  <c r="Y480" i="1"/>
  <c r="Z480" i="1"/>
  <c r="AA480" i="1"/>
  <c r="AB480" i="1"/>
  <c r="AC480" i="1"/>
  <c r="V481" i="1"/>
  <c r="W481" i="1"/>
  <c r="X481" i="1"/>
  <c r="Y481" i="1"/>
  <c r="Z481" i="1"/>
  <c r="AA481" i="1"/>
  <c r="AB481" i="1"/>
  <c r="AC481" i="1"/>
  <c r="V482" i="1"/>
  <c r="W482" i="1"/>
  <c r="X482" i="1"/>
  <c r="Y482" i="1"/>
  <c r="Z482" i="1"/>
  <c r="AA482" i="1"/>
  <c r="AB482" i="1"/>
  <c r="AC482" i="1"/>
  <c r="V483" i="1"/>
  <c r="W483" i="1"/>
  <c r="X483" i="1"/>
  <c r="Y483" i="1"/>
  <c r="Z483" i="1"/>
  <c r="AA483" i="1"/>
  <c r="AB483" i="1"/>
  <c r="AC483" i="1"/>
  <c r="V484" i="1"/>
  <c r="W484" i="1"/>
  <c r="X484" i="1"/>
  <c r="Y484" i="1"/>
  <c r="Z484" i="1"/>
  <c r="AA484" i="1"/>
  <c r="AB484" i="1"/>
  <c r="AC484" i="1"/>
  <c r="V485" i="1"/>
  <c r="W485" i="1"/>
  <c r="X485" i="1"/>
  <c r="Y485" i="1"/>
  <c r="Z485" i="1"/>
  <c r="AA485" i="1"/>
  <c r="AB485" i="1"/>
  <c r="AC485" i="1"/>
  <c r="V486" i="1"/>
  <c r="W486" i="1"/>
  <c r="X486" i="1"/>
  <c r="Y486" i="1"/>
  <c r="Z486" i="1"/>
  <c r="AA486" i="1"/>
  <c r="AB486" i="1"/>
  <c r="AC486" i="1"/>
  <c r="V487" i="1"/>
  <c r="W487" i="1"/>
  <c r="X487" i="1"/>
  <c r="Y487" i="1"/>
  <c r="Z487" i="1"/>
  <c r="AA487" i="1"/>
  <c r="AB487" i="1"/>
  <c r="AC487" i="1"/>
  <c r="V488" i="1"/>
  <c r="W488" i="1"/>
  <c r="X488" i="1"/>
  <c r="Y488" i="1"/>
  <c r="Z488" i="1"/>
  <c r="AA488" i="1"/>
  <c r="AB488" i="1"/>
  <c r="AC488" i="1"/>
  <c r="V489" i="1"/>
  <c r="W489" i="1"/>
  <c r="X489" i="1"/>
  <c r="Y489" i="1"/>
  <c r="Z489" i="1"/>
  <c r="AA489" i="1"/>
  <c r="AB489" i="1"/>
  <c r="AC489" i="1"/>
  <c r="V490" i="1"/>
  <c r="W490" i="1"/>
  <c r="X490" i="1"/>
  <c r="Y490" i="1"/>
  <c r="Z490" i="1"/>
  <c r="AA490" i="1"/>
  <c r="AB490" i="1"/>
  <c r="AC490" i="1"/>
  <c r="V491" i="1"/>
  <c r="W491" i="1"/>
  <c r="X491" i="1"/>
  <c r="Y491" i="1"/>
  <c r="Z491" i="1"/>
  <c r="AA491" i="1"/>
  <c r="AB491" i="1"/>
  <c r="AC491" i="1"/>
  <c r="V492" i="1"/>
  <c r="W492" i="1"/>
  <c r="X492" i="1"/>
  <c r="Y492" i="1"/>
  <c r="Z492" i="1"/>
  <c r="AA492" i="1"/>
  <c r="AB492" i="1"/>
  <c r="AC492" i="1"/>
  <c r="V493" i="1"/>
  <c r="W493" i="1"/>
  <c r="X493" i="1"/>
  <c r="Y493" i="1"/>
  <c r="Z493" i="1"/>
  <c r="AA493" i="1"/>
  <c r="AB493" i="1"/>
  <c r="AC493" i="1"/>
  <c r="V494" i="1"/>
  <c r="W494" i="1"/>
  <c r="X494" i="1"/>
  <c r="Y494" i="1"/>
  <c r="Z494" i="1"/>
  <c r="AA494" i="1"/>
  <c r="AB494" i="1"/>
  <c r="AC494" i="1"/>
  <c r="V495" i="1"/>
  <c r="W495" i="1"/>
  <c r="X495" i="1"/>
  <c r="Y495" i="1"/>
  <c r="Z495" i="1"/>
  <c r="AA495" i="1"/>
  <c r="AB495" i="1"/>
  <c r="AC495" i="1"/>
  <c r="V496" i="1"/>
  <c r="W496" i="1"/>
  <c r="X496" i="1"/>
  <c r="Y496" i="1"/>
  <c r="Z496" i="1"/>
  <c r="AA496" i="1"/>
  <c r="AB496" i="1"/>
  <c r="AC496" i="1"/>
  <c r="V497" i="1"/>
  <c r="W497" i="1"/>
  <c r="X497" i="1"/>
  <c r="Y497" i="1"/>
  <c r="Z497" i="1"/>
  <c r="AA497" i="1"/>
  <c r="AB497" i="1"/>
  <c r="AC497" i="1"/>
  <c r="V498" i="1"/>
  <c r="W498" i="1"/>
  <c r="X498" i="1"/>
  <c r="Y498" i="1"/>
  <c r="Z498" i="1"/>
  <c r="AA498" i="1"/>
  <c r="AB498" i="1"/>
  <c r="AC498" i="1"/>
  <c r="V499" i="1"/>
  <c r="W499" i="1"/>
  <c r="X499" i="1"/>
  <c r="Y499" i="1"/>
  <c r="Z499" i="1"/>
  <c r="AA499" i="1"/>
  <c r="AB499" i="1"/>
  <c r="AC499" i="1"/>
  <c r="V500" i="1"/>
  <c r="W500" i="1"/>
  <c r="X500" i="1"/>
  <c r="Y500" i="1"/>
  <c r="Z500" i="1"/>
  <c r="AA500" i="1"/>
  <c r="AB500" i="1"/>
  <c r="AC500" i="1"/>
  <c r="V501" i="1"/>
  <c r="W501" i="1"/>
  <c r="X501" i="1"/>
  <c r="Y501" i="1"/>
  <c r="Z501" i="1"/>
  <c r="AA501" i="1"/>
  <c r="AB501" i="1"/>
  <c r="AC501" i="1"/>
  <c r="V502" i="1"/>
  <c r="W502" i="1"/>
  <c r="X502" i="1"/>
  <c r="Y502" i="1"/>
  <c r="Z502" i="1"/>
  <c r="AA502" i="1"/>
  <c r="AB502" i="1"/>
  <c r="AC502" i="1"/>
  <c r="V503" i="1"/>
  <c r="W503" i="1"/>
  <c r="X503" i="1"/>
  <c r="Y503" i="1"/>
  <c r="Z503" i="1"/>
  <c r="AA503" i="1"/>
  <c r="AB503" i="1"/>
  <c r="AC503" i="1"/>
  <c r="V504" i="1"/>
  <c r="W504" i="1"/>
  <c r="X504" i="1"/>
  <c r="Y504" i="1"/>
  <c r="Z504" i="1"/>
  <c r="AA504" i="1"/>
  <c r="AB504" i="1"/>
  <c r="AC504" i="1"/>
  <c r="V505" i="1"/>
  <c r="W505" i="1"/>
  <c r="X505" i="1"/>
  <c r="Y505" i="1"/>
  <c r="Z505" i="1"/>
  <c r="AA505" i="1"/>
  <c r="AB505" i="1"/>
  <c r="AC505" i="1"/>
  <c r="V506" i="1"/>
  <c r="W506" i="1"/>
  <c r="X506" i="1"/>
  <c r="Y506" i="1"/>
  <c r="Z506" i="1"/>
  <c r="AA506" i="1"/>
  <c r="AB506" i="1"/>
  <c r="AC506" i="1"/>
  <c r="V507" i="1"/>
  <c r="W507" i="1"/>
  <c r="X507" i="1"/>
  <c r="Y507" i="1"/>
  <c r="Z507" i="1"/>
  <c r="AA507" i="1"/>
  <c r="AB507" i="1"/>
  <c r="AC507" i="1"/>
  <c r="V508" i="1"/>
  <c r="W508" i="1"/>
  <c r="X508" i="1"/>
  <c r="Y508" i="1"/>
  <c r="Z508" i="1"/>
  <c r="AA508" i="1"/>
  <c r="AB508" i="1"/>
  <c r="AC508" i="1"/>
  <c r="V509" i="1"/>
  <c r="W509" i="1"/>
  <c r="X509" i="1"/>
  <c r="Y509" i="1"/>
  <c r="Z509" i="1"/>
  <c r="AA509" i="1"/>
  <c r="AB509" i="1"/>
  <c r="AC509" i="1"/>
  <c r="V510" i="1"/>
  <c r="W510" i="1"/>
  <c r="X510" i="1"/>
  <c r="Y510" i="1"/>
  <c r="Z510" i="1"/>
  <c r="AA510" i="1"/>
  <c r="AB510" i="1"/>
  <c r="AC510" i="1"/>
  <c r="V511" i="1"/>
  <c r="W511" i="1"/>
  <c r="X511" i="1"/>
  <c r="Y511" i="1"/>
  <c r="Z511" i="1"/>
  <c r="AA511" i="1"/>
  <c r="AB511" i="1"/>
  <c r="AC511" i="1"/>
  <c r="V512" i="1"/>
  <c r="W512" i="1"/>
  <c r="X512" i="1"/>
  <c r="Y512" i="1"/>
  <c r="Z512" i="1"/>
  <c r="AA512" i="1"/>
  <c r="AB512" i="1"/>
  <c r="AC512" i="1"/>
  <c r="V513" i="1"/>
  <c r="W513" i="1"/>
  <c r="X513" i="1"/>
  <c r="Y513" i="1"/>
  <c r="Z513" i="1"/>
  <c r="AA513" i="1"/>
  <c r="AB513" i="1"/>
  <c r="AC513" i="1"/>
  <c r="V514" i="1"/>
  <c r="W514" i="1"/>
  <c r="X514" i="1"/>
  <c r="Y514" i="1"/>
  <c r="Z514" i="1"/>
  <c r="AA514" i="1"/>
  <c r="AB514" i="1"/>
  <c r="AC514" i="1"/>
  <c r="V515" i="1"/>
  <c r="W515" i="1"/>
  <c r="X515" i="1"/>
  <c r="Y515" i="1"/>
  <c r="Z515" i="1"/>
  <c r="AA515" i="1"/>
  <c r="AB515" i="1"/>
  <c r="AC515" i="1"/>
  <c r="V516" i="1"/>
  <c r="W516" i="1"/>
  <c r="X516" i="1"/>
  <c r="Y516" i="1"/>
  <c r="Z516" i="1"/>
  <c r="AA516" i="1"/>
  <c r="AB516" i="1"/>
  <c r="AC516" i="1"/>
  <c r="V517" i="1"/>
  <c r="W517" i="1"/>
  <c r="X517" i="1"/>
  <c r="Y517" i="1"/>
  <c r="Z517" i="1"/>
  <c r="AA517" i="1"/>
  <c r="AB517" i="1"/>
  <c r="AC517" i="1"/>
  <c r="V518" i="1"/>
  <c r="W518" i="1"/>
  <c r="X518" i="1"/>
  <c r="Y518" i="1"/>
  <c r="Z518" i="1"/>
  <c r="AA518" i="1"/>
  <c r="AB518" i="1"/>
  <c r="AC518" i="1"/>
  <c r="V519" i="1"/>
  <c r="W519" i="1"/>
  <c r="X519" i="1"/>
  <c r="Y519" i="1"/>
  <c r="Z519" i="1"/>
  <c r="AA519" i="1"/>
  <c r="AB519" i="1"/>
  <c r="AC519" i="1"/>
  <c r="V520" i="1"/>
  <c r="W520" i="1"/>
  <c r="X520" i="1"/>
  <c r="Y520" i="1"/>
  <c r="Z520" i="1"/>
  <c r="AA520" i="1"/>
  <c r="AB520" i="1"/>
  <c r="AC520" i="1"/>
  <c r="V521" i="1"/>
  <c r="W521" i="1"/>
  <c r="X521" i="1"/>
  <c r="Y521" i="1"/>
  <c r="Z521" i="1"/>
  <c r="AA521" i="1"/>
  <c r="AB521" i="1"/>
  <c r="AC521" i="1"/>
  <c r="V522" i="1"/>
  <c r="W522" i="1"/>
  <c r="X522" i="1"/>
  <c r="Y522" i="1"/>
  <c r="Z522" i="1"/>
  <c r="AA522" i="1"/>
  <c r="AB522" i="1"/>
  <c r="AC522" i="1"/>
  <c r="V523" i="1"/>
  <c r="W523" i="1"/>
  <c r="X523" i="1"/>
  <c r="Y523" i="1"/>
  <c r="Z523" i="1"/>
  <c r="AA523" i="1"/>
  <c r="AB523" i="1"/>
  <c r="AC523" i="1"/>
  <c r="V524" i="1"/>
  <c r="W524" i="1"/>
  <c r="X524" i="1"/>
  <c r="Y524" i="1"/>
  <c r="Z524" i="1"/>
  <c r="AA524" i="1"/>
  <c r="AB524" i="1"/>
  <c r="AC524" i="1"/>
  <c r="V525" i="1"/>
  <c r="W525" i="1"/>
  <c r="X525" i="1"/>
  <c r="Y525" i="1"/>
  <c r="Z525" i="1"/>
  <c r="AA525" i="1"/>
  <c r="AB525" i="1"/>
  <c r="AC525" i="1"/>
  <c r="V526" i="1"/>
  <c r="W526" i="1"/>
  <c r="X526" i="1"/>
  <c r="Y526" i="1"/>
  <c r="Z526" i="1"/>
  <c r="AA526" i="1"/>
  <c r="AB526" i="1"/>
  <c r="AC526" i="1"/>
  <c r="V527" i="1"/>
  <c r="W527" i="1"/>
  <c r="X527" i="1"/>
  <c r="Y527" i="1"/>
  <c r="Z527" i="1"/>
  <c r="AA527" i="1"/>
  <c r="AB527" i="1"/>
  <c r="AC527" i="1"/>
  <c r="V528" i="1"/>
  <c r="W528" i="1"/>
  <c r="X528" i="1"/>
  <c r="Y528" i="1"/>
  <c r="Z528" i="1"/>
  <c r="AA528" i="1"/>
  <c r="AB528" i="1"/>
  <c r="AC528" i="1"/>
  <c r="V529" i="1"/>
  <c r="W529" i="1"/>
  <c r="X529" i="1"/>
  <c r="Y529" i="1"/>
  <c r="Z529" i="1"/>
  <c r="AA529" i="1"/>
  <c r="AB529" i="1"/>
  <c r="AC529" i="1"/>
  <c r="V530" i="1"/>
  <c r="W530" i="1"/>
  <c r="X530" i="1"/>
  <c r="Y530" i="1"/>
  <c r="Z530" i="1"/>
  <c r="AA530" i="1"/>
  <c r="AB530" i="1"/>
  <c r="AC530" i="1"/>
  <c r="V531" i="1"/>
  <c r="W531" i="1"/>
  <c r="X531" i="1"/>
  <c r="Y531" i="1"/>
  <c r="Z531" i="1"/>
  <c r="AA531" i="1"/>
  <c r="AB531" i="1"/>
  <c r="AC531" i="1"/>
  <c r="V532" i="1"/>
  <c r="W532" i="1"/>
  <c r="X532" i="1"/>
  <c r="Y532" i="1"/>
  <c r="Z532" i="1"/>
  <c r="AA532" i="1"/>
  <c r="AB532" i="1"/>
  <c r="AC532" i="1"/>
  <c r="V533" i="1"/>
  <c r="W533" i="1"/>
  <c r="X533" i="1"/>
  <c r="Y533" i="1"/>
  <c r="Z533" i="1"/>
  <c r="AA533" i="1"/>
  <c r="AB533" i="1"/>
  <c r="AC533" i="1"/>
  <c r="V534" i="1"/>
  <c r="W534" i="1"/>
  <c r="X534" i="1"/>
  <c r="Y534" i="1"/>
  <c r="Z534" i="1"/>
  <c r="AA534" i="1"/>
  <c r="AB534" i="1"/>
  <c r="AC534" i="1"/>
  <c r="V535" i="1"/>
  <c r="W535" i="1"/>
  <c r="X535" i="1"/>
  <c r="Y535" i="1"/>
  <c r="Z535" i="1"/>
  <c r="AA535" i="1"/>
  <c r="AB535" i="1"/>
  <c r="AC535" i="1"/>
  <c r="V536" i="1"/>
  <c r="W536" i="1"/>
  <c r="X536" i="1"/>
  <c r="Y536" i="1"/>
  <c r="Z536" i="1"/>
  <c r="AA536" i="1"/>
  <c r="AB536" i="1"/>
  <c r="AC536" i="1"/>
  <c r="V537" i="1"/>
  <c r="W537" i="1"/>
  <c r="X537" i="1"/>
  <c r="Y537" i="1"/>
  <c r="Z537" i="1"/>
  <c r="AA537" i="1"/>
  <c r="AB537" i="1"/>
  <c r="AC537" i="1"/>
  <c r="V538" i="1"/>
  <c r="W538" i="1"/>
  <c r="X538" i="1"/>
  <c r="Y538" i="1"/>
  <c r="Z538" i="1"/>
  <c r="AA538" i="1"/>
  <c r="AB538" i="1"/>
  <c r="AC538" i="1"/>
  <c r="V539" i="1"/>
  <c r="W539" i="1"/>
  <c r="X539" i="1"/>
  <c r="Y539" i="1"/>
  <c r="Z539" i="1"/>
  <c r="AA539" i="1"/>
  <c r="AB539" i="1"/>
  <c r="AC539" i="1"/>
  <c r="V540" i="1"/>
  <c r="W540" i="1"/>
  <c r="X540" i="1"/>
  <c r="Y540" i="1"/>
  <c r="Z540" i="1"/>
  <c r="AA540" i="1"/>
  <c r="AB540" i="1"/>
  <c r="AC540" i="1"/>
  <c r="V541" i="1"/>
  <c r="W541" i="1"/>
  <c r="X541" i="1"/>
  <c r="Y541" i="1"/>
  <c r="Z541" i="1"/>
  <c r="AA541" i="1"/>
  <c r="AB541" i="1"/>
  <c r="AC541" i="1"/>
  <c r="V542" i="1"/>
  <c r="W542" i="1"/>
  <c r="X542" i="1"/>
  <c r="Y542" i="1"/>
  <c r="Z542" i="1"/>
  <c r="AA542" i="1"/>
  <c r="AB542" i="1"/>
  <c r="AC542" i="1"/>
  <c r="V543" i="1"/>
  <c r="W543" i="1"/>
  <c r="X543" i="1"/>
  <c r="Y543" i="1"/>
  <c r="Z543" i="1"/>
  <c r="AA543" i="1"/>
  <c r="AB543" i="1"/>
  <c r="AC543" i="1"/>
  <c r="V544" i="1"/>
  <c r="W544" i="1"/>
  <c r="X544" i="1"/>
  <c r="Y544" i="1"/>
  <c r="Z544" i="1"/>
  <c r="AA544" i="1"/>
  <c r="AB544" i="1"/>
  <c r="AC544" i="1"/>
  <c r="V545" i="1"/>
  <c r="W545" i="1"/>
  <c r="X545" i="1"/>
  <c r="Y545" i="1"/>
  <c r="Z545" i="1"/>
  <c r="AA545" i="1"/>
  <c r="AB545" i="1"/>
  <c r="AC545" i="1"/>
  <c r="V546" i="1"/>
  <c r="W546" i="1"/>
  <c r="X546" i="1"/>
  <c r="Y546" i="1"/>
  <c r="Z546" i="1"/>
  <c r="AA546" i="1"/>
  <c r="AB546" i="1"/>
  <c r="AC546" i="1"/>
  <c r="V547" i="1"/>
  <c r="W547" i="1"/>
  <c r="X547" i="1"/>
  <c r="Y547" i="1"/>
  <c r="Z547" i="1"/>
  <c r="AA547" i="1"/>
  <c r="AB547" i="1"/>
  <c r="AC547" i="1"/>
  <c r="V548" i="1"/>
  <c r="W548" i="1"/>
  <c r="X548" i="1"/>
  <c r="Y548" i="1"/>
  <c r="Z548" i="1"/>
  <c r="AA548" i="1"/>
  <c r="AB548" i="1"/>
  <c r="AC548" i="1"/>
  <c r="V549" i="1"/>
  <c r="W549" i="1"/>
  <c r="X549" i="1"/>
  <c r="Y549" i="1"/>
  <c r="Z549" i="1"/>
  <c r="AA549" i="1"/>
  <c r="AB549" i="1"/>
  <c r="AC549" i="1"/>
  <c r="V550" i="1"/>
  <c r="W550" i="1"/>
  <c r="X550" i="1"/>
  <c r="Y550" i="1"/>
  <c r="Z550" i="1"/>
  <c r="AA550" i="1"/>
  <c r="AB550" i="1"/>
  <c r="AC550" i="1"/>
  <c r="V551" i="1"/>
  <c r="W551" i="1"/>
  <c r="X551" i="1"/>
  <c r="Y551" i="1"/>
  <c r="Z551" i="1"/>
  <c r="AA551" i="1"/>
  <c r="AB551" i="1"/>
  <c r="AC551" i="1"/>
  <c r="V552" i="1"/>
  <c r="W552" i="1"/>
  <c r="X552" i="1"/>
  <c r="Y552" i="1"/>
  <c r="Z552" i="1"/>
  <c r="AA552" i="1"/>
  <c r="AB552" i="1"/>
  <c r="AC552" i="1"/>
  <c r="V553" i="1"/>
  <c r="W553" i="1"/>
  <c r="X553" i="1"/>
  <c r="Y553" i="1"/>
  <c r="Z553" i="1"/>
  <c r="AA553" i="1"/>
  <c r="AB553" i="1"/>
  <c r="AC553" i="1"/>
  <c r="V554" i="1"/>
  <c r="W554" i="1"/>
  <c r="X554" i="1"/>
  <c r="Y554" i="1"/>
  <c r="Z554" i="1"/>
  <c r="AA554" i="1"/>
  <c r="AB554" i="1"/>
  <c r="AC554" i="1"/>
  <c r="V555" i="1"/>
  <c r="W555" i="1"/>
  <c r="X555" i="1"/>
  <c r="Y555" i="1"/>
  <c r="Z555" i="1"/>
  <c r="AA555" i="1"/>
  <c r="AB555" i="1"/>
  <c r="AC555" i="1"/>
  <c r="V556" i="1"/>
  <c r="W556" i="1"/>
  <c r="X556" i="1"/>
  <c r="Y556" i="1"/>
  <c r="Z556" i="1"/>
  <c r="AA556" i="1"/>
  <c r="AB556" i="1"/>
  <c r="AC556" i="1"/>
  <c r="V557" i="1"/>
  <c r="W557" i="1"/>
  <c r="X557" i="1"/>
  <c r="Y557" i="1"/>
  <c r="Z557" i="1"/>
  <c r="AA557" i="1"/>
  <c r="AB557" i="1"/>
  <c r="AC557" i="1"/>
  <c r="V558" i="1"/>
  <c r="W558" i="1"/>
  <c r="X558" i="1"/>
  <c r="Y558" i="1"/>
  <c r="Z558" i="1"/>
  <c r="AA558" i="1"/>
  <c r="AB558" i="1"/>
  <c r="AC558" i="1"/>
  <c r="V559" i="1"/>
  <c r="W559" i="1"/>
  <c r="X559" i="1"/>
  <c r="Y559" i="1"/>
  <c r="Z559" i="1"/>
  <c r="AA559" i="1"/>
  <c r="AB559" i="1"/>
  <c r="AC559" i="1"/>
  <c r="V560" i="1"/>
  <c r="W560" i="1"/>
  <c r="X560" i="1"/>
  <c r="Y560" i="1"/>
  <c r="Z560" i="1"/>
  <c r="AA560" i="1"/>
  <c r="AB560" i="1"/>
  <c r="AC560" i="1"/>
  <c r="V561" i="1"/>
  <c r="W561" i="1"/>
  <c r="X561" i="1"/>
  <c r="Y561" i="1"/>
  <c r="Z561" i="1"/>
  <c r="AA561" i="1"/>
  <c r="AB561" i="1"/>
  <c r="AC561" i="1"/>
  <c r="V562" i="1"/>
  <c r="W562" i="1"/>
  <c r="X562" i="1"/>
  <c r="Y562" i="1"/>
  <c r="Z562" i="1"/>
  <c r="AA562" i="1"/>
  <c r="AB562" i="1"/>
  <c r="AC562" i="1"/>
  <c r="V563" i="1"/>
  <c r="W563" i="1"/>
  <c r="X563" i="1"/>
  <c r="Y563" i="1"/>
  <c r="Z563" i="1"/>
  <c r="AA563" i="1"/>
  <c r="AB563" i="1"/>
  <c r="AC563" i="1"/>
  <c r="V564" i="1"/>
  <c r="W564" i="1"/>
  <c r="X564" i="1"/>
  <c r="Y564" i="1"/>
  <c r="Z564" i="1"/>
  <c r="AA564" i="1"/>
  <c r="AB564" i="1"/>
  <c r="AC564" i="1"/>
  <c r="V565" i="1"/>
  <c r="W565" i="1"/>
  <c r="X565" i="1"/>
  <c r="Y565" i="1"/>
  <c r="Z565" i="1"/>
  <c r="AA565" i="1"/>
  <c r="AB565" i="1"/>
  <c r="AC565" i="1"/>
  <c r="V566" i="1"/>
  <c r="W566" i="1"/>
  <c r="X566" i="1"/>
  <c r="Y566" i="1"/>
  <c r="Z566" i="1"/>
  <c r="AA566" i="1"/>
  <c r="AB566" i="1"/>
  <c r="AC566" i="1"/>
  <c r="V567" i="1"/>
  <c r="W567" i="1"/>
  <c r="X567" i="1"/>
  <c r="Y567" i="1"/>
  <c r="Z567" i="1"/>
  <c r="AA567" i="1"/>
  <c r="AB567" i="1"/>
  <c r="AC567" i="1"/>
  <c r="V568" i="1"/>
  <c r="W568" i="1"/>
  <c r="X568" i="1"/>
  <c r="Y568" i="1"/>
  <c r="Z568" i="1"/>
  <c r="AA568" i="1"/>
  <c r="AB568" i="1"/>
  <c r="AC568" i="1"/>
  <c r="V569" i="1"/>
  <c r="W569" i="1"/>
  <c r="X569" i="1"/>
  <c r="Y569" i="1"/>
  <c r="Z569" i="1"/>
  <c r="AA569" i="1"/>
  <c r="AB569" i="1"/>
  <c r="AC569" i="1"/>
  <c r="V570" i="1"/>
  <c r="W570" i="1"/>
  <c r="X570" i="1"/>
  <c r="Y570" i="1"/>
  <c r="Z570" i="1"/>
  <c r="AA570" i="1"/>
  <c r="AB570" i="1"/>
  <c r="AC570" i="1"/>
  <c r="V571" i="1"/>
  <c r="W571" i="1"/>
  <c r="X571" i="1"/>
  <c r="Y571" i="1"/>
  <c r="Z571" i="1"/>
  <c r="AA571" i="1"/>
  <c r="AB571" i="1"/>
  <c r="AC571" i="1"/>
  <c r="V572" i="1"/>
  <c r="W572" i="1"/>
  <c r="X572" i="1"/>
  <c r="Y572" i="1"/>
  <c r="Z572" i="1"/>
  <c r="AA572" i="1"/>
  <c r="AB572" i="1"/>
  <c r="AC572" i="1"/>
  <c r="V573" i="1"/>
  <c r="W573" i="1"/>
  <c r="X573" i="1"/>
  <c r="Y573" i="1"/>
  <c r="Z573" i="1"/>
  <c r="AA573" i="1"/>
  <c r="AB573" i="1"/>
  <c r="AC573" i="1"/>
  <c r="V574" i="1"/>
  <c r="W574" i="1"/>
  <c r="X574" i="1"/>
  <c r="Y574" i="1"/>
  <c r="Z574" i="1"/>
  <c r="AA574" i="1"/>
  <c r="AB574" i="1"/>
  <c r="AC574" i="1"/>
  <c r="V575" i="1"/>
  <c r="W575" i="1"/>
  <c r="X575" i="1"/>
  <c r="Y575" i="1"/>
  <c r="Z575" i="1"/>
  <c r="AA575" i="1"/>
  <c r="AB575" i="1"/>
  <c r="AC575" i="1"/>
  <c r="V576" i="1"/>
  <c r="W576" i="1"/>
  <c r="X576" i="1"/>
  <c r="Y576" i="1"/>
  <c r="Z576" i="1"/>
  <c r="AA576" i="1"/>
  <c r="AB576" i="1"/>
  <c r="AC576" i="1"/>
  <c r="V577" i="1"/>
  <c r="W577" i="1"/>
  <c r="X577" i="1"/>
  <c r="Y577" i="1"/>
  <c r="Z577" i="1"/>
  <c r="AA577" i="1"/>
  <c r="AB577" i="1"/>
  <c r="AC577" i="1"/>
  <c r="V578" i="1"/>
  <c r="W578" i="1"/>
  <c r="X578" i="1"/>
  <c r="Y578" i="1"/>
  <c r="Z578" i="1"/>
  <c r="AA578" i="1"/>
  <c r="AB578" i="1"/>
  <c r="AC578" i="1"/>
  <c r="V579" i="1"/>
  <c r="W579" i="1"/>
  <c r="X579" i="1"/>
  <c r="Y579" i="1"/>
  <c r="Z579" i="1"/>
  <c r="AA579" i="1"/>
  <c r="AB579" i="1"/>
  <c r="AC579" i="1"/>
  <c r="V580" i="1"/>
  <c r="W580" i="1"/>
  <c r="X580" i="1"/>
  <c r="Y580" i="1"/>
  <c r="Z580" i="1"/>
  <c r="AA580" i="1"/>
  <c r="AB580" i="1"/>
  <c r="AC580" i="1"/>
  <c r="V581" i="1"/>
  <c r="W581" i="1"/>
  <c r="X581" i="1"/>
  <c r="Y581" i="1"/>
  <c r="Z581" i="1"/>
  <c r="AA581" i="1"/>
  <c r="AB581" i="1"/>
  <c r="AC581" i="1"/>
  <c r="V582" i="1"/>
  <c r="W582" i="1"/>
  <c r="X582" i="1"/>
  <c r="Y582" i="1"/>
  <c r="Z582" i="1"/>
  <c r="AA582" i="1"/>
  <c r="AB582" i="1"/>
  <c r="AC582" i="1"/>
  <c r="V583" i="1"/>
  <c r="W583" i="1"/>
  <c r="X583" i="1"/>
  <c r="Y583" i="1"/>
  <c r="Z583" i="1"/>
  <c r="AA583" i="1"/>
  <c r="AB583" i="1"/>
  <c r="AC583" i="1"/>
  <c r="V584" i="1"/>
  <c r="W584" i="1"/>
  <c r="X584" i="1"/>
  <c r="Y584" i="1"/>
  <c r="Z584" i="1"/>
  <c r="AA584" i="1"/>
  <c r="AB584" i="1"/>
  <c r="AC584" i="1"/>
  <c r="V585" i="1"/>
  <c r="W585" i="1"/>
  <c r="X585" i="1"/>
  <c r="Y585" i="1"/>
  <c r="Z585" i="1"/>
  <c r="AA585" i="1"/>
  <c r="AB585" i="1"/>
  <c r="AC585" i="1"/>
  <c r="V586" i="1"/>
  <c r="W586" i="1"/>
  <c r="X586" i="1"/>
  <c r="Y586" i="1"/>
  <c r="Z586" i="1"/>
  <c r="AA586" i="1"/>
  <c r="AB586" i="1"/>
  <c r="AC586" i="1"/>
  <c r="V587" i="1"/>
  <c r="W587" i="1"/>
  <c r="X587" i="1"/>
  <c r="Y587" i="1"/>
  <c r="Z587" i="1"/>
  <c r="AA587" i="1"/>
  <c r="AB587" i="1"/>
  <c r="AC587" i="1"/>
  <c r="V588" i="1"/>
  <c r="W588" i="1"/>
  <c r="X588" i="1"/>
  <c r="Y588" i="1"/>
  <c r="Z588" i="1"/>
  <c r="AA588" i="1"/>
  <c r="AB588" i="1"/>
  <c r="AC588" i="1"/>
  <c r="V589" i="1"/>
  <c r="W589" i="1"/>
  <c r="X589" i="1"/>
  <c r="Y589" i="1"/>
  <c r="Z589" i="1"/>
  <c r="AA589" i="1"/>
  <c r="AB589" i="1"/>
  <c r="AC589" i="1"/>
  <c r="V590" i="1"/>
  <c r="W590" i="1"/>
  <c r="X590" i="1"/>
  <c r="Y590" i="1"/>
  <c r="Z590" i="1"/>
  <c r="AA590" i="1"/>
  <c r="AB590" i="1"/>
  <c r="AC590" i="1"/>
  <c r="V591" i="1"/>
  <c r="W591" i="1"/>
  <c r="X591" i="1"/>
  <c r="Y591" i="1"/>
  <c r="Z591" i="1"/>
  <c r="AA591" i="1"/>
  <c r="AB591" i="1"/>
  <c r="AC591" i="1"/>
  <c r="V592" i="1"/>
  <c r="W592" i="1"/>
  <c r="X592" i="1"/>
  <c r="Y592" i="1"/>
  <c r="Z592" i="1"/>
  <c r="AA592" i="1"/>
  <c r="AB592" i="1"/>
  <c r="AC592" i="1"/>
  <c r="V593" i="1"/>
  <c r="W593" i="1"/>
  <c r="X593" i="1"/>
  <c r="Y593" i="1"/>
  <c r="Z593" i="1"/>
  <c r="AA593" i="1"/>
  <c r="AB593" i="1"/>
  <c r="AC593" i="1"/>
  <c r="V594" i="1"/>
  <c r="W594" i="1"/>
  <c r="X594" i="1"/>
  <c r="Y594" i="1"/>
  <c r="Z594" i="1"/>
  <c r="AA594" i="1"/>
  <c r="AB594" i="1"/>
  <c r="AC594" i="1"/>
  <c r="V595" i="1"/>
  <c r="W595" i="1"/>
  <c r="X595" i="1"/>
  <c r="Y595" i="1"/>
  <c r="Z595" i="1"/>
  <c r="AA595" i="1"/>
  <c r="AB595" i="1"/>
  <c r="AC595" i="1"/>
  <c r="V596" i="1"/>
  <c r="W596" i="1"/>
  <c r="X596" i="1"/>
  <c r="Y596" i="1"/>
  <c r="Z596" i="1"/>
  <c r="AA596" i="1"/>
  <c r="AB596" i="1"/>
  <c r="AC596" i="1"/>
  <c r="V597" i="1"/>
  <c r="W597" i="1"/>
  <c r="X597" i="1"/>
  <c r="Y597" i="1"/>
  <c r="Z597" i="1"/>
  <c r="AA597" i="1"/>
  <c r="AB597" i="1"/>
  <c r="AC597" i="1"/>
  <c r="V598" i="1"/>
  <c r="W598" i="1"/>
  <c r="X598" i="1"/>
  <c r="Y598" i="1"/>
  <c r="Z598" i="1"/>
  <c r="AA598" i="1"/>
  <c r="AB598" i="1"/>
  <c r="AC598" i="1"/>
  <c r="V599" i="1"/>
  <c r="W599" i="1"/>
  <c r="X599" i="1"/>
  <c r="Y599" i="1"/>
  <c r="Z599" i="1"/>
  <c r="AA599" i="1"/>
  <c r="AB599" i="1"/>
  <c r="AC599" i="1"/>
  <c r="V600" i="1"/>
  <c r="W600" i="1"/>
  <c r="X600" i="1"/>
  <c r="Y600" i="1"/>
  <c r="Z600" i="1"/>
  <c r="AA600" i="1"/>
  <c r="AB600" i="1"/>
  <c r="AC600" i="1"/>
  <c r="V601" i="1"/>
  <c r="W601" i="1"/>
  <c r="X601" i="1"/>
  <c r="Y601" i="1"/>
  <c r="Z601" i="1"/>
  <c r="AA601" i="1"/>
  <c r="AB601" i="1"/>
  <c r="AC601" i="1"/>
  <c r="V602" i="1"/>
  <c r="W602" i="1"/>
  <c r="X602" i="1"/>
  <c r="Y602" i="1"/>
  <c r="Z602" i="1"/>
  <c r="AA602" i="1"/>
  <c r="AB602" i="1"/>
  <c r="AC602" i="1"/>
  <c r="AC4" i="1"/>
  <c r="AB4" i="1"/>
  <c r="AA4" i="1"/>
  <c r="Z4" i="1"/>
  <c r="Y4" i="1"/>
  <c r="X4" i="1"/>
  <c r="W4" i="1"/>
  <c r="V4" i="1"/>
  <c r="BB603" i="1"/>
  <c r="N5" i="1"/>
  <c r="O5" i="1"/>
  <c r="P5" i="1"/>
  <c r="Q5" i="1"/>
  <c r="R5" i="1"/>
  <c r="S5" i="1"/>
  <c r="T5" i="1"/>
  <c r="U5" i="1"/>
  <c r="AD5" i="1"/>
  <c r="AE5" i="1"/>
  <c r="AF5" i="1"/>
  <c r="AG5" i="1"/>
  <c r="AH5" i="1"/>
  <c r="AI5" i="1"/>
  <c r="AJ5" i="1"/>
  <c r="AK5" i="1"/>
  <c r="AT5" i="1"/>
  <c r="AU5" i="1"/>
  <c r="AV5" i="1"/>
  <c r="AW5" i="1"/>
  <c r="AX5" i="1"/>
  <c r="AY5" i="1"/>
  <c r="AZ5" i="1"/>
  <c r="BA5" i="1"/>
  <c r="N6" i="1"/>
  <c r="O6" i="1"/>
  <c r="P6" i="1"/>
  <c r="Q6" i="1"/>
  <c r="R6" i="1"/>
  <c r="S6" i="1"/>
  <c r="T6" i="1"/>
  <c r="U6" i="1"/>
  <c r="AD6" i="1"/>
  <c r="AE6" i="1"/>
  <c r="AF6" i="1"/>
  <c r="AG6" i="1"/>
  <c r="AH6" i="1"/>
  <c r="AI6" i="1"/>
  <c r="AJ6" i="1"/>
  <c r="AK6" i="1"/>
  <c r="AT6" i="1"/>
  <c r="AU6" i="1"/>
  <c r="AV6" i="1"/>
  <c r="AW6" i="1"/>
  <c r="AX6" i="1"/>
  <c r="AY6" i="1"/>
  <c r="AZ6" i="1"/>
  <c r="BA6" i="1"/>
  <c r="N7" i="1"/>
  <c r="O7" i="1"/>
  <c r="P7" i="1"/>
  <c r="Q7" i="1"/>
  <c r="R7" i="1"/>
  <c r="S7" i="1"/>
  <c r="T7" i="1"/>
  <c r="U7" i="1"/>
  <c r="AD7" i="1"/>
  <c r="AE7" i="1"/>
  <c r="AF7" i="1"/>
  <c r="AG7" i="1"/>
  <c r="AH7" i="1"/>
  <c r="AI7" i="1"/>
  <c r="AJ7" i="1"/>
  <c r="AK7" i="1"/>
  <c r="AT7" i="1"/>
  <c r="AU7" i="1"/>
  <c r="AV7" i="1"/>
  <c r="AW7" i="1"/>
  <c r="AX7" i="1"/>
  <c r="AY7" i="1"/>
  <c r="AZ7" i="1"/>
  <c r="BA7" i="1"/>
  <c r="N8" i="1"/>
  <c r="O8" i="1"/>
  <c r="P8" i="1"/>
  <c r="Q8" i="1"/>
  <c r="R8" i="1"/>
  <c r="S8" i="1"/>
  <c r="T8" i="1"/>
  <c r="U8" i="1"/>
  <c r="AD8" i="1"/>
  <c r="AE8" i="1"/>
  <c r="AF8" i="1"/>
  <c r="AG8" i="1"/>
  <c r="AH8" i="1"/>
  <c r="AI8" i="1"/>
  <c r="AJ8" i="1"/>
  <c r="AK8" i="1"/>
  <c r="AT8" i="1"/>
  <c r="AU8" i="1"/>
  <c r="AV8" i="1"/>
  <c r="AW8" i="1"/>
  <c r="AX8" i="1"/>
  <c r="AY8" i="1"/>
  <c r="AZ8" i="1"/>
  <c r="BA8" i="1"/>
  <c r="N9" i="1"/>
  <c r="O9" i="1"/>
  <c r="P9" i="1"/>
  <c r="Q9" i="1"/>
  <c r="R9" i="1"/>
  <c r="S9" i="1"/>
  <c r="T9" i="1"/>
  <c r="U9" i="1"/>
  <c r="AD9" i="1"/>
  <c r="AE9" i="1"/>
  <c r="AF9" i="1"/>
  <c r="AG9" i="1"/>
  <c r="AH9" i="1"/>
  <c r="AI9" i="1"/>
  <c r="AJ9" i="1"/>
  <c r="AK9" i="1"/>
  <c r="AT9" i="1"/>
  <c r="AU9" i="1"/>
  <c r="AV9" i="1"/>
  <c r="AW9" i="1"/>
  <c r="AX9" i="1"/>
  <c r="AY9" i="1"/>
  <c r="AZ9" i="1"/>
  <c r="BA9" i="1"/>
  <c r="N10" i="1"/>
  <c r="O10" i="1"/>
  <c r="P10" i="1"/>
  <c r="Q10" i="1"/>
  <c r="R10" i="1"/>
  <c r="S10" i="1"/>
  <c r="T10" i="1"/>
  <c r="U10" i="1"/>
  <c r="AD10" i="1"/>
  <c r="AE10" i="1"/>
  <c r="AF10" i="1"/>
  <c r="AG10" i="1"/>
  <c r="AH10" i="1"/>
  <c r="AI10" i="1"/>
  <c r="AJ10" i="1"/>
  <c r="AK10" i="1"/>
  <c r="AT10" i="1"/>
  <c r="AU10" i="1"/>
  <c r="AV10" i="1"/>
  <c r="AW10" i="1"/>
  <c r="AX10" i="1"/>
  <c r="AY10" i="1"/>
  <c r="AZ10" i="1"/>
  <c r="BA10" i="1"/>
  <c r="N11" i="1"/>
  <c r="O11" i="1"/>
  <c r="P11" i="1"/>
  <c r="Q11" i="1"/>
  <c r="R11" i="1"/>
  <c r="S11" i="1"/>
  <c r="T11" i="1"/>
  <c r="U11" i="1"/>
  <c r="AD11" i="1"/>
  <c r="AE11" i="1"/>
  <c r="AF11" i="1"/>
  <c r="AG11" i="1"/>
  <c r="AH11" i="1"/>
  <c r="AI11" i="1"/>
  <c r="AJ11" i="1"/>
  <c r="AK11" i="1"/>
  <c r="AT11" i="1"/>
  <c r="AU11" i="1"/>
  <c r="AV11" i="1"/>
  <c r="AW11" i="1"/>
  <c r="AX11" i="1"/>
  <c r="AY11" i="1"/>
  <c r="AZ11" i="1"/>
  <c r="BA11" i="1"/>
  <c r="N12" i="1"/>
  <c r="O12" i="1"/>
  <c r="P12" i="1"/>
  <c r="Q12" i="1"/>
  <c r="R12" i="1"/>
  <c r="S12" i="1"/>
  <c r="T12" i="1"/>
  <c r="U12" i="1"/>
  <c r="AD12" i="1"/>
  <c r="AE12" i="1"/>
  <c r="AF12" i="1"/>
  <c r="AG12" i="1"/>
  <c r="AH12" i="1"/>
  <c r="AI12" i="1"/>
  <c r="AJ12" i="1"/>
  <c r="AK12" i="1"/>
  <c r="AT12" i="1"/>
  <c r="AU12" i="1"/>
  <c r="AV12" i="1"/>
  <c r="AW12" i="1"/>
  <c r="AX12" i="1"/>
  <c r="AY12" i="1"/>
  <c r="AZ12" i="1"/>
  <c r="BA12" i="1"/>
  <c r="N13" i="1"/>
  <c r="O13" i="1"/>
  <c r="P13" i="1"/>
  <c r="Q13" i="1"/>
  <c r="R13" i="1"/>
  <c r="S13" i="1"/>
  <c r="T13" i="1"/>
  <c r="U13" i="1"/>
  <c r="AD13" i="1"/>
  <c r="AE13" i="1"/>
  <c r="AF13" i="1"/>
  <c r="AG13" i="1"/>
  <c r="AH13" i="1"/>
  <c r="AI13" i="1"/>
  <c r="AJ13" i="1"/>
  <c r="AK13" i="1"/>
  <c r="AT13" i="1"/>
  <c r="AU13" i="1"/>
  <c r="AV13" i="1"/>
  <c r="AW13" i="1"/>
  <c r="AX13" i="1"/>
  <c r="AY13" i="1"/>
  <c r="AZ13" i="1"/>
  <c r="BA13" i="1"/>
  <c r="N14" i="1"/>
  <c r="O14" i="1"/>
  <c r="P14" i="1"/>
  <c r="Q14" i="1"/>
  <c r="R14" i="1"/>
  <c r="S14" i="1"/>
  <c r="T14" i="1"/>
  <c r="U14" i="1"/>
  <c r="AD14" i="1"/>
  <c r="AE14" i="1"/>
  <c r="AF14" i="1"/>
  <c r="AG14" i="1"/>
  <c r="AH14" i="1"/>
  <c r="AI14" i="1"/>
  <c r="AJ14" i="1"/>
  <c r="AK14" i="1"/>
  <c r="AT14" i="1"/>
  <c r="AU14" i="1"/>
  <c r="AV14" i="1"/>
  <c r="AW14" i="1"/>
  <c r="AX14" i="1"/>
  <c r="AY14" i="1"/>
  <c r="AZ14" i="1"/>
  <c r="BA14" i="1"/>
  <c r="N15" i="1"/>
  <c r="O15" i="1"/>
  <c r="P15" i="1"/>
  <c r="Q15" i="1"/>
  <c r="R15" i="1"/>
  <c r="S15" i="1"/>
  <c r="T15" i="1"/>
  <c r="U15" i="1"/>
  <c r="AD15" i="1"/>
  <c r="AE15" i="1"/>
  <c r="AF15" i="1"/>
  <c r="AG15" i="1"/>
  <c r="AH15" i="1"/>
  <c r="AI15" i="1"/>
  <c r="AJ15" i="1"/>
  <c r="AK15" i="1"/>
  <c r="AT15" i="1"/>
  <c r="AU15" i="1"/>
  <c r="AV15" i="1"/>
  <c r="AW15" i="1"/>
  <c r="AX15" i="1"/>
  <c r="AY15" i="1"/>
  <c r="AZ15" i="1"/>
  <c r="BA15" i="1"/>
  <c r="N16" i="1"/>
  <c r="O16" i="1"/>
  <c r="P16" i="1"/>
  <c r="Q16" i="1"/>
  <c r="R16" i="1"/>
  <c r="S16" i="1"/>
  <c r="T16" i="1"/>
  <c r="U16" i="1"/>
  <c r="AD16" i="1"/>
  <c r="AE16" i="1"/>
  <c r="AF16" i="1"/>
  <c r="AG16" i="1"/>
  <c r="AH16" i="1"/>
  <c r="AI16" i="1"/>
  <c r="AJ16" i="1"/>
  <c r="AK16" i="1"/>
  <c r="AT16" i="1"/>
  <c r="AU16" i="1"/>
  <c r="AV16" i="1"/>
  <c r="AW16" i="1"/>
  <c r="AX16" i="1"/>
  <c r="AY16" i="1"/>
  <c r="AZ16" i="1"/>
  <c r="BA16" i="1"/>
  <c r="N17" i="1"/>
  <c r="O17" i="1"/>
  <c r="P17" i="1"/>
  <c r="Q17" i="1"/>
  <c r="R17" i="1"/>
  <c r="S17" i="1"/>
  <c r="T17" i="1"/>
  <c r="U17" i="1"/>
  <c r="AD17" i="1"/>
  <c r="AE17" i="1"/>
  <c r="AF17" i="1"/>
  <c r="AG17" i="1"/>
  <c r="AH17" i="1"/>
  <c r="AI17" i="1"/>
  <c r="AJ17" i="1"/>
  <c r="AK17" i="1"/>
  <c r="AT17" i="1"/>
  <c r="AU17" i="1"/>
  <c r="AV17" i="1"/>
  <c r="AW17" i="1"/>
  <c r="AX17" i="1"/>
  <c r="AY17" i="1"/>
  <c r="AZ17" i="1"/>
  <c r="BA17" i="1"/>
  <c r="N18" i="1"/>
  <c r="O18" i="1"/>
  <c r="P18" i="1"/>
  <c r="Q18" i="1"/>
  <c r="R18" i="1"/>
  <c r="S18" i="1"/>
  <c r="T18" i="1"/>
  <c r="U18" i="1"/>
  <c r="AD18" i="1"/>
  <c r="AE18" i="1"/>
  <c r="AF18" i="1"/>
  <c r="AG18" i="1"/>
  <c r="AH18" i="1"/>
  <c r="AI18" i="1"/>
  <c r="AJ18" i="1"/>
  <c r="AK18" i="1"/>
  <c r="AT18" i="1"/>
  <c r="AU18" i="1"/>
  <c r="AV18" i="1"/>
  <c r="AW18" i="1"/>
  <c r="AX18" i="1"/>
  <c r="AY18" i="1"/>
  <c r="AZ18" i="1"/>
  <c r="BA18" i="1"/>
  <c r="N19" i="1"/>
  <c r="O19" i="1"/>
  <c r="P19" i="1"/>
  <c r="Q19" i="1"/>
  <c r="R19" i="1"/>
  <c r="S19" i="1"/>
  <c r="T19" i="1"/>
  <c r="U19" i="1"/>
  <c r="AD19" i="1"/>
  <c r="AE19" i="1"/>
  <c r="AF19" i="1"/>
  <c r="AG19" i="1"/>
  <c r="AH19" i="1"/>
  <c r="AI19" i="1"/>
  <c r="AJ19" i="1"/>
  <c r="AK19" i="1"/>
  <c r="AT19" i="1"/>
  <c r="AU19" i="1"/>
  <c r="AV19" i="1"/>
  <c r="AW19" i="1"/>
  <c r="AX19" i="1"/>
  <c r="AY19" i="1"/>
  <c r="AZ19" i="1"/>
  <c r="BA19" i="1"/>
  <c r="N20" i="1"/>
  <c r="O20" i="1"/>
  <c r="P20" i="1"/>
  <c r="Q20" i="1"/>
  <c r="R20" i="1"/>
  <c r="S20" i="1"/>
  <c r="T20" i="1"/>
  <c r="U20" i="1"/>
  <c r="AD20" i="1"/>
  <c r="AE20" i="1"/>
  <c r="AF20" i="1"/>
  <c r="AG20" i="1"/>
  <c r="AH20" i="1"/>
  <c r="AI20" i="1"/>
  <c r="AJ20" i="1"/>
  <c r="AK20" i="1"/>
  <c r="AT20" i="1"/>
  <c r="AU20" i="1"/>
  <c r="AV20" i="1"/>
  <c r="AW20" i="1"/>
  <c r="AX20" i="1"/>
  <c r="AY20" i="1"/>
  <c r="AZ20" i="1"/>
  <c r="BA20" i="1"/>
  <c r="N21" i="1"/>
  <c r="O21" i="1"/>
  <c r="P21" i="1"/>
  <c r="Q21" i="1"/>
  <c r="R21" i="1"/>
  <c r="S21" i="1"/>
  <c r="T21" i="1"/>
  <c r="U21" i="1"/>
  <c r="AD21" i="1"/>
  <c r="AE21" i="1"/>
  <c r="AF21" i="1"/>
  <c r="AG21" i="1"/>
  <c r="AH21" i="1"/>
  <c r="AI21" i="1"/>
  <c r="AJ21" i="1"/>
  <c r="AK21" i="1"/>
  <c r="AT21" i="1"/>
  <c r="AU21" i="1"/>
  <c r="AV21" i="1"/>
  <c r="AW21" i="1"/>
  <c r="AX21" i="1"/>
  <c r="AY21" i="1"/>
  <c r="AZ21" i="1"/>
  <c r="BA21" i="1"/>
  <c r="N22" i="1"/>
  <c r="O22" i="1"/>
  <c r="P22" i="1"/>
  <c r="Q22" i="1"/>
  <c r="R22" i="1"/>
  <c r="S22" i="1"/>
  <c r="T22" i="1"/>
  <c r="U22" i="1"/>
  <c r="AD22" i="1"/>
  <c r="AE22" i="1"/>
  <c r="AF22" i="1"/>
  <c r="AG22" i="1"/>
  <c r="AH22" i="1"/>
  <c r="AI22" i="1"/>
  <c r="AJ22" i="1"/>
  <c r="AK22" i="1"/>
  <c r="AT22" i="1"/>
  <c r="AU22" i="1"/>
  <c r="AV22" i="1"/>
  <c r="AW22" i="1"/>
  <c r="AX22" i="1"/>
  <c r="AY22" i="1"/>
  <c r="AZ22" i="1"/>
  <c r="BA22" i="1"/>
  <c r="N23" i="1"/>
  <c r="O23" i="1"/>
  <c r="P23" i="1"/>
  <c r="Q23" i="1"/>
  <c r="R23" i="1"/>
  <c r="S23" i="1"/>
  <c r="T23" i="1"/>
  <c r="U23" i="1"/>
  <c r="AD23" i="1"/>
  <c r="AE23" i="1"/>
  <c r="AF23" i="1"/>
  <c r="AG23" i="1"/>
  <c r="AH23" i="1"/>
  <c r="AI23" i="1"/>
  <c r="AJ23" i="1"/>
  <c r="AK23" i="1"/>
  <c r="AT23" i="1"/>
  <c r="AU23" i="1"/>
  <c r="AV23" i="1"/>
  <c r="AW23" i="1"/>
  <c r="AX23" i="1"/>
  <c r="AY23" i="1"/>
  <c r="AZ23" i="1"/>
  <c r="BA23" i="1"/>
  <c r="N24" i="1"/>
  <c r="O24" i="1"/>
  <c r="P24" i="1"/>
  <c r="Q24" i="1"/>
  <c r="R24" i="1"/>
  <c r="S24" i="1"/>
  <c r="T24" i="1"/>
  <c r="U24" i="1"/>
  <c r="AD24" i="1"/>
  <c r="AE24" i="1"/>
  <c r="AF24" i="1"/>
  <c r="AG24" i="1"/>
  <c r="AH24" i="1"/>
  <c r="AI24" i="1"/>
  <c r="AJ24" i="1"/>
  <c r="AK24" i="1"/>
  <c r="AT24" i="1"/>
  <c r="AU24" i="1"/>
  <c r="AV24" i="1"/>
  <c r="AW24" i="1"/>
  <c r="AX24" i="1"/>
  <c r="AY24" i="1"/>
  <c r="AZ24" i="1"/>
  <c r="BA24" i="1"/>
  <c r="N25" i="1"/>
  <c r="O25" i="1"/>
  <c r="P25" i="1"/>
  <c r="Q25" i="1"/>
  <c r="R25" i="1"/>
  <c r="S25" i="1"/>
  <c r="T25" i="1"/>
  <c r="U25" i="1"/>
  <c r="AD25" i="1"/>
  <c r="AE25" i="1"/>
  <c r="AF25" i="1"/>
  <c r="AG25" i="1"/>
  <c r="AH25" i="1"/>
  <c r="AI25" i="1"/>
  <c r="AJ25" i="1"/>
  <c r="AK25" i="1"/>
  <c r="AT25" i="1"/>
  <c r="AU25" i="1"/>
  <c r="AV25" i="1"/>
  <c r="AW25" i="1"/>
  <c r="AX25" i="1"/>
  <c r="AY25" i="1"/>
  <c r="AZ25" i="1"/>
  <c r="BA25" i="1"/>
  <c r="N26" i="1"/>
  <c r="O26" i="1"/>
  <c r="P26" i="1"/>
  <c r="Q26" i="1"/>
  <c r="R26" i="1"/>
  <c r="S26" i="1"/>
  <c r="T26" i="1"/>
  <c r="U26" i="1"/>
  <c r="AD26" i="1"/>
  <c r="AE26" i="1"/>
  <c r="AF26" i="1"/>
  <c r="AG26" i="1"/>
  <c r="AH26" i="1"/>
  <c r="AI26" i="1"/>
  <c r="AJ26" i="1"/>
  <c r="AK26" i="1"/>
  <c r="AT26" i="1"/>
  <c r="AU26" i="1"/>
  <c r="AV26" i="1"/>
  <c r="AW26" i="1"/>
  <c r="AX26" i="1"/>
  <c r="AY26" i="1"/>
  <c r="AZ26" i="1"/>
  <c r="BA26" i="1"/>
  <c r="N27" i="1"/>
  <c r="O27" i="1"/>
  <c r="P27" i="1"/>
  <c r="Q27" i="1"/>
  <c r="R27" i="1"/>
  <c r="S27" i="1"/>
  <c r="T27" i="1"/>
  <c r="U27" i="1"/>
  <c r="AD27" i="1"/>
  <c r="AE27" i="1"/>
  <c r="AF27" i="1"/>
  <c r="AG27" i="1"/>
  <c r="AH27" i="1"/>
  <c r="AI27" i="1"/>
  <c r="AJ27" i="1"/>
  <c r="AK27" i="1"/>
  <c r="AT27" i="1"/>
  <c r="AU27" i="1"/>
  <c r="AV27" i="1"/>
  <c r="AW27" i="1"/>
  <c r="AX27" i="1"/>
  <c r="AY27" i="1"/>
  <c r="AZ27" i="1"/>
  <c r="BA27" i="1"/>
  <c r="N28" i="1"/>
  <c r="O28" i="1"/>
  <c r="P28" i="1"/>
  <c r="Q28" i="1"/>
  <c r="R28" i="1"/>
  <c r="S28" i="1"/>
  <c r="T28" i="1"/>
  <c r="U28" i="1"/>
  <c r="AD28" i="1"/>
  <c r="AE28" i="1"/>
  <c r="AF28" i="1"/>
  <c r="AG28" i="1"/>
  <c r="AH28" i="1"/>
  <c r="AI28" i="1"/>
  <c r="AJ28" i="1"/>
  <c r="AK28" i="1"/>
  <c r="AT28" i="1"/>
  <c r="AU28" i="1"/>
  <c r="AV28" i="1"/>
  <c r="AW28" i="1"/>
  <c r="AX28" i="1"/>
  <c r="AY28" i="1"/>
  <c r="AZ28" i="1"/>
  <c r="BA28" i="1"/>
  <c r="N29" i="1"/>
  <c r="O29" i="1"/>
  <c r="P29" i="1"/>
  <c r="Q29" i="1"/>
  <c r="R29" i="1"/>
  <c r="S29" i="1"/>
  <c r="T29" i="1"/>
  <c r="U29" i="1"/>
  <c r="AD29" i="1"/>
  <c r="AE29" i="1"/>
  <c r="AF29" i="1"/>
  <c r="AG29" i="1"/>
  <c r="AH29" i="1"/>
  <c r="AI29" i="1"/>
  <c r="AJ29" i="1"/>
  <c r="AK29" i="1"/>
  <c r="AT29" i="1"/>
  <c r="AU29" i="1"/>
  <c r="AV29" i="1"/>
  <c r="AW29" i="1"/>
  <c r="AX29" i="1"/>
  <c r="AY29" i="1"/>
  <c r="AZ29" i="1"/>
  <c r="BA29" i="1"/>
  <c r="N30" i="1"/>
  <c r="O30" i="1"/>
  <c r="P30" i="1"/>
  <c r="Q30" i="1"/>
  <c r="R30" i="1"/>
  <c r="S30" i="1"/>
  <c r="T30" i="1"/>
  <c r="U30" i="1"/>
  <c r="AD30" i="1"/>
  <c r="AE30" i="1"/>
  <c r="AF30" i="1"/>
  <c r="AG30" i="1"/>
  <c r="AH30" i="1"/>
  <c r="AI30" i="1"/>
  <c r="AJ30" i="1"/>
  <c r="AK30" i="1"/>
  <c r="AT30" i="1"/>
  <c r="AU30" i="1"/>
  <c r="AV30" i="1"/>
  <c r="AW30" i="1"/>
  <c r="AX30" i="1"/>
  <c r="AY30" i="1"/>
  <c r="AZ30" i="1"/>
  <c r="BA30" i="1"/>
  <c r="N31" i="1"/>
  <c r="O31" i="1"/>
  <c r="P31" i="1"/>
  <c r="Q31" i="1"/>
  <c r="R31" i="1"/>
  <c r="S31" i="1"/>
  <c r="T31" i="1"/>
  <c r="U31" i="1"/>
  <c r="AD31" i="1"/>
  <c r="AE31" i="1"/>
  <c r="AF31" i="1"/>
  <c r="AG31" i="1"/>
  <c r="AH31" i="1"/>
  <c r="AI31" i="1"/>
  <c r="AJ31" i="1"/>
  <c r="AK31" i="1"/>
  <c r="AT31" i="1"/>
  <c r="AU31" i="1"/>
  <c r="AV31" i="1"/>
  <c r="AW31" i="1"/>
  <c r="AX31" i="1"/>
  <c r="AY31" i="1"/>
  <c r="AZ31" i="1"/>
  <c r="BA31" i="1"/>
  <c r="N32" i="1"/>
  <c r="O32" i="1"/>
  <c r="P32" i="1"/>
  <c r="Q32" i="1"/>
  <c r="R32" i="1"/>
  <c r="S32" i="1"/>
  <c r="T32" i="1"/>
  <c r="U32" i="1"/>
  <c r="AD32" i="1"/>
  <c r="AE32" i="1"/>
  <c r="AF32" i="1"/>
  <c r="AG32" i="1"/>
  <c r="AH32" i="1"/>
  <c r="AI32" i="1"/>
  <c r="AJ32" i="1"/>
  <c r="AK32" i="1"/>
  <c r="AT32" i="1"/>
  <c r="AU32" i="1"/>
  <c r="AV32" i="1"/>
  <c r="AW32" i="1"/>
  <c r="AX32" i="1"/>
  <c r="AY32" i="1"/>
  <c r="AZ32" i="1"/>
  <c r="BA32" i="1"/>
  <c r="N33" i="1"/>
  <c r="O33" i="1"/>
  <c r="P33" i="1"/>
  <c r="Q33" i="1"/>
  <c r="R33" i="1"/>
  <c r="S33" i="1"/>
  <c r="T33" i="1"/>
  <c r="U33" i="1"/>
  <c r="AD33" i="1"/>
  <c r="AE33" i="1"/>
  <c r="AF33" i="1"/>
  <c r="AG33" i="1"/>
  <c r="AH33" i="1"/>
  <c r="AI33" i="1"/>
  <c r="AJ33" i="1"/>
  <c r="AK33" i="1"/>
  <c r="AT33" i="1"/>
  <c r="AU33" i="1"/>
  <c r="AV33" i="1"/>
  <c r="AW33" i="1"/>
  <c r="AX33" i="1"/>
  <c r="AY33" i="1"/>
  <c r="AZ33" i="1"/>
  <c r="BA33" i="1"/>
  <c r="N34" i="1"/>
  <c r="O34" i="1"/>
  <c r="P34" i="1"/>
  <c r="Q34" i="1"/>
  <c r="R34" i="1"/>
  <c r="S34" i="1"/>
  <c r="T34" i="1"/>
  <c r="U34" i="1"/>
  <c r="AD34" i="1"/>
  <c r="AE34" i="1"/>
  <c r="AF34" i="1"/>
  <c r="AG34" i="1"/>
  <c r="AH34" i="1"/>
  <c r="AI34" i="1"/>
  <c r="AJ34" i="1"/>
  <c r="AK34" i="1"/>
  <c r="AT34" i="1"/>
  <c r="AU34" i="1"/>
  <c r="AV34" i="1"/>
  <c r="AW34" i="1"/>
  <c r="AX34" i="1"/>
  <c r="AY34" i="1"/>
  <c r="AZ34" i="1"/>
  <c r="BA34" i="1"/>
  <c r="N35" i="1"/>
  <c r="O35" i="1"/>
  <c r="P35" i="1"/>
  <c r="Q35" i="1"/>
  <c r="R35" i="1"/>
  <c r="S35" i="1"/>
  <c r="T35" i="1"/>
  <c r="U35" i="1"/>
  <c r="AD35" i="1"/>
  <c r="AE35" i="1"/>
  <c r="AF35" i="1"/>
  <c r="AG35" i="1"/>
  <c r="AH35" i="1"/>
  <c r="AI35" i="1"/>
  <c r="AJ35" i="1"/>
  <c r="AK35" i="1"/>
  <c r="AT35" i="1"/>
  <c r="AU35" i="1"/>
  <c r="AV35" i="1"/>
  <c r="AW35" i="1"/>
  <c r="AX35" i="1"/>
  <c r="AY35" i="1"/>
  <c r="AZ35" i="1"/>
  <c r="BA35" i="1"/>
  <c r="N36" i="1"/>
  <c r="O36" i="1"/>
  <c r="P36" i="1"/>
  <c r="Q36" i="1"/>
  <c r="R36" i="1"/>
  <c r="S36" i="1"/>
  <c r="T36" i="1"/>
  <c r="U36" i="1"/>
  <c r="AD36" i="1"/>
  <c r="AE36" i="1"/>
  <c r="AF36" i="1"/>
  <c r="AG36" i="1"/>
  <c r="AH36" i="1"/>
  <c r="AI36" i="1"/>
  <c r="AJ36" i="1"/>
  <c r="AK36" i="1"/>
  <c r="AT36" i="1"/>
  <c r="AU36" i="1"/>
  <c r="AV36" i="1"/>
  <c r="AW36" i="1"/>
  <c r="AX36" i="1"/>
  <c r="AY36" i="1"/>
  <c r="AZ36" i="1"/>
  <c r="BA36" i="1"/>
  <c r="N37" i="1"/>
  <c r="O37" i="1"/>
  <c r="P37" i="1"/>
  <c r="Q37" i="1"/>
  <c r="R37" i="1"/>
  <c r="S37" i="1"/>
  <c r="T37" i="1"/>
  <c r="U37" i="1"/>
  <c r="AD37" i="1"/>
  <c r="AE37" i="1"/>
  <c r="AF37" i="1"/>
  <c r="AG37" i="1"/>
  <c r="AH37" i="1"/>
  <c r="AI37" i="1"/>
  <c r="AJ37" i="1"/>
  <c r="AK37" i="1"/>
  <c r="AT37" i="1"/>
  <c r="AU37" i="1"/>
  <c r="AV37" i="1"/>
  <c r="AW37" i="1"/>
  <c r="AX37" i="1"/>
  <c r="AY37" i="1"/>
  <c r="AZ37" i="1"/>
  <c r="BA37" i="1"/>
  <c r="N38" i="1"/>
  <c r="O38" i="1"/>
  <c r="P38" i="1"/>
  <c r="Q38" i="1"/>
  <c r="R38" i="1"/>
  <c r="S38" i="1"/>
  <c r="T38" i="1"/>
  <c r="U38" i="1"/>
  <c r="AD38" i="1"/>
  <c r="AE38" i="1"/>
  <c r="AF38" i="1"/>
  <c r="AG38" i="1"/>
  <c r="AH38" i="1"/>
  <c r="AI38" i="1"/>
  <c r="AJ38" i="1"/>
  <c r="AK38" i="1"/>
  <c r="AT38" i="1"/>
  <c r="AU38" i="1"/>
  <c r="AV38" i="1"/>
  <c r="AW38" i="1"/>
  <c r="AX38" i="1"/>
  <c r="AY38" i="1"/>
  <c r="AZ38" i="1"/>
  <c r="BA38" i="1"/>
  <c r="N39" i="1"/>
  <c r="O39" i="1"/>
  <c r="P39" i="1"/>
  <c r="Q39" i="1"/>
  <c r="R39" i="1"/>
  <c r="S39" i="1"/>
  <c r="T39" i="1"/>
  <c r="U39" i="1"/>
  <c r="AD39" i="1"/>
  <c r="AE39" i="1"/>
  <c r="AF39" i="1"/>
  <c r="AG39" i="1"/>
  <c r="AH39" i="1"/>
  <c r="AI39" i="1"/>
  <c r="AJ39" i="1"/>
  <c r="AK39" i="1"/>
  <c r="AT39" i="1"/>
  <c r="AU39" i="1"/>
  <c r="AV39" i="1"/>
  <c r="AW39" i="1"/>
  <c r="AX39" i="1"/>
  <c r="AY39" i="1"/>
  <c r="AZ39" i="1"/>
  <c r="BA39" i="1"/>
  <c r="N40" i="1"/>
  <c r="O40" i="1"/>
  <c r="P40" i="1"/>
  <c r="Q40" i="1"/>
  <c r="R40" i="1"/>
  <c r="S40" i="1"/>
  <c r="T40" i="1"/>
  <c r="U40" i="1"/>
  <c r="AD40" i="1"/>
  <c r="AE40" i="1"/>
  <c r="AF40" i="1"/>
  <c r="AG40" i="1"/>
  <c r="AH40" i="1"/>
  <c r="AI40" i="1"/>
  <c r="AJ40" i="1"/>
  <c r="AK40" i="1"/>
  <c r="AT40" i="1"/>
  <c r="AU40" i="1"/>
  <c r="AV40" i="1"/>
  <c r="AW40" i="1"/>
  <c r="AX40" i="1"/>
  <c r="AY40" i="1"/>
  <c r="AZ40" i="1"/>
  <c r="BA40" i="1"/>
  <c r="N41" i="1"/>
  <c r="O41" i="1"/>
  <c r="P41" i="1"/>
  <c r="Q41" i="1"/>
  <c r="R41" i="1"/>
  <c r="S41" i="1"/>
  <c r="T41" i="1"/>
  <c r="U41" i="1"/>
  <c r="AD41" i="1"/>
  <c r="AE41" i="1"/>
  <c r="AF41" i="1"/>
  <c r="AG41" i="1"/>
  <c r="AH41" i="1"/>
  <c r="AI41" i="1"/>
  <c r="AJ41" i="1"/>
  <c r="AK41" i="1"/>
  <c r="AT41" i="1"/>
  <c r="AU41" i="1"/>
  <c r="AV41" i="1"/>
  <c r="AW41" i="1"/>
  <c r="AX41" i="1"/>
  <c r="AY41" i="1"/>
  <c r="AZ41" i="1"/>
  <c r="BA41" i="1"/>
  <c r="N42" i="1"/>
  <c r="O42" i="1"/>
  <c r="P42" i="1"/>
  <c r="Q42" i="1"/>
  <c r="R42" i="1"/>
  <c r="S42" i="1"/>
  <c r="T42" i="1"/>
  <c r="U42" i="1"/>
  <c r="AD42" i="1"/>
  <c r="AE42" i="1"/>
  <c r="AF42" i="1"/>
  <c r="AG42" i="1"/>
  <c r="AH42" i="1"/>
  <c r="AI42" i="1"/>
  <c r="AJ42" i="1"/>
  <c r="AK42" i="1"/>
  <c r="AT42" i="1"/>
  <c r="AU42" i="1"/>
  <c r="AV42" i="1"/>
  <c r="AW42" i="1"/>
  <c r="AX42" i="1"/>
  <c r="AY42" i="1"/>
  <c r="AZ42" i="1"/>
  <c r="BA42" i="1"/>
  <c r="N43" i="1"/>
  <c r="O43" i="1"/>
  <c r="P43" i="1"/>
  <c r="Q43" i="1"/>
  <c r="R43" i="1"/>
  <c r="S43" i="1"/>
  <c r="T43" i="1"/>
  <c r="U43" i="1"/>
  <c r="AD43" i="1"/>
  <c r="AE43" i="1"/>
  <c r="AF43" i="1"/>
  <c r="AG43" i="1"/>
  <c r="AH43" i="1"/>
  <c r="AI43" i="1"/>
  <c r="AJ43" i="1"/>
  <c r="AK43" i="1"/>
  <c r="AT43" i="1"/>
  <c r="AU43" i="1"/>
  <c r="AV43" i="1"/>
  <c r="AW43" i="1"/>
  <c r="AX43" i="1"/>
  <c r="AY43" i="1"/>
  <c r="AZ43" i="1"/>
  <c r="BA43" i="1"/>
  <c r="N44" i="1"/>
  <c r="O44" i="1"/>
  <c r="P44" i="1"/>
  <c r="Q44" i="1"/>
  <c r="R44" i="1"/>
  <c r="S44" i="1"/>
  <c r="T44" i="1"/>
  <c r="U44" i="1"/>
  <c r="AD44" i="1"/>
  <c r="AE44" i="1"/>
  <c r="AF44" i="1"/>
  <c r="AG44" i="1"/>
  <c r="AH44" i="1"/>
  <c r="AI44" i="1"/>
  <c r="AJ44" i="1"/>
  <c r="AK44" i="1"/>
  <c r="AT44" i="1"/>
  <c r="AU44" i="1"/>
  <c r="AV44" i="1"/>
  <c r="AW44" i="1"/>
  <c r="AX44" i="1"/>
  <c r="AY44" i="1"/>
  <c r="AZ44" i="1"/>
  <c r="BA44" i="1"/>
  <c r="N45" i="1"/>
  <c r="O45" i="1"/>
  <c r="P45" i="1"/>
  <c r="Q45" i="1"/>
  <c r="R45" i="1"/>
  <c r="S45" i="1"/>
  <c r="T45" i="1"/>
  <c r="U45" i="1"/>
  <c r="AD45" i="1"/>
  <c r="AE45" i="1"/>
  <c r="AF45" i="1"/>
  <c r="AG45" i="1"/>
  <c r="AH45" i="1"/>
  <c r="AI45" i="1"/>
  <c r="AJ45" i="1"/>
  <c r="AK45" i="1"/>
  <c r="AT45" i="1"/>
  <c r="AU45" i="1"/>
  <c r="AV45" i="1"/>
  <c r="AW45" i="1"/>
  <c r="AX45" i="1"/>
  <c r="AY45" i="1"/>
  <c r="AZ45" i="1"/>
  <c r="BA45" i="1"/>
  <c r="N46" i="1"/>
  <c r="O46" i="1"/>
  <c r="P46" i="1"/>
  <c r="Q46" i="1"/>
  <c r="R46" i="1"/>
  <c r="S46" i="1"/>
  <c r="T46" i="1"/>
  <c r="U46" i="1"/>
  <c r="AD46" i="1"/>
  <c r="AE46" i="1"/>
  <c r="AF46" i="1"/>
  <c r="AG46" i="1"/>
  <c r="AH46" i="1"/>
  <c r="AI46" i="1"/>
  <c r="AJ46" i="1"/>
  <c r="AK46" i="1"/>
  <c r="AT46" i="1"/>
  <c r="AU46" i="1"/>
  <c r="AV46" i="1"/>
  <c r="AW46" i="1"/>
  <c r="AX46" i="1"/>
  <c r="AY46" i="1"/>
  <c r="AZ46" i="1"/>
  <c r="BA46" i="1"/>
  <c r="N47" i="1"/>
  <c r="O47" i="1"/>
  <c r="P47" i="1"/>
  <c r="Q47" i="1"/>
  <c r="R47" i="1"/>
  <c r="S47" i="1"/>
  <c r="T47" i="1"/>
  <c r="U47" i="1"/>
  <c r="AD47" i="1"/>
  <c r="AE47" i="1"/>
  <c r="AF47" i="1"/>
  <c r="AG47" i="1"/>
  <c r="AH47" i="1"/>
  <c r="AI47" i="1"/>
  <c r="AJ47" i="1"/>
  <c r="AK47" i="1"/>
  <c r="AT47" i="1"/>
  <c r="AU47" i="1"/>
  <c r="AV47" i="1"/>
  <c r="AW47" i="1"/>
  <c r="AX47" i="1"/>
  <c r="AY47" i="1"/>
  <c r="AZ47" i="1"/>
  <c r="BA47" i="1"/>
  <c r="N48" i="1"/>
  <c r="O48" i="1"/>
  <c r="P48" i="1"/>
  <c r="Q48" i="1"/>
  <c r="R48" i="1"/>
  <c r="S48" i="1"/>
  <c r="T48" i="1"/>
  <c r="U48" i="1"/>
  <c r="AD48" i="1"/>
  <c r="AE48" i="1"/>
  <c r="AF48" i="1"/>
  <c r="AG48" i="1"/>
  <c r="AH48" i="1"/>
  <c r="AI48" i="1"/>
  <c r="AJ48" i="1"/>
  <c r="AK48" i="1"/>
  <c r="AT48" i="1"/>
  <c r="AU48" i="1"/>
  <c r="AV48" i="1"/>
  <c r="AW48" i="1"/>
  <c r="AX48" i="1"/>
  <c r="AY48" i="1"/>
  <c r="AZ48" i="1"/>
  <c r="BA48" i="1"/>
  <c r="N49" i="1"/>
  <c r="O49" i="1"/>
  <c r="P49" i="1"/>
  <c r="Q49" i="1"/>
  <c r="R49" i="1"/>
  <c r="S49" i="1"/>
  <c r="T49" i="1"/>
  <c r="U49" i="1"/>
  <c r="AD49" i="1"/>
  <c r="AE49" i="1"/>
  <c r="AF49" i="1"/>
  <c r="AG49" i="1"/>
  <c r="AH49" i="1"/>
  <c r="AI49" i="1"/>
  <c r="AJ49" i="1"/>
  <c r="AK49" i="1"/>
  <c r="AT49" i="1"/>
  <c r="AU49" i="1"/>
  <c r="AV49" i="1"/>
  <c r="AW49" i="1"/>
  <c r="AX49" i="1"/>
  <c r="AY49" i="1"/>
  <c r="AZ49" i="1"/>
  <c r="BA49" i="1"/>
  <c r="N50" i="1"/>
  <c r="O50" i="1"/>
  <c r="P50" i="1"/>
  <c r="Q50" i="1"/>
  <c r="R50" i="1"/>
  <c r="S50" i="1"/>
  <c r="T50" i="1"/>
  <c r="U50" i="1"/>
  <c r="AD50" i="1"/>
  <c r="AE50" i="1"/>
  <c r="AF50" i="1"/>
  <c r="AG50" i="1"/>
  <c r="AH50" i="1"/>
  <c r="AI50" i="1"/>
  <c r="AJ50" i="1"/>
  <c r="AK50" i="1"/>
  <c r="AT50" i="1"/>
  <c r="AU50" i="1"/>
  <c r="AV50" i="1"/>
  <c r="AW50" i="1"/>
  <c r="AX50" i="1"/>
  <c r="AY50" i="1"/>
  <c r="AZ50" i="1"/>
  <c r="BA50" i="1"/>
  <c r="N51" i="1"/>
  <c r="O51" i="1"/>
  <c r="P51" i="1"/>
  <c r="Q51" i="1"/>
  <c r="R51" i="1"/>
  <c r="S51" i="1"/>
  <c r="T51" i="1"/>
  <c r="U51" i="1"/>
  <c r="AD51" i="1"/>
  <c r="AE51" i="1"/>
  <c r="AF51" i="1"/>
  <c r="AG51" i="1"/>
  <c r="AH51" i="1"/>
  <c r="AI51" i="1"/>
  <c r="AJ51" i="1"/>
  <c r="AK51" i="1"/>
  <c r="AT51" i="1"/>
  <c r="AU51" i="1"/>
  <c r="AV51" i="1"/>
  <c r="AW51" i="1"/>
  <c r="AX51" i="1"/>
  <c r="AY51" i="1"/>
  <c r="AZ51" i="1"/>
  <c r="BA51" i="1"/>
  <c r="N52" i="1"/>
  <c r="O52" i="1"/>
  <c r="P52" i="1"/>
  <c r="Q52" i="1"/>
  <c r="R52" i="1"/>
  <c r="S52" i="1"/>
  <c r="T52" i="1"/>
  <c r="U52" i="1"/>
  <c r="AD52" i="1"/>
  <c r="AE52" i="1"/>
  <c r="AF52" i="1"/>
  <c r="AG52" i="1"/>
  <c r="AH52" i="1"/>
  <c r="AI52" i="1"/>
  <c r="AJ52" i="1"/>
  <c r="AK52" i="1"/>
  <c r="AT52" i="1"/>
  <c r="AU52" i="1"/>
  <c r="AV52" i="1"/>
  <c r="AW52" i="1"/>
  <c r="AX52" i="1"/>
  <c r="AY52" i="1"/>
  <c r="AZ52" i="1"/>
  <c r="BA52" i="1"/>
  <c r="N53" i="1"/>
  <c r="O53" i="1"/>
  <c r="P53" i="1"/>
  <c r="Q53" i="1"/>
  <c r="R53" i="1"/>
  <c r="S53" i="1"/>
  <c r="T53" i="1"/>
  <c r="U53" i="1"/>
  <c r="AD53" i="1"/>
  <c r="AE53" i="1"/>
  <c r="AF53" i="1"/>
  <c r="AG53" i="1"/>
  <c r="AH53" i="1"/>
  <c r="AI53" i="1"/>
  <c r="AJ53" i="1"/>
  <c r="AK53" i="1"/>
  <c r="AT53" i="1"/>
  <c r="AU53" i="1"/>
  <c r="AV53" i="1"/>
  <c r="AW53" i="1"/>
  <c r="AX53" i="1"/>
  <c r="AY53" i="1"/>
  <c r="AZ53" i="1"/>
  <c r="BA53" i="1"/>
  <c r="N54" i="1"/>
  <c r="O54" i="1"/>
  <c r="P54" i="1"/>
  <c r="Q54" i="1"/>
  <c r="R54" i="1"/>
  <c r="S54" i="1"/>
  <c r="T54" i="1"/>
  <c r="U54" i="1"/>
  <c r="AD54" i="1"/>
  <c r="AE54" i="1"/>
  <c r="AF54" i="1"/>
  <c r="AG54" i="1"/>
  <c r="AH54" i="1"/>
  <c r="AI54" i="1"/>
  <c r="AJ54" i="1"/>
  <c r="AK54" i="1"/>
  <c r="AT54" i="1"/>
  <c r="AU54" i="1"/>
  <c r="AV54" i="1"/>
  <c r="AW54" i="1"/>
  <c r="AX54" i="1"/>
  <c r="AY54" i="1"/>
  <c r="AZ54" i="1"/>
  <c r="BA54" i="1"/>
  <c r="N55" i="1"/>
  <c r="O55" i="1"/>
  <c r="P55" i="1"/>
  <c r="Q55" i="1"/>
  <c r="R55" i="1"/>
  <c r="S55" i="1"/>
  <c r="T55" i="1"/>
  <c r="U55" i="1"/>
  <c r="AD55" i="1"/>
  <c r="AE55" i="1"/>
  <c r="AF55" i="1"/>
  <c r="AG55" i="1"/>
  <c r="AH55" i="1"/>
  <c r="AI55" i="1"/>
  <c r="AJ55" i="1"/>
  <c r="AK55" i="1"/>
  <c r="AT55" i="1"/>
  <c r="AU55" i="1"/>
  <c r="AV55" i="1"/>
  <c r="AW55" i="1"/>
  <c r="AX55" i="1"/>
  <c r="AY55" i="1"/>
  <c r="AZ55" i="1"/>
  <c r="BA55" i="1"/>
  <c r="N56" i="1"/>
  <c r="O56" i="1"/>
  <c r="P56" i="1"/>
  <c r="Q56" i="1"/>
  <c r="R56" i="1"/>
  <c r="S56" i="1"/>
  <c r="T56" i="1"/>
  <c r="U56" i="1"/>
  <c r="AD56" i="1"/>
  <c r="AE56" i="1"/>
  <c r="AF56" i="1"/>
  <c r="AG56" i="1"/>
  <c r="AH56" i="1"/>
  <c r="AI56" i="1"/>
  <c r="AJ56" i="1"/>
  <c r="AK56" i="1"/>
  <c r="AT56" i="1"/>
  <c r="AU56" i="1"/>
  <c r="AV56" i="1"/>
  <c r="AW56" i="1"/>
  <c r="AX56" i="1"/>
  <c r="AY56" i="1"/>
  <c r="AZ56" i="1"/>
  <c r="BA56" i="1"/>
  <c r="N57" i="1"/>
  <c r="O57" i="1"/>
  <c r="P57" i="1"/>
  <c r="Q57" i="1"/>
  <c r="R57" i="1"/>
  <c r="S57" i="1"/>
  <c r="T57" i="1"/>
  <c r="U57" i="1"/>
  <c r="AD57" i="1"/>
  <c r="AE57" i="1"/>
  <c r="AF57" i="1"/>
  <c r="AG57" i="1"/>
  <c r="AH57" i="1"/>
  <c r="AI57" i="1"/>
  <c r="AJ57" i="1"/>
  <c r="AK57" i="1"/>
  <c r="AT57" i="1"/>
  <c r="AU57" i="1"/>
  <c r="AV57" i="1"/>
  <c r="AW57" i="1"/>
  <c r="AX57" i="1"/>
  <c r="AY57" i="1"/>
  <c r="AZ57" i="1"/>
  <c r="BA57" i="1"/>
  <c r="N58" i="1"/>
  <c r="O58" i="1"/>
  <c r="P58" i="1"/>
  <c r="Q58" i="1"/>
  <c r="R58" i="1"/>
  <c r="S58" i="1"/>
  <c r="T58" i="1"/>
  <c r="U58" i="1"/>
  <c r="AD58" i="1"/>
  <c r="AE58" i="1"/>
  <c r="AF58" i="1"/>
  <c r="AG58" i="1"/>
  <c r="AH58" i="1"/>
  <c r="AI58" i="1"/>
  <c r="AJ58" i="1"/>
  <c r="AK58" i="1"/>
  <c r="AT58" i="1"/>
  <c r="AU58" i="1"/>
  <c r="AV58" i="1"/>
  <c r="AW58" i="1"/>
  <c r="AX58" i="1"/>
  <c r="AY58" i="1"/>
  <c r="AZ58" i="1"/>
  <c r="BA58" i="1"/>
  <c r="N59" i="1"/>
  <c r="O59" i="1"/>
  <c r="P59" i="1"/>
  <c r="Q59" i="1"/>
  <c r="R59" i="1"/>
  <c r="S59" i="1"/>
  <c r="T59" i="1"/>
  <c r="U59" i="1"/>
  <c r="AD59" i="1"/>
  <c r="AE59" i="1"/>
  <c r="AF59" i="1"/>
  <c r="AG59" i="1"/>
  <c r="AH59" i="1"/>
  <c r="AI59" i="1"/>
  <c r="AJ59" i="1"/>
  <c r="AK59" i="1"/>
  <c r="AT59" i="1"/>
  <c r="AU59" i="1"/>
  <c r="AV59" i="1"/>
  <c r="AW59" i="1"/>
  <c r="AX59" i="1"/>
  <c r="AY59" i="1"/>
  <c r="AZ59" i="1"/>
  <c r="BA59" i="1"/>
  <c r="N60" i="1"/>
  <c r="O60" i="1"/>
  <c r="P60" i="1"/>
  <c r="Q60" i="1"/>
  <c r="R60" i="1"/>
  <c r="S60" i="1"/>
  <c r="T60" i="1"/>
  <c r="U60" i="1"/>
  <c r="AD60" i="1"/>
  <c r="AE60" i="1"/>
  <c r="AF60" i="1"/>
  <c r="AG60" i="1"/>
  <c r="AH60" i="1"/>
  <c r="AI60" i="1"/>
  <c r="AJ60" i="1"/>
  <c r="AK60" i="1"/>
  <c r="AT60" i="1"/>
  <c r="AU60" i="1"/>
  <c r="AV60" i="1"/>
  <c r="AW60" i="1"/>
  <c r="AX60" i="1"/>
  <c r="AY60" i="1"/>
  <c r="AZ60" i="1"/>
  <c r="BA60" i="1"/>
  <c r="N61" i="1"/>
  <c r="O61" i="1"/>
  <c r="P61" i="1"/>
  <c r="Q61" i="1"/>
  <c r="R61" i="1"/>
  <c r="S61" i="1"/>
  <c r="T61" i="1"/>
  <c r="U61" i="1"/>
  <c r="AD61" i="1"/>
  <c r="AE61" i="1"/>
  <c r="AF61" i="1"/>
  <c r="AG61" i="1"/>
  <c r="AH61" i="1"/>
  <c r="AI61" i="1"/>
  <c r="AJ61" i="1"/>
  <c r="AK61" i="1"/>
  <c r="AT61" i="1"/>
  <c r="AU61" i="1"/>
  <c r="AV61" i="1"/>
  <c r="AW61" i="1"/>
  <c r="AX61" i="1"/>
  <c r="AY61" i="1"/>
  <c r="AZ61" i="1"/>
  <c r="BA61" i="1"/>
  <c r="N62" i="1"/>
  <c r="O62" i="1"/>
  <c r="P62" i="1"/>
  <c r="Q62" i="1"/>
  <c r="R62" i="1"/>
  <c r="S62" i="1"/>
  <c r="T62" i="1"/>
  <c r="U62" i="1"/>
  <c r="AD62" i="1"/>
  <c r="AE62" i="1"/>
  <c r="AF62" i="1"/>
  <c r="AG62" i="1"/>
  <c r="AH62" i="1"/>
  <c r="AI62" i="1"/>
  <c r="AJ62" i="1"/>
  <c r="AK62" i="1"/>
  <c r="AT62" i="1"/>
  <c r="AU62" i="1"/>
  <c r="AV62" i="1"/>
  <c r="AW62" i="1"/>
  <c r="AX62" i="1"/>
  <c r="AY62" i="1"/>
  <c r="AZ62" i="1"/>
  <c r="BA62" i="1"/>
  <c r="N63" i="1"/>
  <c r="O63" i="1"/>
  <c r="P63" i="1"/>
  <c r="Q63" i="1"/>
  <c r="R63" i="1"/>
  <c r="S63" i="1"/>
  <c r="T63" i="1"/>
  <c r="U63" i="1"/>
  <c r="AD63" i="1"/>
  <c r="AE63" i="1"/>
  <c r="AF63" i="1"/>
  <c r="AG63" i="1"/>
  <c r="AH63" i="1"/>
  <c r="AI63" i="1"/>
  <c r="AJ63" i="1"/>
  <c r="AK63" i="1"/>
  <c r="AT63" i="1"/>
  <c r="AU63" i="1"/>
  <c r="AV63" i="1"/>
  <c r="AW63" i="1"/>
  <c r="AX63" i="1"/>
  <c r="AY63" i="1"/>
  <c r="AZ63" i="1"/>
  <c r="BA63" i="1"/>
  <c r="N64" i="1"/>
  <c r="O64" i="1"/>
  <c r="P64" i="1"/>
  <c r="Q64" i="1"/>
  <c r="R64" i="1"/>
  <c r="S64" i="1"/>
  <c r="T64" i="1"/>
  <c r="U64" i="1"/>
  <c r="AD64" i="1"/>
  <c r="AE64" i="1"/>
  <c r="AF64" i="1"/>
  <c r="AG64" i="1"/>
  <c r="AH64" i="1"/>
  <c r="AI64" i="1"/>
  <c r="AJ64" i="1"/>
  <c r="AK64" i="1"/>
  <c r="AT64" i="1"/>
  <c r="AU64" i="1"/>
  <c r="AV64" i="1"/>
  <c r="AW64" i="1"/>
  <c r="AX64" i="1"/>
  <c r="AY64" i="1"/>
  <c r="AZ64" i="1"/>
  <c r="BA64" i="1"/>
  <c r="N65" i="1"/>
  <c r="O65" i="1"/>
  <c r="P65" i="1"/>
  <c r="Q65" i="1"/>
  <c r="R65" i="1"/>
  <c r="S65" i="1"/>
  <c r="T65" i="1"/>
  <c r="U65" i="1"/>
  <c r="AD65" i="1"/>
  <c r="AE65" i="1"/>
  <c r="AF65" i="1"/>
  <c r="AG65" i="1"/>
  <c r="AH65" i="1"/>
  <c r="AI65" i="1"/>
  <c r="AJ65" i="1"/>
  <c r="AK65" i="1"/>
  <c r="AT65" i="1"/>
  <c r="AU65" i="1"/>
  <c r="AV65" i="1"/>
  <c r="AW65" i="1"/>
  <c r="AX65" i="1"/>
  <c r="AY65" i="1"/>
  <c r="AZ65" i="1"/>
  <c r="BA65" i="1"/>
  <c r="N66" i="1"/>
  <c r="O66" i="1"/>
  <c r="P66" i="1"/>
  <c r="Q66" i="1"/>
  <c r="R66" i="1"/>
  <c r="S66" i="1"/>
  <c r="T66" i="1"/>
  <c r="U66" i="1"/>
  <c r="AD66" i="1"/>
  <c r="AE66" i="1"/>
  <c r="AF66" i="1"/>
  <c r="AG66" i="1"/>
  <c r="AH66" i="1"/>
  <c r="AI66" i="1"/>
  <c r="AJ66" i="1"/>
  <c r="AK66" i="1"/>
  <c r="AT66" i="1"/>
  <c r="AU66" i="1"/>
  <c r="AV66" i="1"/>
  <c r="AW66" i="1"/>
  <c r="AX66" i="1"/>
  <c r="AY66" i="1"/>
  <c r="AZ66" i="1"/>
  <c r="BA66" i="1"/>
  <c r="N67" i="1"/>
  <c r="O67" i="1"/>
  <c r="P67" i="1"/>
  <c r="Q67" i="1"/>
  <c r="R67" i="1"/>
  <c r="S67" i="1"/>
  <c r="T67" i="1"/>
  <c r="U67" i="1"/>
  <c r="AD67" i="1"/>
  <c r="AE67" i="1"/>
  <c r="AF67" i="1"/>
  <c r="AG67" i="1"/>
  <c r="AH67" i="1"/>
  <c r="AI67" i="1"/>
  <c r="AJ67" i="1"/>
  <c r="AK67" i="1"/>
  <c r="AT67" i="1"/>
  <c r="AU67" i="1"/>
  <c r="AV67" i="1"/>
  <c r="AW67" i="1"/>
  <c r="AX67" i="1"/>
  <c r="AY67" i="1"/>
  <c r="AZ67" i="1"/>
  <c r="BA67" i="1"/>
  <c r="N68" i="1"/>
  <c r="O68" i="1"/>
  <c r="P68" i="1"/>
  <c r="Q68" i="1"/>
  <c r="R68" i="1"/>
  <c r="S68" i="1"/>
  <c r="T68" i="1"/>
  <c r="U68" i="1"/>
  <c r="AD68" i="1"/>
  <c r="AE68" i="1"/>
  <c r="AF68" i="1"/>
  <c r="AG68" i="1"/>
  <c r="AH68" i="1"/>
  <c r="AI68" i="1"/>
  <c r="AJ68" i="1"/>
  <c r="AK68" i="1"/>
  <c r="AT68" i="1"/>
  <c r="AU68" i="1"/>
  <c r="AV68" i="1"/>
  <c r="AW68" i="1"/>
  <c r="AX68" i="1"/>
  <c r="AY68" i="1"/>
  <c r="AZ68" i="1"/>
  <c r="BA68" i="1"/>
  <c r="N69" i="1"/>
  <c r="O69" i="1"/>
  <c r="P69" i="1"/>
  <c r="Q69" i="1"/>
  <c r="R69" i="1"/>
  <c r="S69" i="1"/>
  <c r="T69" i="1"/>
  <c r="U69" i="1"/>
  <c r="AD69" i="1"/>
  <c r="AE69" i="1"/>
  <c r="AF69" i="1"/>
  <c r="AG69" i="1"/>
  <c r="AH69" i="1"/>
  <c r="AI69" i="1"/>
  <c r="AJ69" i="1"/>
  <c r="AK69" i="1"/>
  <c r="AT69" i="1"/>
  <c r="AU69" i="1"/>
  <c r="AV69" i="1"/>
  <c r="AW69" i="1"/>
  <c r="AX69" i="1"/>
  <c r="AY69" i="1"/>
  <c r="AZ69" i="1"/>
  <c r="BA69" i="1"/>
  <c r="N70" i="1"/>
  <c r="O70" i="1"/>
  <c r="P70" i="1"/>
  <c r="Q70" i="1"/>
  <c r="R70" i="1"/>
  <c r="S70" i="1"/>
  <c r="T70" i="1"/>
  <c r="U70" i="1"/>
  <c r="AD70" i="1"/>
  <c r="AE70" i="1"/>
  <c r="AF70" i="1"/>
  <c r="AG70" i="1"/>
  <c r="AH70" i="1"/>
  <c r="AI70" i="1"/>
  <c r="AJ70" i="1"/>
  <c r="AK70" i="1"/>
  <c r="AT70" i="1"/>
  <c r="AU70" i="1"/>
  <c r="AV70" i="1"/>
  <c r="AW70" i="1"/>
  <c r="AX70" i="1"/>
  <c r="AY70" i="1"/>
  <c r="AZ70" i="1"/>
  <c r="BA70" i="1"/>
  <c r="N71" i="1"/>
  <c r="O71" i="1"/>
  <c r="P71" i="1"/>
  <c r="Q71" i="1"/>
  <c r="R71" i="1"/>
  <c r="S71" i="1"/>
  <c r="T71" i="1"/>
  <c r="U71" i="1"/>
  <c r="AD71" i="1"/>
  <c r="AE71" i="1"/>
  <c r="AF71" i="1"/>
  <c r="AG71" i="1"/>
  <c r="AH71" i="1"/>
  <c r="AI71" i="1"/>
  <c r="AJ71" i="1"/>
  <c r="AK71" i="1"/>
  <c r="AT71" i="1"/>
  <c r="AU71" i="1"/>
  <c r="AV71" i="1"/>
  <c r="AW71" i="1"/>
  <c r="AX71" i="1"/>
  <c r="AY71" i="1"/>
  <c r="AZ71" i="1"/>
  <c r="BA71" i="1"/>
  <c r="N72" i="1"/>
  <c r="O72" i="1"/>
  <c r="P72" i="1"/>
  <c r="Q72" i="1"/>
  <c r="R72" i="1"/>
  <c r="S72" i="1"/>
  <c r="T72" i="1"/>
  <c r="U72" i="1"/>
  <c r="AD72" i="1"/>
  <c r="AE72" i="1"/>
  <c r="AF72" i="1"/>
  <c r="AG72" i="1"/>
  <c r="AH72" i="1"/>
  <c r="AI72" i="1"/>
  <c r="AJ72" i="1"/>
  <c r="AK72" i="1"/>
  <c r="AT72" i="1"/>
  <c r="AU72" i="1"/>
  <c r="AV72" i="1"/>
  <c r="AW72" i="1"/>
  <c r="AX72" i="1"/>
  <c r="AY72" i="1"/>
  <c r="AZ72" i="1"/>
  <c r="BA72" i="1"/>
  <c r="N73" i="1"/>
  <c r="O73" i="1"/>
  <c r="P73" i="1"/>
  <c r="Q73" i="1"/>
  <c r="R73" i="1"/>
  <c r="S73" i="1"/>
  <c r="T73" i="1"/>
  <c r="U73" i="1"/>
  <c r="AD73" i="1"/>
  <c r="AE73" i="1"/>
  <c r="AF73" i="1"/>
  <c r="AG73" i="1"/>
  <c r="AH73" i="1"/>
  <c r="AI73" i="1"/>
  <c r="AJ73" i="1"/>
  <c r="AK73" i="1"/>
  <c r="AT73" i="1"/>
  <c r="AU73" i="1"/>
  <c r="AV73" i="1"/>
  <c r="AW73" i="1"/>
  <c r="AX73" i="1"/>
  <c r="AY73" i="1"/>
  <c r="AZ73" i="1"/>
  <c r="BA73" i="1"/>
  <c r="N74" i="1"/>
  <c r="O74" i="1"/>
  <c r="P74" i="1"/>
  <c r="Q74" i="1"/>
  <c r="R74" i="1"/>
  <c r="S74" i="1"/>
  <c r="T74" i="1"/>
  <c r="U74" i="1"/>
  <c r="AD74" i="1"/>
  <c r="AE74" i="1"/>
  <c r="AF74" i="1"/>
  <c r="AG74" i="1"/>
  <c r="AH74" i="1"/>
  <c r="AI74" i="1"/>
  <c r="AJ74" i="1"/>
  <c r="AK74" i="1"/>
  <c r="AT74" i="1"/>
  <c r="AU74" i="1"/>
  <c r="AV74" i="1"/>
  <c r="AW74" i="1"/>
  <c r="AX74" i="1"/>
  <c r="AY74" i="1"/>
  <c r="AZ74" i="1"/>
  <c r="BA74" i="1"/>
  <c r="N75" i="1"/>
  <c r="O75" i="1"/>
  <c r="P75" i="1"/>
  <c r="Q75" i="1"/>
  <c r="R75" i="1"/>
  <c r="S75" i="1"/>
  <c r="T75" i="1"/>
  <c r="U75" i="1"/>
  <c r="AD75" i="1"/>
  <c r="AE75" i="1"/>
  <c r="AF75" i="1"/>
  <c r="AG75" i="1"/>
  <c r="AH75" i="1"/>
  <c r="AI75" i="1"/>
  <c r="AJ75" i="1"/>
  <c r="AK75" i="1"/>
  <c r="AT75" i="1"/>
  <c r="AU75" i="1"/>
  <c r="AV75" i="1"/>
  <c r="AW75" i="1"/>
  <c r="AX75" i="1"/>
  <c r="AY75" i="1"/>
  <c r="AZ75" i="1"/>
  <c r="BA75" i="1"/>
  <c r="N76" i="1"/>
  <c r="O76" i="1"/>
  <c r="P76" i="1"/>
  <c r="Q76" i="1"/>
  <c r="R76" i="1"/>
  <c r="S76" i="1"/>
  <c r="T76" i="1"/>
  <c r="U76" i="1"/>
  <c r="AD76" i="1"/>
  <c r="AE76" i="1"/>
  <c r="AF76" i="1"/>
  <c r="AG76" i="1"/>
  <c r="AH76" i="1"/>
  <c r="AI76" i="1"/>
  <c r="AJ76" i="1"/>
  <c r="AK76" i="1"/>
  <c r="AT76" i="1"/>
  <c r="AU76" i="1"/>
  <c r="AV76" i="1"/>
  <c r="AW76" i="1"/>
  <c r="AX76" i="1"/>
  <c r="AY76" i="1"/>
  <c r="AZ76" i="1"/>
  <c r="BA76" i="1"/>
  <c r="N77" i="1"/>
  <c r="O77" i="1"/>
  <c r="P77" i="1"/>
  <c r="Q77" i="1"/>
  <c r="R77" i="1"/>
  <c r="S77" i="1"/>
  <c r="T77" i="1"/>
  <c r="U77" i="1"/>
  <c r="AD77" i="1"/>
  <c r="AE77" i="1"/>
  <c r="AF77" i="1"/>
  <c r="AG77" i="1"/>
  <c r="AH77" i="1"/>
  <c r="AI77" i="1"/>
  <c r="AJ77" i="1"/>
  <c r="AK77" i="1"/>
  <c r="AT77" i="1"/>
  <c r="AU77" i="1"/>
  <c r="AV77" i="1"/>
  <c r="AW77" i="1"/>
  <c r="AX77" i="1"/>
  <c r="AY77" i="1"/>
  <c r="AZ77" i="1"/>
  <c r="BA77" i="1"/>
  <c r="N78" i="1"/>
  <c r="O78" i="1"/>
  <c r="P78" i="1"/>
  <c r="Q78" i="1"/>
  <c r="R78" i="1"/>
  <c r="S78" i="1"/>
  <c r="T78" i="1"/>
  <c r="U78" i="1"/>
  <c r="AD78" i="1"/>
  <c r="AE78" i="1"/>
  <c r="AF78" i="1"/>
  <c r="AG78" i="1"/>
  <c r="AH78" i="1"/>
  <c r="AI78" i="1"/>
  <c r="AJ78" i="1"/>
  <c r="AK78" i="1"/>
  <c r="AT78" i="1"/>
  <c r="AU78" i="1"/>
  <c r="AV78" i="1"/>
  <c r="AW78" i="1"/>
  <c r="AX78" i="1"/>
  <c r="AY78" i="1"/>
  <c r="AZ78" i="1"/>
  <c r="BA78" i="1"/>
  <c r="N79" i="1"/>
  <c r="O79" i="1"/>
  <c r="P79" i="1"/>
  <c r="Q79" i="1"/>
  <c r="R79" i="1"/>
  <c r="S79" i="1"/>
  <c r="T79" i="1"/>
  <c r="U79" i="1"/>
  <c r="AD79" i="1"/>
  <c r="AE79" i="1"/>
  <c r="AF79" i="1"/>
  <c r="AG79" i="1"/>
  <c r="AH79" i="1"/>
  <c r="AI79" i="1"/>
  <c r="AJ79" i="1"/>
  <c r="AK79" i="1"/>
  <c r="AT79" i="1"/>
  <c r="AU79" i="1"/>
  <c r="AV79" i="1"/>
  <c r="AW79" i="1"/>
  <c r="AX79" i="1"/>
  <c r="AY79" i="1"/>
  <c r="AZ79" i="1"/>
  <c r="BA79" i="1"/>
  <c r="N80" i="1"/>
  <c r="O80" i="1"/>
  <c r="P80" i="1"/>
  <c r="Q80" i="1"/>
  <c r="R80" i="1"/>
  <c r="S80" i="1"/>
  <c r="T80" i="1"/>
  <c r="U80" i="1"/>
  <c r="AD80" i="1"/>
  <c r="AE80" i="1"/>
  <c r="AF80" i="1"/>
  <c r="AG80" i="1"/>
  <c r="AH80" i="1"/>
  <c r="AI80" i="1"/>
  <c r="AJ80" i="1"/>
  <c r="AK80" i="1"/>
  <c r="AT80" i="1"/>
  <c r="AU80" i="1"/>
  <c r="AV80" i="1"/>
  <c r="AW80" i="1"/>
  <c r="AX80" i="1"/>
  <c r="AY80" i="1"/>
  <c r="AZ80" i="1"/>
  <c r="BA80" i="1"/>
  <c r="N81" i="1"/>
  <c r="O81" i="1"/>
  <c r="P81" i="1"/>
  <c r="Q81" i="1"/>
  <c r="R81" i="1"/>
  <c r="S81" i="1"/>
  <c r="T81" i="1"/>
  <c r="U81" i="1"/>
  <c r="AD81" i="1"/>
  <c r="AE81" i="1"/>
  <c r="AF81" i="1"/>
  <c r="AG81" i="1"/>
  <c r="AH81" i="1"/>
  <c r="AI81" i="1"/>
  <c r="AJ81" i="1"/>
  <c r="AK81" i="1"/>
  <c r="AT81" i="1"/>
  <c r="AU81" i="1"/>
  <c r="AV81" i="1"/>
  <c r="AW81" i="1"/>
  <c r="AX81" i="1"/>
  <c r="AY81" i="1"/>
  <c r="AZ81" i="1"/>
  <c r="BA81" i="1"/>
  <c r="N82" i="1"/>
  <c r="O82" i="1"/>
  <c r="P82" i="1"/>
  <c r="Q82" i="1"/>
  <c r="R82" i="1"/>
  <c r="S82" i="1"/>
  <c r="T82" i="1"/>
  <c r="U82" i="1"/>
  <c r="AD82" i="1"/>
  <c r="AE82" i="1"/>
  <c r="AF82" i="1"/>
  <c r="AG82" i="1"/>
  <c r="AH82" i="1"/>
  <c r="AI82" i="1"/>
  <c r="AJ82" i="1"/>
  <c r="AK82" i="1"/>
  <c r="AT82" i="1"/>
  <c r="AU82" i="1"/>
  <c r="AV82" i="1"/>
  <c r="AW82" i="1"/>
  <c r="AX82" i="1"/>
  <c r="AY82" i="1"/>
  <c r="AZ82" i="1"/>
  <c r="BA82" i="1"/>
  <c r="N83" i="1"/>
  <c r="O83" i="1"/>
  <c r="P83" i="1"/>
  <c r="Q83" i="1"/>
  <c r="R83" i="1"/>
  <c r="S83" i="1"/>
  <c r="T83" i="1"/>
  <c r="U83" i="1"/>
  <c r="AD83" i="1"/>
  <c r="AE83" i="1"/>
  <c r="AF83" i="1"/>
  <c r="AG83" i="1"/>
  <c r="AH83" i="1"/>
  <c r="AI83" i="1"/>
  <c r="AJ83" i="1"/>
  <c r="AK83" i="1"/>
  <c r="AT83" i="1"/>
  <c r="AU83" i="1"/>
  <c r="AV83" i="1"/>
  <c r="AW83" i="1"/>
  <c r="AX83" i="1"/>
  <c r="AY83" i="1"/>
  <c r="AZ83" i="1"/>
  <c r="BA83" i="1"/>
  <c r="N84" i="1"/>
  <c r="O84" i="1"/>
  <c r="P84" i="1"/>
  <c r="Q84" i="1"/>
  <c r="R84" i="1"/>
  <c r="S84" i="1"/>
  <c r="T84" i="1"/>
  <c r="U84" i="1"/>
  <c r="AD84" i="1"/>
  <c r="AE84" i="1"/>
  <c r="AF84" i="1"/>
  <c r="AG84" i="1"/>
  <c r="AH84" i="1"/>
  <c r="AI84" i="1"/>
  <c r="AJ84" i="1"/>
  <c r="AK84" i="1"/>
  <c r="AT84" i="1"/>
  <c r="AU84" i="1"/>
  <c r="AV84" i="1"/>
  <c r="AW84" i="1"/>
  <c r="AX84" i="1"/>
  <c r="AY84" i="1"/>
  <c r="AZ84" i="1"/>
  <c r="BA84" i="1"/>
  <c r="N85" i="1"/>
  <c r="O85" i="1"/>
  <c r="P85" i="1"/>
  <c r="Q85" i="1"/>
  <c r="R85" i="1"/>
  <c r="S85" i="1"/>
  <c r="T85" i="1"/>
  <c r="U85" i="1"/>
  <c r="AD85" i="1"/>
  <c r="AE85" i="1"/>
  <c r="AF85" i="1"/>
  <c r="AG85" i="1"/>
  <c r="AH85" i="1"/>
  <c r="AI85" i="1"/>
  <c r="AJ85" i="1"/>
  <c r="AK85" i="1"/>
  <c r="AT85" i="1"/>
  <c r="AU85" i="1"/>
  <c r="AV85" i="1"/>
  <c r="AW85" i="1"/>
  <c r="AX85" i="1"/>
  <c r="AY85" i="1"/>
  <c r="AZ85" i="1"/>
  <c r="BA85" i="1"/>
  <c r="N86" i="1"/>
  <c r="O86" i="1"/>
  <c r="P86" i="1"/>
  <c r="Q86" i="1"/>
  <c r="R86" i="1"/>
  <c r="S86" i="1"/>
  <c r="T86" i="1"/>
  <c r="U86" i="1"/>
  <c r="AD86" i="1"/>
  <c r="AE86" i="1"/>
  <c r="AF86" i="1"/>
  <c r="AG86" i="1"/>
  <c r="AH86" i="1"/>
  <c r="AI86" i="1"/>
  <c r="AJ86" i="1"/>
  <c r="AK86" i="1"/>
  <c r="AT86" i="1"/>
  <c r="AU86" i="1"/>
  <c r="AV86" i="1"/>
  <c r="AW86" i="1"/>
  <c r="AX86" i="1"/>
  <c r="AY86" i="1"/>
  <c r="AZ86" i="1"/>
  <c r="BA86" i="1"/>
  <c r="N87" i="1"/>
  <c r="O87" i="1"/>
  <c r="P87" i="1"/>
  <c r="Q87" i="1"/>
  <c r="R87" i="1"/>
  <c r="S87" i="1"/>
  <c r="T87" i="1"/>
  <c r="U87" i="1"/>
  <c r="AD87" i="1"/>
  <c r="AE87" i="1"/>
  <c r="AF87" i="1"/>
  <c r="AG87" i="1"/>
  <c r="AH87" i="1"/>
  <c r="AI87" i="1"/>
  <c r="AJ87" i="1"/>
  <c r="AK87" i="1"/>
  <c r="AT87" i="1"/>
  <c r="AU87" i="1"/>
  <c r="AV87" i="1"/>
  <c r="AW87" i="1"/>
  <c r="AX87" i="1"/>
  <c r="AY87" i="1"/>
  <c r="AZ87" i="1"/>
  <c r="BA87" i="1"/>
  <c r="N88" i="1"/>
  <c r="O88" i="1"/>
  <c r="P88" i="1"/>
  <c r="Q88" i="1"/>
  <c r="R88" i="1"/>
  <c r="S88" i="1"/>
  <c r="T88" i="1"/>
  <c r="U88" i="1"/>
  <c r="AD88" i="1"/>
  <c r="AE88" i="1"/>
  <c r="AF88" i="1"/>
  <c r="AG88" i="1"/>
  <c r="AH88" i="1"/>
  <c r="AI88" i="1"/>
  <c r="AJ88" i="1"/>
  <c r="AK88" i="1"/>
  <c r="AT88" i="1"/>
  <c r="AU88" i="1"/>
  <c r="AV88" i="1"/>
  <c r="AW88" i="1"/>
  <c r="AX88" i="1"/>
  <c r="AY88" i="1"/>
  <c r="AZ88" i="1"/>
  <c r="BA88" i="1"/>
  <c r="N89" i="1"/>
  <c r="O89" i="1"/>
  <c r="P89" i="1"/>
  <c r="Q89" i="1"/>
  <c r="R89" i="1"/>
  <c r="S89" i="1"/>
  <c r="T89" i="1"/>
  <c r="U89" i="1"/>
  <c r="AD89" i="1"/>
  <c r="AE89" i="1"/>
  <c r="AF89" i="1"/>
  <c r="AG89" i="1"/>
  <c r="AH89" i="1"/>
  <c r="AI89" i="1"/>
  <c r="AJ89" i="1"/>
  <c r="AK89" i="1"/>
  <c r="AT89" i="1"/>
  <c r="AU89" i="1"/>
  <c r="AV89" i="1"/>
  <c r="AW89" i="1"/>
  <c r="AX89" i="1"/>
  <c r="AY89" i="1"/>
  <c r="AZ89" i="1"/>
  <c r="BA89" i="1"/>
  <c r="N90" i="1"/>
  <c r="O90" i="1"/>
  <c r="P90" i="1"/>
  <c r="Q90" i="1"/>
  <c r="R90" i="1"/>
  <c r="S90" i="1"/>
  <c r="T90" i="1"/>
  <c r="U90" i="1"/>
  <c r="AD90" i="1"/>
  <c r="AE90" i="1"/>
  <c r="AF90" i="1"/>
  <c r="AG90" i="1"/>
  <c r="AH90" i="1"/>
  <c r="AI90" i="1"/>
  <c r="AJ90" i="1"/>
  <c r="AK90" i="1"/>
  <c r="AT90" i="1"/>
  <c r="AU90" i="1"/>
  <c r="AV90" i="1"/>
  <c r="AW90" i="1"/>
  <c r="AX90" i="1"/>
  <c r="AY90" i="1"/>
  <c r="AZ90" i="1"/>
  <c r="BA90" i="1"/>
  <c r="N91" i="1"/>
  <c r="O91" i="1"/>
  <c r="P91" i="1"/>
  <c r="Q91" i="1"/>
  <c r="R91" i="1"/>
  <c r="S91" i="1"/>
  <c r="T91" i="1"/>
  <c r="U91" i="1"/>
  <c r="AD91" i="1"/>
  <c r="AE91" i="1"/>
  <c r="AF91" i="1"/>
  <c r="AG91" i="1"/>
  <c r="AH91" i="1"/>
  <c r="AI91" i="1"/>
  <c r="AJ91" i="1"/>
  <c r="AK91" i="1"/>
  <c r="AT91" i="1"/>
  <c r="AU91" i="1"/>
  <c r="AV91" i="1"/>
  <c r="AW91" i="1"/>
  <c r="AX91" i="1"/>
  <c r="AY91" i="1"/>
  <c r="AZ91" i="1"/>
  <c r="BA91" i="1"/>
  <c r="N92" i="1"/>
  <c r="O92" i="1"/>
  <c r="P92" i="1"/>
  <c r="Q92" i="1"/>
  <c r="R92" i="1"/>
  <c r="S92" i="1"/>
  <c r="T92" i="1"/>
  <c r="U92" i="1"/>
  <c r="AD92" i="1"/>
  <c r="AE92" i="1"/>
  <c r="AF92" i="1"/>
  <c r="AG92" i="1"/>
  <c r="AH92" i="1"/>
  <c r="AI92" i="1"/>
  <c r="AJ92" i="1"/>
  <c r="AK92" i="1"/>
  <c r="AT92" i="1"/>
  <c r="AU92" i="1"/>
  <c r="AV92" i="1"/>
  <c r="AW92" i="1"/>
  <c r="AX92" i="1"/>
  <c r="AY92" i="1"/>
  <c r="AZ92" i="1"/>
  <c r="BA92" i="1"/>
  <c r="N93" i="1"/>
  <c r="O93" i="1"/>
  <c r="P93" i="1"/>
  <c r="Q93" i="1"/>
  <c r="R93" i="1"/>
  <c r="S93" i="1"/>
  <c r="T93" i="1"/>
  <c r="U93" i="1"/>
  <c r="AD93" i="1"/>
  <c r="AE93" i="1"/>
  <c r="AF93" i="1"/>
  <c r="AG93" i="1"/>
  <c r="AH93" i="1"/>
  <c r="AI93" i="1"/>
  <c r="AJ93" i="1"/>
  <c r="AK93" i="1"/>
  <c r="AT93" i="1"/>
  <c r="AU93" i="1"/>
  <c r="AV93" i="1"/>
  <c r="AW93" i="1"/>
  <c r="AX93" i="1"/>
  <c r="AY93" i="1"/>
  <c r="AZ93" i="1"/>
  <c r="BA93" i="1"/>
  <c r="N94" i="1"/>
  <c r="O94" i="1"/>
  <c r="P94" i="1"/>
  <c r="Q94" i="1"/>
  <c r="R94" i="1"/>
  <c r="S94" i="1"/>
  <c r="T94" i="1"/>
  <c r="U94" i="1"/>
  <c r="AD94" i="1"/>
  <c r="AE94" i="1"/>
  <c r="AF94" i="1"/>
  <c r="AG94" i="1"/>
  <c r="AH94" i="1"/>
  <c r="AI94" i="1"/>
  <c r="AJ94" i="1"/>
  <c r="AK94" i="1"/>
  <c r="AT94" i="1"/>
  <c r="AU94" i="1"/>
  <c r="AV94" i="1"/>
  <c r="AW94" i="1"/>
  <c r="AX94" i="1"/>
  <c r="AY94" i="1"/>
  <c r="AZ94" i="1"/>
  <c r="BA94" i="1"/>
  <c r="N95" i="1"/>
  <c r="O95" i="1"/>
  <c r="P95" i="1"/>
  <c r="Q95" i="1"/>
  <c r="R95" i="1"/>
  <c r="S95" i="1"/>
  <c r="T95" i="1"/>
  <c r="U95" i="1"/>
  <c r="AD95" i="1"/>
  <c r="AE95" i="1"/>
  <c r="AF95" i="1"/>
  <c r="AG95" i="1"/>
  <c r="AH95" i="1"/>
  <c r="AI95" i="1"/>
  <c r="AJ95" i="1"/>
  <c r="AK95" i="1"/>
  <c r="AT95" i="1"/>
  <c r="AU95" i="1"/>
  <c r="AV95" i="1"/>
  <c r="AW95" i="1"/>
  <c r="AX95" i="1"/>
  <c r="AY95" i="1"/>
  <c r="AZ95" i="1"/>
  <c r="BA95" i="1"/>
  <c r="N96" i="1"/>
  <c r="O96" i="1"/>
  <c r="P96" i="1"/>
  <c r="Q96" i="1"/>
  <c r="R96" i="1"/>
  <c r="S96" i="1"/>
  <c r="T96" i="1"/>
  <c r="U96" i="1"/>
  <c r="AD96" i="1"/>
  <c r="AE96" i="1"/>
  <c r="AF96" i="1"/>
  <c r="AG96" i="1"/>
  <c r="AH96" i="1"/>
  <c r="AI96" i="1"/>
  <c r="AJ96" i="1"/>
  <c r="AK96" i="1"/>
  <c r="AT96" i="1"/>
  <c r="AU96" i="1"/>
  <c r="AV96" i="1"/>
  <c r="AW96" i="1"/>
  <c r="AX96" i="1"/>
  <c r="AY96" i="1"/>
  <c r="AZ96" i="1"/>
  <c r="BA96" i="1"/>
  <c r="N97" i="1"/>
  <c r="O97" i="1"/>
  <c r="P97" i="1"/>
  <c r="Q97" i="1"/>
  <c r="R97" i="1"/>
  <c r="S97" i="1"/>
  <c r="T97" i="1"/>
  <c r="U97" i="1"/>
  <c r="AD97" i="1"/>
  <c r="AE97" i="1"/>
  <c r="AF97" i="1"/>
  <c r="AG97" i="1"/>
  <c r="AH97" i="1"/>
  <c r="AI97" i="1"/>
  <c r="AJ97" i="1"/>
  <c r="AK97" i="1"/>
  <c r="AT97" i="1"/>
  <c r="AU97" i="1"/>
  <c r="AV97" i="1"/>
  <c r="AW97" i="1"/>
  <c r="AX97" i="1"/>
  <c r="AY97" i="1"/>
  <c r="AZ97" i="1"/>
  <c r="BA97" i="1"/>
  <c r="N98" i="1"/>
  <c r="O98" i="1"/>
  <c r="P98" i="1"/>
  <c r="Q98" i="1"/>
  <c r="R98" i="1"/>
  <c r="S98" i="1"/>
  <c r="T98" i="1"/>
  <c r="U98" i="1"/>
  <c r="AD98" i="1"/>
  <c r="AE98" i="1"/>
  <c r="AF98" i="1"/>
  <c r="AG98" i="1"/>
  <c r="AH98" i="1"/>
  <c r="AI98" i="1"/>
  <c r="AJ98" i="1"/>
  <c r="AK98" i="1"/>
  <c r="AT98" i="1"/>
  <c r="AU98" i="1"/>
  <c r="AV98" i="1"/>
  <c r="AW98" i="1"/>
  <c r="AX98" i="1"/>
  <c r="AY98" i="1"/>
  <c r="AZ98" i="1"/>
  <c r="BA98" i="1"/>
  <c r="N99" i="1"/>
  <c r="O99" i="1"/>
  <c r="P99" i="1"/>
  <c r="Q99" i="1"/>
  <c r="R99" i="1"/>
  <c r="S99" i="1"/>
  <c r="T99" i="1"/>
  <c r="U99" i="1"/>
  <c r="AD99" i="1"/>
  <c r="AE99" i="1"/>
  <c r="AF99" i="1"/>
  <c r="AG99" i="1"/>
  <c r="AH99" i="1"/>
  <c r="AI99" i="1"/>
  <c r="AJ99" i="1"/>
  <c r="AK99" i="1"/>
  <c r="AT99" i="1"/>
  <c r="AU99" i="1"/>
  <c r="AV99" i="1"/>
  <c r="AW99" i="1"/>
  <c r="AX99" i="1"/>
  <c r="AY99" i="1"/>
  <c r="AZ99" i="1"/>
  <c r="BA99" i="1"/>
  <c r="N100" i="1"/>
  <c r="O100" i="1"/>
  <c r="P100" i="1"/>
  <c r="Q100" i="1"/>
  <c r="R100" i="1"/>
  <c r="S100" i="1"/>
  <c r="T100" i="1"/>
  <c r="U100" i="1"/>
  <c r="AD100" i="1"/>
  <c r="AE100" i="1"/>
  <c r="AF100" i="1"/>
  <c r="AG100" i="1"/>
  <c r="AH100" i="1"/>
  <c r="AI100" i="1"/>
  <c r="AJ100" i="1"/>
  <c r="AK100" i="1"/>
  <c r="AT100" i="1"/>
  <c r="AU100" i="1"/>
  <c r="AV100" i="1"/>
  <c r="AW100" i="1"/>
  <c r="AX100" i="1"/>
  <c r="AY100" i="1"/>
  <c r="AZ100" i="1"/>
  <c r="BA100" i="1"/>
  <c r="N101" i="1"/>
  <c r="O101" i="1"/>
  <c r="P101" i="1"/>
  <c r="Q101" i="1"/>
  <c r="R101" i="1"/>
  <c r="S101" i="1"/>
  <c r="T101" i="1"/>
  <c r="U101" i="1"/>
  <c r="AD101" i="1"/>
  <c r="AE101" i="1"/>
  <c r="AF101" i="1"/>
  <c r="AG101" i="1"/>
  <c r="AH101" i="1"/>
  <c r="AI101" i="1"/>
  <c r="AJ101" i="1"/>
  <c r="AK101" i="1"/>
  <c r="AT101" i="1"/>
  <c r="AU101" i="1"/>
  <c r="AV101" i="1"/>
  <c r="AW101" i="1"/>
  <c r="AX101" i="1"/>
  <c r="AY101" i="1"/>
  <c r="AZ101" i="1"/>
  <c r="BA101" i="1"/>
  <c r="N102" i="1"/>
  <c r="O102" i="1"/>
  <c r="P102" i="1"/>
  <c r="Q102" i="1"/>
  <c r="R102" i="1"/>
  <c r="S102" i="1"/>
  <c r="T102" i="1"/>
  <c r="U102" i="1"/>
  <c r="AD102" i="1"/>
  <c r="AE102" i="1"/>
  <c r="AF102" i="1"/>
  <c r="AG102" i="1"/>
  <c r="AH102" i="1"/>
  <c r="AI102" i="1"/>
  <c r="AJ102" i="1"/>
  <c r="AK102" i="1"/>
  <c r="AT102" i="1"/>
  <c r="AU102" i="1"/>
  <c r="AV102" i="1"/>
  <c r="AW102" i="1"/>
  <c r="AX102" i="1"/>
  <c r="AY102" i="1"/>
  <c r="AZ102" i="1"/>
  <c r="BA102" i="1"/>
  <c r="N103" i="1"/>
  <c r="O103" i="1"/>
  <c r="P103" i="1"/>
  <c r="Q103" i="1"/>
  <c r="R103" i="1"/>
  <c r="S103" i="1"/>
  <c r="T103" i="1"/>
  <c r="U103" i="1"/>
  <c r="AD103" i="1"/>
  <c r="AE103" i="1"/>
  <c r="AF103" i="1"/>
  <c r="AG103" i="1"/>
  <c r="AH103" i="1"/>
  <c r="AI103" i="1"/>
  <c r="AJ103" i="1"/>
  <c r="AK103" i="1"/>
  <c r="AT103" i="1"/>
  <c r="AU103" i="1"/>
  <c r="AV103" i="1"/>
  <c r="AW103" i="1"/>
  <c r="AX103" i="1"/>
  <c r="AY103" i="1"/>
  <c r="AZ103" i="1"/>
  <c r="BA103" i="1"/>
  <c r="N104" i="1"/>
  <c r="O104" i="1"/>
  <c r="P104" i="1"/>
  <c r="Q104" i="1"/>
  <c r="R104" i="1"/>
  <c r="S104" i="1"/>
  <c r="T104" i="1"/>
  <c r="U104" i="1"/>
  <c r="AD104" i="1"/>
  <c r="AE104" i="1"/>
  <c r="AF104" i="1"/>
  <c r="AG104" i="1"/>
  <c r="AH104" i="1"/>
  <c r="AI104" i="1"/>
  <c r="AJ104" i="1"/>
  <c r="AK104" i="1"/>
  <c r="AT104" i="1"/>
  <c r="AU104" i="1"/>
  <c r="AV104" i="1"/>
  <c r="AW104" i="1"/>
  <c r="AX104" i="1"/>
  <c r="AY104" i="1"/>
  <c r="AZ104" i="1"/>
  <c r="BA104" i="1"/>
  <c r="N105" i="1"/>
  <c r="O105" i="1"/>
  <c r="P105" i="1"/>
  <c r="Q105" i="1"/>
  <c r="R105" i="1"/>
  <c r="S105" i="1"/>
  <c r="T105" i="1"/>
  <c r="U105" i="1"/>
  <c r="AD105" i="1"/>
  <c r="AE105" i="1"/>
  <c r="AF105" i="1"/>
  <c r="AG105" i="1"/>
  <c r="AH105" i="1"/>
  <c r="AI105" i="1"/>
  <c r="AJ105" i="1"/>
  <c r="AK105" i="1"/>
  <c r="AT105" i="1"/>
  <c r="AU105" i="1"/>
  <c r="AV105" i="1"/>
  <c r="AW105" i="1"/>
  <c r="AX105" i="1"/>
  <c r="AY105" i="1"/>
  <c r="AZ105" i="1"/>
  <c r="BA105" i="1"/>
  <c r="N106" i="1"/>
  <c r="O106" i="1"/>
  <c r="P106" i="1"/>
  <c r="Q106" i="1"/>
  <c r="R106" i="1"/>
  <c r="S106" i="1"/>
  <c r="T106" i="1"/>
  <c r="U106" i="1"/>
  <c r="AD106" i="1"/>
  <c r="AE106" i="1"/>
  <c r="AF106" i="1"/>
  <c r="AG106" i="1"/>
  <c r="AH106" i="1"/>
  <c r="AI106" i="1"/>
  <c r="AJ106" i="1"/>
  <c r="AK106" i="1"/>
  <c r="AT106" i="1"/>
  <c r="AU106" i="1"/>
  <c r="AV106" i="1"/>
  <c r="AW106" i="1"/>
  <c r="AX106" i="1"/>
  <c r="AY106" i="1"/>
  <c r="AZ106" i="1"/>
  <c r="BA106" i="1"/>
  <c r="N107" i="1"/>
  <c r="O107" i="1"/>
  <c r="P107" i="1"/>
  <c r="Q107" i="1"/>
  <c r="R107" i="1"/>
  <c r="S107" i="1"/>
  <c r="T107" i="1"/>
  <c r="U107" i="1"/>
  <c r="AD107" i="1"/>
  <c r="AE107" i="1"/>
  <c r="AF107" i="1"/>
  <c r="AG107" i="1"/>
  <c r="AH107" i="1"/>
  <c r="AI107" i="1"/>
  <c r="AJ107" i="1"/>
  <c r="AK107" i="1"/>
  <c r="AT107" i="1"/>
  <c r="AU107" i="1"/>
  <c r="AV107" i="1"/>
  <c r="AW107" i="1"/>
  <c r="AX107" i="1"/>
  <c r="AY107" i="1"/>
  <c r="AZ107" i="1"/>
  <c r="BA107" i="1"/>
  <c r="N108" i="1"/>
  <c r="O108" i="1"/>
  <c r="P108" i="1"/>
  <c r="Q108" i="1"/>
  <c r="R108" i="1"/>
  <c r="S108" i="1"/>
  <c r="T108" i="1"/>
  <c r="U108" i="1"/>
  <c r="AD108" i="1"/>
  <c r="AE108" i="1"/>
  <c r="AF108" i="1"/>
  <c r="AG108" i="1"/>
  <c r="AH108" i="1"/>
  <c r="AI108" i="1"/>
  <c r="AJ108" i="1"/>
  <c r="AK108" i="1"/>
  <c r="AT108" i="1"/>
  <c r="AU108" i="1"/>
  <c r="AV108" i="1"/>
  <c r="AW108" i="1"/>
  <c r="AX108" i="1"/>
  <c r="AY108" i="1"/>
  <c r="AZ108" i="1"/>
  <c r="BA108" i="1"/>
  <c r="N109" i="1"/>
  <c r="O109" i="1"/>
  <c r="P109" i="1"/>
  <c r="Q109" i="1"/>
  <c r="R109" i="1"/>
  <c r="S109" i="1"/>
  <c r="T109" i="1"/>
  <c r="U109" i="1"/>
  <c r="AD109" i="1"/>
  <c r="AE109" i="1"/>
  <c r="AF109" i="1"/>
  <c r="AG109" i="1"/>
  <c r="AH109" i="1"/>
  <c r="AI109" i="1"/>
  <c r="AJ109" i="1"/>
  <c r="AK109" i="1"/>
  <c r="AT109" i="1"/>
  <c r="AU109" i="1"/>
  <c r="AV109" i="1"/>
  <c r="AW109" i="1"/>
  <c r="AX109" i="1"/>
  <c r="AY109" i="1"/>
  <c r="AZ109" i="1"/>
  <c r="BA109" i="1"/>
  <c r="N110" i="1"/>
  <c r="O110" i="1"/>
  <c r="P110" i="1"/>
  <c r="Q110" i="1"/>
  <c r="R110" i="1"/>
  <c r="S110" i="1"/>
  <c r="T110" i="1"/>
  <c r="U110" i="1"/>
  <c r="AD110" i="1"/>
  <c r="AE110" i="1"/>
  <c r="AF110" i="1"/>
  <c r="AG110" i="1"/>
  <c r="AH110" i="1"/>
  <c r="AI110" i="1"/>
  <c r="AJ110" i="1"/>
  <c r="AK110" i="1"/>
  <c r="AT110" i="1"/>
  <c r="AU110" i="1"/>
  <c r="AV110" i="1"/>
  <c r="AW110" i="1"/>
  <c r="AX110" i="1"/>
  <c r="AY110" i="1"/>
  <c r="AZ110" i="1"/>
  <c r="BA110" i="1"/>
  <c r="N111" i="1"/>
  <c r="O111" i="1"/>
  <c r="P111" i="1"/>
  <c r="Q111" i="1"/>
  <c r="R111" i="1"/>
  <c r="S111" i="1"/>
  <c r="T111" i="1"/>
  <c r="U111" i="1"/>
  <c r="AD111" i="1"/>
  <c r="AE111" i="1"/>
  <c r="AF111" i="1"/>
  <c r="AG111" i="1"/>
  <c r="AH111" i="1"/>
  <c r="AI111" i="1"/>
  <c r="AJ111" i="1"/>
  <c r="AK111" i="1"/>
  <c r="AT111" i="1"/>
  <c r="AU111" i="1"/>
  <c r="AV111" i="1"/>
  <c r="AW111" i="1"/>
  <c r="AX111" i="1"/>
  <c r="AY111" i="1"/>
  <c r="AZ111" i="1"/>
  <c r="BA111" i="1"/>
  <c r="N112" i="1"/>
  <c r="O112" i="1"/>
  <c r="P112" i="1"/>
  <c r="Q112" i="1"/>
  <c r="R112" i="1"/>
  <c r="S112" i="1"/>
  <c r="T112" i="1"/>
  <c r="U112" i="1"/>
  <c r="AD112" i="1"/>
  <c r="AE112" i="1"/>
  <c r="AF112" i="1"/>
  <c r="AG112" i="1"/>
  <c r="AH112" i="1"/>
  <c r="AI112" i="1"/>
  <c r="AJ112" i="1"/>
  <c r="AK112" i="1"/>
  <c r="AT112" i="1"/>
  <c r="AU112" i="1"/>
  <c r="AV112" i="1"/>
  <c r="AW112" i="1"/>
  <c r="AX112" i="1"/>
  <c r="AY112" i="1"/>
  <c r="AZ112" i="1"/>
  <c r="BA112" i="1"/>
  <c r="N113" i="1"/>
  <c r="O113" i="1"/>
  <c r="P113" i="1"/>
  <c r="Q113" i="1"/>
  <c r="R113" i="1"/>
  <c r="S113" i="1"/>
  <c r="T113" i="1"/>
  <c r="U113" i="1"/>
  <c r="AD113" i="1"/>
  <c r="AE113" i="1"/>
  <c r="AF113" i="1"/>
  <c r="AG113" i="1"/>
  <c r="AH113" i="1"/>
  <c r="AI113" i="1"/>
  <c r="AJ113" i="1"/>
  <c r="AK113" i="1"/>
  <c r="AT113" i="1"/>
  <c r="AU113" i="1"/>
  <c r="AV113" i="1"/>
  <c r="AW113" i="1"/>
  <c r="AX113" i="1"/>
  <c r="AY113" i="1"/>
  <c r="AZ113" i="1"/>
  <c r="BA113" i="1"/>
  <c r="N114" i="1"/>
  <c r="O114" i="1"/>
  <c r="P114" i="1"/>
  <c r="Q114" i="1"/>
  <c r="R114" i="1"/>
  <c r="S114" i="1"/>
  <c r="T114" i="1"/>
  <c r="U114" i="1"/>
  <c r="AD114" i="1"/>
  <c r="AE114" i="1"/>
  <c r="AF114" i="1"/>
  <c r="AG114" i="1"/>
  <c r="AH114" i="1"/>
  <c r="AI114" i="1"/>
  <c r="AJ114" i="1"/>
  <c r="AK114" i="1"/>
  <c r="AT114" i="1"/>
  <c r="AU114" i="1"/>
  <c r="AV114" i="1"/>
  <c r="AW114" i="1"/>
  <c r="AX114" i="1"/>
  <c r="AY114" i="1"/>
  <c r="AZ114" i="1"/>
  <c r="BA114" i="1"/>
  <c r="N115" i="1"/>
  <c r="O115" i="1"/>
  <c r="P115" i="1"/>
  <c r="Q115" i="1"/>
  <c r="R115" i="1"/>
  <c r="S115" i="1"/>
  <c r="T115" i="1"/>
  <c r="U115" i="1"/>
  <c r="AD115" i="1"/>
  <c r="AE115" i="1"/>
  <c r="AF115" i="1"/>
  <c r="AG115" i="1"/>
  <c r="AH115" i="1"/>
  <c r="AI115" i="1"/>
  <c r="AJ115" i="1"/>
  <c r="AK115" i="1"/>
  <c r="AT115" i="1"/>
  <c r="AU115" i="1"/>
  <c r="AV115" i="1"/>
  <c r="AW115" i="1"/>
  <c r="AX115" i="1"/>
  <c r="AY115" i="1"/>
  <c r="AZ115" i="1"/>
  <c r="BA115" i="1"/>
  <c r="N116" i="1"/>
  <c r="O116" i="1"/>
  <c r="P116" i="1"/>
  <c r="Q116" i="1"/>
  <c r="R116" i="1"/>
  <c r="S116" i="1"/>
  <c r="T116" i="1"/>
  <c r="U116" i="1"/>
  <c r="AD116" i="1"/>
  <c r="AE116" i="1"/>
  <c r="AF116" i="1"/>
  <c r="AG116" i="1"/>
  <c r="AH116" i="1"/>
  <c r="AI116" i="1"/>
  <c r="AJ116" i="1"/>
  <c r="AK116" i="1"/>
  <c r="AT116" i="1"/>
  <c r="AU116" i="1"/>
  <c r="AV116" i="1"/>
  <c r="AW116" i="1"/>
  <c r="AX116" i="1"/>
  <c r="AY116" i="1"/>
  <c r="AZ116" i="1"/>
  <c r="BA116" i="1"/>
  <c r="N117" i="1"/>
  <c r="O117" i="1"/>
  <c r="P117" i="1"/>
  <c r="Q117" i="1"/>
  <c r="R117" i="1"/>
  <c r="S117" i="1"/>
  <c r="T117" i="1"/>
  <c r="U117" i="1"/>
  <c r="AD117" i="1"/>
  <c r="AE117" i="1"/>
  <c r="AF117" i="1"/>
  <c r="AG117" i="1"/>
  <c r="AH117" i="1"/>
  <c r="AI117" i="1"/>
  <c r="AJ117" i="1"/>
  <c r="AK117" i="1"/>
  <c r="AT117" i="1"/>
  <c r="AU117" i="1"/>
  <c r="AV117" i="1"/>
  <c r="AW117" i="1"/>
  <c r="AX117" i="1"/>
  <c r="AY117" i="1"/>
  <c r="AZ117" i="1"/>
  <c r="BA117" i="1"/>
  <c r="N118" i="1"/>
  <c r="O118" i="1"/>
  <c r="P118" i="1"/>
  <c r="Q118" i="1"/>
  <c r="R118" i="1"/>
  <c r="S118" i="1"/>
  <c r="T118" i="1"/>
  <c r="U118" i="1"/>
  <c r="AD118" i="1"/>
  <c r="AE118" i="1"/>
  <c r="AF118" i="1"/>
  <c r="AG118" i="1"/>
  <c r="AH118" i="1"/>
  <c r="AI118" i="1"/>
  <c r="AJ118" i="1"/>
  <c r="AK118" i="1"/>
  <c r="AT118" i="1"/>
  <c r="AU118" i="1"/>
  <c r="AV118" i="1"/>
  <c r="AW118" i="1"/>
  <c r="AX118" i="1"/>
  <c r="AY118" i="1"/>
  <c r="AZ118" i="1"/>
  <c r="BA118" i="1"/>
  <c r="N119" i="1"/>
  <c r="O119" i="1"/>
  <c r="P119" i="1"/>
  <c r="Q119" i="1"/>
  <c r="R119" i="1"/>
  <c r="S119" i="1"/>
  <c r="T119" i="1"/>
  <c r="U119" i="1"/>
  <c r="AD119" i="1"/>
  <c r="AE119" i="1"/>
  <c r="AF119" i="1"/>
  <c r="AG119" i="1"/>
  <c r="AH119" i="1"/>
  <c r="AI119" i="1"/>
  <c r="AJ119" i="1"/>
  <c r="AK119" i="1"/>
  <c r="AT119" i="1"/>
  <c r="AU119" i="1"/>
  <c r="AV119" i="1"/>
  <c r="AW119" i="1"/>
  <c r="AX119" i="1"/>
  <c r="AY119" i="1"/>
  <c r="AZ119" i="1"/>
  <c r="BA119" i="1"/>
  <c r="N120" i="1"/>
  <c r="O120" i="1"/>
  <c r="P120" i="1"/>
  <c r="Q120" i="1"/>
  <c r="R120" i="1"/>
  <c r="S120" i="1"/>
  <c r="T120" i="1"/>
  <c r="U120" i="1"/>
  <c r="AD120" i="1"/>
  <c r="AE120" i="1"/>
  <c r="AF120" i="1"/>
  <c r="AG120" i="1"/>
  <c r="AH120" i="1"/>
  <c r="AI120" i="1"/>
  <c r="AJ120" i="1"/>
  <c r="AK120" i="1"/>
  <c r="AT120" i="1"/>
  <c r="AU120" i="1"/>
  <c r="AV120" i="1"/>
  <c r="AW120" i="1"/>
  <c r="AX120" i="1"/>
  <c r="AY120" i="1"/>
  <c r="AZ120" i="1"/>
  <c r="BA120" i="1"/>
  <c r="N121" i="1"/>
  <c r="O121" i="1"/>
  <c r="P121" i="1"/>
  <c r="Q121" i="1"/>
  <c r="R121" i="1"/>
  <c r="S121" i="1"/>
  <c r="T121" i="1"/>
  <c r="U121" i="1"/>
  <c r="AD121" i="1"/>
  <c r="AE121" i="1"/>
  <c r="AF121" i="1"/>
  <c r="AG121" i="1"/>
  <c r="AH121" i="1"/>
  <c r="AI121" i="1"/>
  <c r="AJ121" i="1"/>
  <c r="AK121" i="1"/>
  <c r="AT121" i="1"/>
  <c r="AU121" i="1"/>
  <c r="AV121" i="1"/>
  <c r="AW121" i="1"/>
  <c r="AX121" i="1"/>
  <c r="AY121" i="1"/>
  <c r="AZ121" i="1"/>
  <c r="BA121" i="1"/>
  <c r="N122" i="1"/>
  <c r="O122" i="1"/>
  <c r="P122" i="1"/>
  <c r="Q122" i="1"/>
  <c r="R122" i="1"/>
  <c r="S122" i="1"/>
  <c r="T122" i="1"/>
  <c r="U122" i="1"/>
  <c r="AD122" i="1"/>
  <c r="AE122" i="1"/>
  <c r="AF122" i="1"/>
  <c r="AG122" i="1"/>
  <c r="AH122" i="1"/>
  <c r="AI122" i="1"/>
  <c r="AJ122" i="1"/>
  <c r="AK122" i="1"/>
  <c r="AT122" i="1"/>
  <c r="AU122" i="1"/>
  <c r="AV122" i="1"/>
  <c r="AW122" i="1"/>
  <c r="AX122" i="1"/>
  <c r="AY122" i="1"/>
  <c r="AZ122" i="1"/>
  <c r="BA122" i="1"/>
  <c r="N123" i="1"/>
  <c r="O123" i="1"/>
  <c r="P123" i="1"/>
  <c r="Q123" i="1"/>
  <c r="R123" i="1"/>
  <c r="S123" i="1"/>
  <c r="T123" i="1"/>
  <c r="U123" i="1"/>
  <c r="AD123" i="1"/>
  <c r="AE123" i="1"/>
  <c r="AF123" i="1"/>
  <c r="AG123" i="1"/>
  <c r="AH123" i="1"/>
  <c r="AI123" i="1"/>
  <c r="AJ123" i="1"/>
  <c r="AK123" i="1"/>
  <c r="AT123" i="1"/>
  <c r="AU123" i="1"/>
  <c r="AV123" i="1"/>
  <c r="AW123" i="1"/>
  <c r="AX123" i="1"/>
  <c r="AY123" i="1"/>
  <c r="AZ123" i="1"/>
  <c r="BA123" i="1"/>
  <c r="N124" i="1"/>
  <c r="O124" i="1"/>
  <c r="P124" i="1"/>
  <c r="Q124" i="1"/>
  <c r="R124" i="1"/>
  <c r="S124" i="1"/>
  <c r="T124" i="1"/>
  <c r="U124" i="1"/>
  <c r="AD124" i="1"/>
  <c r="AE124" i="1"/>
  <c r="AF124" i="1"/>
  <c r="AG124" i="1"/>
  <c r="AH124" i="1"/>
  <c r="AI124" i="1"/>
  <c r="AJ124" i="1"/>
  <c r="AK124" i="1"/>
  <c r="AT124" i="1"/>
  <c r="AU124" i="1"/>
  <c r="AV124" i="1"/>
  <c r="AW124" i="1"/>
  <c r="AX124" i="1"/>
  <c r="AY124" i="1"/>
  <c r="AZ124" i="1"/>
  <c r="BA124" i="1"/>
  <c r="N125" i="1"/>
  <c r="O125" i="1"/>
  <c r="P125" i="1"/>
  <c r="Q125" i="1"/>
  <c r="R125" i="1"/>
  <c r="S125" i="1"/>
  <c r="T125" i="1"/>
  <c r="U125" i="1"/>
  <c r="AD125" i="1"/>
  <c r="AE125" i="1"/>
  <c r="AF125" i="1"/>
  <c r="AG125" i="1"/>
  <c r="AH125" i="1"/>
  <c r="AI125" i="1"/>
  <c r="AJ125" i="1"/>
  <c r="AK125" i="1"/>
  <c r="AT125" i="1"/>
  <c r="AU125" i="1"/>
  <c r="AV125" i="1"/>
  <c r="AW125" i="1"/>
  <c r="AX125" i="1"/>
  <c r="AY125" i="1"/>
  <c r="AZ125" i="1"/>
  <c r="BA125" i="1"/>
  <c r="N126" i="1"/>
  <c r="O126" i="1"/>
  <c r="P126" i="1"/>
  <c r="Q126" i="1"/>
  <c r="R126" i="1"/>
  <c r="S126" i="1"/>
  <c r="T126" i="1"/>
  <c r="U126" i="1"/>
  <c r="AD126" i="1"/>
  <c r="AE126" i="1"/>
  <c r="AF126" i="1"/>
  <c r="AG126" i="1"/>
  <c r="AH126" i="1"/>
  <c r="AI126" i="1"/>
  <c r="AJ126" i="1"/>
  <c r="AK126" i="1"/>
  <c r="AT126" i="1"/>
  <c r="AU126" i="1"/>
  <c r="AV126" i="1"/>
  <c r="AW126" i="1"/>
  <c r="AX126" i="1"/>
  <c r="AY126" i="1"/>
  <c r="AZ126" i="1"/>
  <c r="BA126" i="1"/>
  <c r="N127" i="1"/>
  <c r="O127" i="1"/>
  <c r="P127" i="1"/>
  <c r="Q127" i="1"/>
  <c r="R127" i="1"/>
  <c r="S127" i="1"/>
  <c r="T127" i="1"/>
  <c r="U127" i="1"/>
  <c r="AD127" i="1"/>
  <c r="AE127" i="1"/>
  <c r="AF127" i="1"/>
  <c r="AG127" i="1"/>
  <c r="AH127" i="1"/>
  <c r="AI127" i="1"/>
  <c r="AJ127" i="1"/>
  <c r="AK127" i="1"/>
  <c r="AT127" i="1"/>
  <c r="AU127" i="1"/>
  <c r="AV127" i="1"/>
  <c r="AW127" i="1"/>
  <c r="AX127" i="1"/>
  <c r="AY127" i="1"/>
  <c r="AZ127" i="1"/>
  <c r="BA127" i="1"/>
  <c r="N128" i="1"/>
  <c r="O128" i="1"/>
  <c r="P128" i="1"/>
  <c r="Q128" i="1"/>
  <c r="R128" i="1"/>
  <c r="S128" i="1"/>
  <c r="T128" i="1"/>
  <c r="U128" i="1"/>
  <c r="AD128" i="1"/>
  <c r="AE128" i="1"/>
  <c r="AF128" i="1"/>
  <c r="AG128" i="1"/>
  <c r="AH128" i="1"/>
  <c r="AI128" i="1"/>
  <c r="AJ128" i="1"/>
  <c r="AK128" i="1"/>
  <c r="AT128" i="1"/>
  <c r="AU128" i="1"/>
  <c r="AV128" i="1"/>
  <c r="AW128" i="1"/>
  <c r="AX128" i="1"/>
  <c r="AY128" i="1"/>
  <c r="AZ128" i="1"/>
  <c r="BA128" i="1"/>
  <c r="N129" i="1"/>
  <c r="O129" i="1"/>
  <c r="P129" i="1"/>
  <c r="Q129" i="1"/>
  <c r="R129" i="1"/>
  <c r="S129" i="1"/>
  <c r="T129" i="1"/>
  <c r="U129" i="1"/>
  <c r="AD129" i="1"/>
  <c r="AE129" i="1"/>
  <c r="AF129" i="1"/>
  <c r="AG129" i="1"/>
  <c r="AH129" i="1"/>
  <c r="AI129" i="1"/>
  <c r="AJ129" i="1"/>
  <c r="AK129" i="1"/>
  <c r="AT129" i="1"/>
  <c r="AU129" i="1"/>
  <c r="AV129" i="1"/>
  <c r="AW129" i="1"/>
  <c r="AX129" i="1"/>
  <c r="AY129" i="1"/>
  <c r="AZ129" i="1"/>
  <c r="BA129" i="1"/>
  <c r="N130" i="1"/>
  <c r="O130" i="1"/>
  <c r="P130" i="1"/>
  <c r="Q130" i="1"/>
  <c r="R130" i="1"/>
  <c r="S130" i="1"/>
  <c r="T130" i="1"/>
  <c r="U130" i="1"/>
  <c r="AD130" i="1"/>
  <c r="AE130" i="1"/>
  <c r="AF130" i="1"/>
  <c r="AG130" i="1"/>
  <c r="AH130" i="1"/>
  <c r="AI130" i="1"/>
  <c r="AJ130" i="1"/>
  <c r="AK130" i="1"/>
  <c r="AT130" i="1"/>
  <c r="AU130" i="1"/>
  <c r="AV130" i="1"/>
  <c r="AW130" i="1"/>
  <c r="AX130" i="1"/>
  <c r="AY130" i="1"/>
  <c r="AZ130" i="1"/>
  <c r="BA130" i="1"/>
  <c r="N131" i="1"/>
  <c r="O131" i="1"/>
  <c r="P131" i="1"/>
  <c r="Q131" i="1"/>
  <c r="R131" i="1"/>
  <c r="S131" i="1"/>
  <c r="T131" i="1"/>
  <c r="U131" i="1"/>
  <c r="AD131" i="1"/>
  <c r="AE131" i="1"/>
  <c r="AF131" i="1"/>
  <c r="AG131" i="1"/>
  <c r="AH131" i="1"/>
  <c r="AI131" i="1"/>
  <c r="AJ131" i="1"/>
  <c r="AK131" i="1"/>
  <c r="AT131" i="1"/>
  <c r="AU131" i="1"/>
  <c r="AV131" i="1"/>
  <c r="AW131" i="1"/>
  <c r="AX131" i="1"/>
  <c r="AY131" i="1"/>
  <c r="AZ131" i="1"/>
  <c r="BA131" i="1"/>
  <c r="N132" i="1"/>
  <c r="O132" i="1"/>
  <c r="P132" i="1"/>
  <c r="Q132" i="1"/>
  <c r="R132" i="1"/>
  <c r="S132" i="1"/>
  <c r="T132" i="1"/>
  <c r="U132" i="1"/>
  <c r="AD132" i="1"/>
  <c r="AE132" i="1"/>
  <c r="AF132" i="1"/>
  <c r="AG132" i="1"/>
  <c r="AH132" i="1"/>
  <c r="AI132" i="1"/>
  <c r="AJ132" i="1"/>
  <c r="AK132" i="1"/>
  <c r="AT132" i="1"/>
  <c r="AU132" i="1"/>
  <c r="AV132" i="1"/>
  <c r="AW132" i="1"/>
  <c r="AX132" i="1"/>
  <c r="AY132" i="1"/>
  <c r="AZ132" i="1"/>
  <c r="BA132" i="1"/>
  <c r="N133" i="1"/>
  <c r="O133" i="1"/>
  <c r="P133" i="1"/>
  <c r="Q133" i="1"/>
  <c r="R133" i="1"/>
  <c r="S133" i="1"/>
  <c r="T133" i="1"/>
  <c r="U133" i="1"/>
  <c r="AD133" i="1"/>
  <c r="AE133" i="1"/>
  <c r="AF133" i="1"/>
  <c r="AG133" i="1"/>
  <c r="AH133" i="1"/>
  <c r="AI133" i="1"/>
  <c r="AJ133" i="1"/>
  <c r="AK133" i="1"/>
  <c r="AT133" i="1"/>
  <c r="AU133" i="1"/>
  <c r="AV133" i="1"/>
  <c r="AW133" i="1"/>
  <c r="AX133" i="1"/>
  <c r="AY133" i="1"/>
  <c r="AZ133" i="1"/>
  <c r="BA133" i="1"/>
  <c r="N134" i="1"/>
  <c r="O134" i="1"/>
  <c r="P134" i="1"/>
  <c r="Q134" i="1"/>
  <c r="R134" i="1"/>
  <c r="S134" i="1"/>
  <c r="T134" i="1"/>
  <c r="U134" i="1"/>
  <c r="AD134" i="1"/>
  <c r="AE134" i="1"/>
  <c r="AF134" i="1"/>
  <c r="AG134" i="1"/>
  <c r="AH134" i="1"/>
  <c r="AI134" i="1"/>
  <c r="AJ134" i="1"/>
  <c r="AK134" i="1"/>
  <c r="AT134" i="1"/>
  <c r="AU134" i="1"/>
  <c r="AV134" i="1"/>
  <c r="AW134" i="1"/>
  <c r="AX134" i="1"/>
  <c r="AY134" i="1"/>
  <c r="AZ134" i="1"/>
  <c r="BA134" i="1"/>
  <c r="N135" i="1"/>
  <c r="O135" i="1"/>
  <c r="P135" i="1"/>
  <c r="Q135" i="1"/>
  <c r="R135" i="1"/>
  <c r="S135" i="1"/>
  <c r="T135" i="1"/>
  <c r="U135" i="1"/>
  <c r="AD135" i="1"/>
  <c r="AE135" i="1"/>
  <c r="AF135" i="1"/>
  <c r="AG135" i="1"/>
  <c r="AH135" i="1"/>
  <c r="AI135" i="1"/>
  <c r="AJ135" i="1"/>
  <c r="AK135" i="1"/>
  <c r="AT135" i="1"/>
  <c r="AU135" i="1"/>
  <c r="AV135" i="1"/>
  <c r="AW135" i="1"/>
  <c r="AX135" i="1"/>
  <c r="AY135" i="1"/>
  <c r="AZ135" i="1"/>
  <c r="BA135" i="1"/>
  <c r="N136" i="1"/>
  <c r="O136" i="1"/>
  <c r="P136" i="1"/>
  <c r="Q136" i="1"/>
  <c r="R136" i="1"/>
  <c r="S136" i="1"/>
  <c r="T136" i="1"/>
  <c r="U136" i="1"/>
  <c r="AD136" i="1"/>
  <c r="AE136" i="1"/>
  <c r="AF136" i="1"/>
  <c r="AG136" i="1"/>
  <c r="AH136" i="1"/>
  <c r="AI136" i="1"/>
  <c r="AJ136" i="1"/>
  <c r="AK136" i="1"/>
  <c r="AT136" i="1"/>
  <c r="AU136" i="1"/>
  <c r="AV136" i="1"/>
  <c r="AW136" i="1"/>
  <c r="AX136" i="1"/>
  <c r="AY136" i="1"/>
  <c r="AZ136" i="1"/>
  <c r="BA136" i="1"/>
  <c r="N137" i="1"/>
  <c r="O137" i="1"/>
  <c r="P137" i="1"/>
  <c r="Q137" i="1"/>
  <c r="R137" i="1"/>
  <c r="S137" i="1"/>
  <c r="T137" i="1"/>
  <c r="U137" i="1"/>
  <c r="AD137" i="1"/>
  <c r="AE137" i="1"/>
  <c r="AF137" i="1"/>
  <c r="AG137" i="1"/>
  <c r="AH137" i="1"/>
  <c r="AI137" i="1"/>
  <c r="AJ137" i="1"/>
  <c r="AK137" i="1"/>
  <c r="AT137" i="1"/>
  <c r="AU137" i="1"/>
  <c r="AV137" i="1"/>
  <c r="AW137" i="1"/>
  <c r="AX137" i="1"/>
  <c r="AY137" i="1"/>
  <c r="AZ137" i="1"/>
  <c r="BA137" i="1"/>
  <c r="N138" i="1"/>
  <c r="O138" i="1"/>
  <c r="P138" i="1"/>
  <c r="Q138" i="1"/>
  <c r="R138" i="1"/>
  <c r="S138" i="1"/>
  <c r="T138" i="1"/>
  <c r="U138" i="1"/>
  <c r="AD138" i="1"/>
  <c r="AE138" i="1"/>
  <c r="AF138" i="1"/>
  <c r="AG138" i="1"/>
  <c r="AH138" i="1"/>
  <c r="AI138" i="1"/>
  <c r="AJ138" i="1"/>
  <c r="AK138" i="1"/>
  <c r="AT138" i="1"/>
  <c r="AU138" i="1"/>
  <c r="AV138" i="1"/>
  <c r="AW138" i="1"/>
  <c r="AX138" i="1"/>
  <c r="AY138" i="1"/>
  <c r="AZ138" i="1"/>
  <c r="BA138" i="1"/>
  <c r="N139" i="1"/>
  <c r="O139" i="1"/>
  <c r="P139" i="1"/>
  <c r="Q139" i="1"/>
  <c r="R139" i="1"/>
  <c r="S139" i="1"/>
  <c r="T139" i="1"/>
  <c r="U139" i="1"/>
  <c r="AD139" i="1"/>
  <c r="AE139" i="1"/>
  <c r="AF139" i="1"/>
  <c r="AG139" i="1"/>
  <c r="AH139" i="1"/>
  <c r="AI139" i="1"/>
  <c r="AJ139" i="1"/>
  <c r="AK139" i="1"/>
  <c r="AT139" i="1"/>
  <c r="AU139" i="1"/>
  <c r="AV139" i="1"/>
  <c r="AW139" i="1"/>
  <c r="AX139" i="1"/>
  <c r="AY139" i="1"/>
  <c r="AZ139" i="1"/>
  <c r="BA139" i="1"/>
  <c r="N140" i="1"/>
  <c r="O140" i="1"/>
  <c r="P140" i="1"/>
  <c r="Q140" i="1"/>
  <c r="R140" i="1"/>
  <c r="S140" i="1"/>
  <c r="T140" i="1"/>
  <c r="U140" i="1"/>
  <c r="AD140" i="1"/>
  <c r="AE140" i="1"/>
  <c r="AF140" i="1"/>
  <c r="AG140" i="1"/>
  <c r="AH140" i="1"/>
  <c r="AI140" i="1"/>
  <c r="AJ140" i="1"/>
  <c r="AK140" i="1"/>
  <c r="AT140" i="1"/>
  <c r="AU140" i="1"/>
  <c r="AV140" i="1"/>
  <c r="AW140" i="1"/>
  <c r="AX140" i="1"/>
  <c r="AY140" i="1"/>
  <c r="AZ140" i="1"/>
  <c r="BA140" i="1"/>
  <c r="N141" i="1"/>
  <c r="O141" i="1"/>
  <c r="P141" i="1"/>
  <c r="Q141" i="1"/>
  <c r="R141" i="1"/>
  <c r="S141" i="1"/>
  <c r="T141" i="1"/>
  <c r="U141" i="1"/>
  <c r="AD141" i="1"/>
  <c r="AE141" i="1"/>
  <c r="AF141" i="1"/>
  <c r="AG141" i="1"/>
  <c r="AH141" i="1"/>
  <c r="AI141" i="1"/>
  <c r="AJ141" i="1"/>
  <c r="AK141" i="1"/>
  <c r="AT141" i="1"/>
  <c r="AU141" i="1"/>
  <c r="AV141" i="1"/>
  <c r="AW141" i="1"/>
  <c r="AX141" i="1"/>
  <c r="AY141" i="1"/>
  <c r="AZ141" i="1"/>
  <c r="BA141" i="1"/>
  <c r="N142" i="1"/>
  <c r="O142" i="1"/>
  <c r="P142" i="1"/>
  <c r="Q142" i="1"/>
  <c r="R142" i="1"/>
  <c r="S142" i="1"/>
  <c r="T142" i="1"/>
  <c r="U142" i="1"/>
  <c r="AD142" i="1"/>
  <c r="AE142" i="1"/>
  <c r="AF142" i="1"/>
  <c r="AG142" i="1"/>
  <c r="AH142" i="1"/>
  <c r="AI142" i="1"/>
  <c r="AJ142" i="1"/>
  <c r="AK142" i="1"/>
  <c r="AT142" i="1"/>
  <c r="AU142" i="1"/>
  <c r="AV142" i="1"/>
  <c r="AW142" i="1"/>
  <c r="AX142" i="1"/>
  <c r="AY142" i="1"/>
  <c r="AZ142" i="1"/>
  <c r="BA142" i="1"/>
  <c r="N143" i="1"/>
  <c r="O143" i="1"/>
  <c r="P143" i="1"/>
  <c r="Q143" i="1"/>
  <c r="R143" i="1"/>
  <c r="S143" i="1"/>
  <c r="T143" i="1"/>
  <c r="U143" i="1"/>
  <c r="AD143" i="1"/>
  <c r="AE143" i="1"/>
  <c r="AF143" i="1"/>
  <c r="AG143" i="1"/>
  <c r="AH143" i="1"/>
  <c r="AI143" i="1"/>
  <c r="AJ143" i="1"/>
  <c r="AK143" i="1"/>
  <c r="AT143" i="1"/>
  <c r="AU143" i="1"/>
  <c r="AV143" i="1"/>
  <c r="AW143" i="1"/>
  <c r="AX143" i="1"/>
  <c r="AY143" i="1"/>
  <c r="AZ143" i="1"/>
  <c r="BA143" i="1"/>
  <c r="N144" i="1"/>
  <c r="O144" i="1"/>
  <c r="P144" i="1"/>
  <c r="Q144" i="1"/>
  <c r="R144" i="1"/>
  <c r="S144" i="1"/>
  <c r="T144" i="1"/>
  <c r="U144" i="1"/>
  <c r="AD144" i="1"/>
  <c r="AE144" i="1"/>
  <c r="AF144" i="1"/>
  <c r="AG144" i="1"/>
  <c r="AH144" i="1"/>
  <c r="AI144" i="1"/>
  <c r="AJ144" i="1"/>
  <c r="AK144" i="1"/>
  <c r="AT144" i="1"/>
  <c r="AU144" i="1"/>
  <c r="AV144" i="1"/>
  <c r="AW144" i="1"/>
  <c r="AX144" i="1"/>
  <c r="AY144" i="1"/>
  <c r="AZ144" i="1"/>
  <c r="BA144" i="1"/>
  <c r="N145" i="1"/>
  <c r="O145" i="1"/>
  <c r="P145" i="1"/>
  <c r="Q145" i="1"/>
  <c r="R145" i="1"/>
  <c r="S145" i="1"/>
  <c r="T145" i="1"/>
  <c r="U145" i="1"/>
  <c r="AD145" i="1"/>
  <c r="AE145" i="1"/>
  <c r="AF145" i="1"/>
  <c r="AG145" i="1"/>
  <c r="AH145" i="1"/>
  <c r="AI145" i="1"/>
  <c r="AJ145" i="1"/>
  <c r="AK145" i="1"/>
  <c r="AT145" i="1"/>
  <c r="AU145" i="1"/>
  <c r="AV145" i="1"/>
  <c r="AW145" i="1"/>
  <c r="AX145" i="1"/>
  <c r="AY145" i="1"/>
  <c r="AZ145" i="1"/>
  <c r="BA145" i="1"/>
  <c r="N146" i="1"/>
  <c r="O146" i="1"/>
  <c r="P146" i="1"/>
  <c r="Q146" i="1"/>
  <c r="R146" i="1"/>
  <c r="S146" i="1"/>
  <c r="T146" i="1"/>
  <c r="U146" i="1"/>
  <c r="AD146" i="1"/>
  <c r="AE146" i="1"/>
  <c r="AF146" i="1"/>
  <c r="AG146" i="1"/>
  <c r="AH146" i="1"/>
  <c r="AI146" i="1"/>
  <c r="AJ146" i="1"/>
  <c r="AK146" i="1"/>
  <c r="AT146" i="1"/>
  <c r="AU146" i="1"/>
  <c r="AV146" i="1"/>
  <c r="AW146" i="1"/>
  <c r="AX146" i="1"/>
  <c r="AY146" i="1"/>
  <c r="AZ146" i="1"/>
  <c r="BA146" i="1"/>
  <c r="N147" i="1"/>
  <c r="O147" i="1"/>
  <c r="P147" i="1"/>
  <c r="Q147" i="1"/>
  <c r="R147" i="1"/>
  <c r="S147" i="1"/>
  <c r="T147" i="1"/>
  <c r="U147" i="1"/>
  <c r="AD147" i="1"/>
  <c r="AE147" i="1"/>
  <c r="AF147" i="1"/>
  <c r="AG147" i="1"/>
  <c r="AH147" i="1"/>
  <c r="AI147" i="1"/>
  <c r="AJ147" i="1"/>
  <c r="AK147" i="1"/>
  <c r="AT147" i="1"/>
  <c r="AU147" i="1"/>
  <c r="AV147" i="1"/>
  <c r="AW147" i="1"/>
  <c r="AX147" i="1"/>
  <c r="AY147" i="1"/>
  <c r="AZ147" i="1"/>
  <c r="BA147" i="1"/>
  <c r="N148" i="1"/>
  <c r="O148" i="1"/>
  <c r="P148" i="1"/>
  <c r="Q148" i="1"/>
  <c r="R148" i="1"/>
  <c r="S148" i="1"/>
  <c r="T148" i="1"/>
  <c r="U148" i="1"/>
  <c r="AD148" i="1"/>
  <c r="AE148" i="1"/>
  <c r="AF148" i="1"/>
  <c r="AG148" i="1"/>
  <c r="AH148" i="1"/>
  <c r="AI148" i="1"/>
  <c r="AJ148" i="1"/>
  <c r="AK148" i="1"/>
  <c r="AT148" i="1"/>
  <c r="AU148" i="1"/>
  <c r="AV148" i="1"/>
  <c r="AW148" i="1"/>
  <c r="AX148" i="1"/>
  <c r="AY148" i="1"/>
  <c r="AZ148" i="1"/>
  <c r="BA148" i="1"/>
  <c r="N149" i="1"/>
  <c r="O149" i="1"/>
  <c r="P149" i="1"/>
  <c r="Q149" i="1"/>
  <c r="R149" i="1"/>
  <c r="S149" i="1"/>
  <c r="T149" i="1"/>
  <c r="U149" i="1"/>
  <c r="AD149" i="1"/>
  <c r="AE149" i="1"/>
  <c r="AF149" i="1"/>
  <c r="AG149" i="1"/>
  <c r="AH149" i="1"/>
  <c r="AI149" i="1"/>
  <c r="AJ149" i="1"/>
  <c r="AK149" i="1"/>
  <c r="AT149" i="1"/>
  <c r="AU149" i="1"/>
  <c r="AV149" i="1"/>
  <c r="AW149" i="1"/>
  <c r="AX149" i="1"/>
  <c r="AY149" i="1"/>
  <c r="AZ149" i="1"/>
  <c r="BA149" i="1"/>
  <c r="N150" i="1"/>
  <c r="O150" i="1"/>
  <c r="P150" i="1"/>
  <c r="Q150" i="1"/>
  <c r="R150" i="1"/>
  <c r="S150" i="1"/>
  <c r="T150" i="1"/>
  <c r="U150" i="1"/>
  <c r="AD150" i="1"/>
  <c r="AE150" i="1"/>
  <c r="AF150" i="1"/>
  <c r="AG150" i="1"/>
  <c r="AH150" i="1"/>
  <c r="AI150" i="1"/>
  <c r="AJ150" i="1"/>
  <c r="AK150" i="1"/>
  <c r="AT150" i="1"/>
  <c r="AU150" i="1"/>
  <c r="AV150" i="1"/>
  <c r="AW150" i="1"/>
  <c r="AX150" i="1"/>
  <c r="AY150" i="1"/>
  <c r="AZ150" i="1"/>
  <c r="BA150" i="1"/>
  <c r="N151" i="1"/>
  <c r="O151" i="1"/>
  <c r="P151" i="1"/>
  <c r="Q151" i="1"/>
  <c r="R151" i="1"/>
  <c r="S151" i="1"/>
  <c r="T151" i="1"/>
  <c r="U151" i="1"/>
  <c r="AD151" i="1"/>
  <c r="AE151" i="1"/>
  <c r="AF151" i="1"/>
  <c r="AG151" i="1"/>
  <c r="AH151" i="1"/>
  <c r="AI151" i="1"/>
  <c r="AJ151" i="1"/>
  <c r="AK151" i="1"/>
  <c r="AT151" i="1"/>
  <c r="AU151" i="1"/>
  <c r="AV151" i="1"/>
  <c r="AW151" i="1"/>
  <c r="AX151" i="1"/>
  <c r="AY151" i="1"/>
  <c r="AZ151" i="1"/>
  <c r="BA151" i="1"/>
  <c r="N152" i="1"/>
  <c r="O152" i="1"/>
  <c r="P152" i="1"/>
  <c r="Q152" i="1"/>
  <c r="R152" i="1"/>
  <c r="S152" i="1"/>
  <c r="T152" i="1"/>
  <c r="U152" i="1"/>
  <c r="AD152" i="1"/>
  <c r="AE152" i="1"/>
  <c r="AF152" i="1"/>
  <c r="AG152" i="1"/>
  <c r="AH152" i="1"/>
  <c r="AI152" i="1"/>
  <c r="AJ152" i="1"/>
  <c r="AK152" i="1"/>
  <c r="AT152" i="1"/>
  <c r="AU152" i="1"/>
  <c r="AV152" i="1"/>
  <c r="AW152" i="1"/>
  <c r="AX152" i="1"/>
  <c r="AY152" i="1"/>
  <c r="AZ152" i="1"/>
  <c r="BA152" i="1"/>
  <c r="N153" i="1"/>
  <c r="O153" i="1"/>
  <c r="P153" i="1"/>
  <c r="Q153" i="1"/>
  <c r="R153" i="1"/>
  <c r="S153" i="1"/>
  <c r="T153" i="1"/>
  <c r="U153" i="1"/>
  <c r="AD153" i="1"/>
  <c r="AE153" i="1"/>
  <c r="AF153" i="1"/>
  <c r="AG153" i="1"/>
  <c r="AH153" i="1"/>
  <c r="AI153" i="1"/>
  <c r="AJ153" i="1"/>
  <c r="AK153" i="1"/>
  <c r="AT153" i="1"/>
  <c r="AU153" i="1"/>
  <c r="AV153" i="1"/>
  <c r="AW153" i="1"/>
  <c r="AX153" i="1"/>
  <c r="AY153" i="1"/>
  <c r="AZ153" i="1"/>
  <c r="BA153" i="1"/>
  <c r="N154" i="1"/>
  <c r="O154" i="1"/>
  <c r="P154" i="1"/>
  <c r="Q154" i="1"/>
  <c r="R154" i="1"/>
  <c r="S154" i="1"/>
  <c r="T154" i="1"/>
  <c r="U154" i="1"/>
  <c r="AD154" i="1"/>
  <c r="AE154" i="1"/>
  <c r="AF154" i="1"/>
  <c r="AG154" i="1"/>
  <c r="AH154" i="1"/>
  <c r="AI154" i="1"/>
  <c r="AJ154" i="1"/>
  <c r="AK154" i="1"/>
  <c r="AT154" i="1"/>
  <c r="AU154" i="1"/>
  <c r="AV154" i="1"/>
  <c r="AW154" i="1"/>
  <c r="AX154" i="1"/>
  <c r="AY154" i="1"/>
  <c r="AZ154" i="1"/>
  <c r="BA154" i="1"/>
  <c r="N155" i="1"/>
  <c r="O155" i="1"/>
  <c r="P155" i="1"/>
  <c r="Q155" i="1"/>
  <c r="R155" i="1"/>
  <c r="S155" i="1"/>
  <c r="T155" i="1"/>
  <c r="U155" i="1"/>
  <c r="AD155" i="1"/>
  <c r="AE155" i="1"/>
  <c r="AF155" i="1"/>
  <c r="AG155" i="1"/>
  <c r="AH155" i="1"/>
  <c r="AI155" i="1"/>
  <c r="AJ155" i="1"/>
  <c r="AK155" i="1"/>
  <c r="AT155" i="1"/>
  <c r="AU155" i="1"/>
  <c r="AV155" i="1"/>
  <c r="AW155" i="1"/>
  <c r="AX155" i="1"/>
  <c r="AY155" i="1"/>
  <c r="AZ155" i="1"/>
  <c r="BA155" i="1"/>
  <c r="N156" i="1"/>
  <c r="O156" i="1"/>
  <c r="P156" i="1"/>
  <c r="Q156" i="1"/>
  <c r="R156" i="1"/>
  <c r="S156" i="1"/>
  <c r="T156" i="1"/>
  <c r="U156" i="1"/>
  <c r="AD156" i="1"/>
  <c r="AE156" i="1"/>
  <c r="AF156" i="1"/>
  <c r="AG156" i="1"/>
  <c r="AH156" i="1"/>
  <c r="AI156" i="1"/>
  <c r="AJ156" i="1"/>
  <c r="AK156" i="1"/>
  <c r="AT156" i="1"/>
  <c r="AU156" i="1"/>
  <c r="AV156" i="1"/>
  <c r="AW156" i="1"/>
  <c r="AX156" i="1"/>
  <c r="AY156" i="1"/>
  <c r="AZ156" i="1"/>
  <c r="BA156" i="1"/>
  <c r="N157" i="1"/>
  <c r="O157" i="1"/>
  <c r="P157" i="1"/>
  <c r="Q157" i="1"/>
  <c r="R157" i="1"/>
  <c r="S157" i="1"/>
  <c r="T157" i="1"/>
  <c r="U157" i="1"/>
  <c r="AD157" i="1"/>
  <c r="AE157" i="1"/>
  <c r="AF157" i="1"/>
  <c r="AG157" i="1"/>
  <c r="AH157" i="1"/>
  <c r="AI157" i="1"/>
  <c r="AJ157" i="1"/>
  <c r="AK157" i="1"/>
  <c r="AT157" i="1"/>
  <c r="AU157" i="1"/>
  <c r="AV157" i="1"/>
  <c r="AW157" i="1"/>
  <c r="AX157" i="1"/>
  <c r="AY157" i="1"/>
  <c r="AZ157" i="1"/>
  <c r="BA157" i="1"/>
  <c r="N158" i="1"/>
  <c r="O158" i="1"/>
  <c r="P158" i="1"/>
  <c r="Q158" i="1"/>
  <c r="R158" i="1"/>
  <c r="S158" i="1"/>
  <c r="T158" i="1"/>
  <c r="U158" i="1"/>
  <c r="AD158" i="1"/>
  <c r="AE158" i="1"/>
  <c r="AF158" i="1"/>
  <c r="AG158" i="1"/>
  <c r="AH158" i="1"/>
  <c r="AI158" i="1"/>
  <c r="AJ158" i="1"/>
  <c r="AK158" i="1"/>
  <c r="AT158" i="1"/>
  <c r="AU158" i="1"/>
  <c r="AV158" i="1"/>
  <c r="AW158" i="1"/>
  <c r="AX158" i="1"/>
  <c r="AY158" i="1"/>
  <c r="AZ158" i="1"/>
  <c r="BA158" i="1"/>
  <c r="N159" i="1"/>
  <c r="O159" i="1"/>
  <c r="P159" i="1"/>
  <c r="Q159" i="1"/>
  <c r="R159" i="1"/>
  <c r="S159" i="1"/>
  <c r="T159" i="1"/>
  <c r="U159" i="1"/>
  <c r="AD159" i="1"/>
  <c r="AE159" i="1"/>
  <c r="AF159" i="1"/>
  <c r="AG159" i="1"/>
  <c r="AH159" i="1"/>
  <c r="AI159" i="1"/>
  <c r="AJ159" i="1"/>
  <c r="AK159" i="1"/>
  <c r="AT159" i="1"/>
  <c r="AU159" i="1"/>
  <c r="AV159" i="1"/>
  <c r="AW159" i="1"/>
  <c r="AX159" i="1"/>
  <c r="AY159" i="1"/>
  <c r="AZ159" i="1"/>
  <c r="BA159" i="1"/>
  <c r="N160" i="1"/>
  <c r="O160" i="1"/>
  <c r="P160" i="1"/>
  <c r="Q160" i="1"/>
  <c r="R160" i="1"/>
  <c r="S160" i="1"/>
  <c r="T160" i="1"/>
  <c r="U160" i="1"/>
  <c r="AD160" i="1"/>
  <c r="AE160" i="1"/>
  <c r="AF160" i="1"/>
  <c r="AG160" i="1"/>
  <c r="AH160" i="1"/>
  <c r="AI160" i="1"/>
  <c r="AJ160" i="1"/>
  <c r="AK160" i="1"/>
  <c r="AT160" i="1"/>
  <c r="AU160" i="1"/>
  <c r="AV160" i="1"/>
  <c r="AW160" i="1"/>
  <c r="AX160" i="1"/>
  <c r="AY160" i="1"/>
  <c r="AZ160" i="1"/>
  <c r="BA160" i="1"/>
  <c r="N161" i="1"/>
  <c r="O161" i="1"/>
  <c r="P161" i="1"/>
  <c r="Q161" i="1"/>
  <c r="R161" i="1"/>
  <c r="S161" i="1"/>
  <c r="T161" i="1"/>
  <c r="U161" i="1"/>
  <c r="AD161" i="1"/>
  <c r="AE161" i="1"/>
  <c r="AF161" i="1"/>
  <c r="AG161" i="1"/>
  <c r="AH161" i="1"/>
  <c r="AI161" i="1"/>
  <c r="AJ161" i="1"/>
  <c r="AK161" i="1"/>
  <c r="AT161" i="1"/>
  <c r="AU161" i="1"/>
  <c r="AV161" i="1"/>
  <c r="AW161" i="1"/>
  <c r="AX161" i="1"/>
  <c r="AY161" i="1"/>
  <c r="AZ161" i="1"/>
  <c r="BA161" i="1"/>
  <c r="N162" i="1"/>
  <c r="O162" i="1"/>
  <c r="P162" i="1"/>
  <c r="Q162" i="1"/>
  <c r="R162" i="1"/>
  <c r="S162" i="1"/>
  <c r="T162" i="1"/>
  <c r="U162" i="1"/>
  <c r="AD162" i="1"/>
  <c r="AE162" i="1"/>
  <c r="AF162" i="1"/>
  <c r="AG162" i="1"/>
  <c r="AH162" i="1"/>
  <c r="AI162" i="1"/>
  <c r="AJ162" i="1"/>
  <c r="AK162" i="1"/>
  <c r="AT162" i="1"/>
  <c r="AU162" i="1"/>
  <c r="AV162" i="1"/>
  <c r="AW162" i="1"/>
  <c r="AX162" i="1"/>
  <c r="AY162" i="1"/>
  <c r="AZ162" i="1"/>
  <c r="BA162" i="1"/>
  <c r="N163" i="1"/>
  <c r="O163" i="1"/>
  <c r="P163" i="1"/>
  <c r="Q163" i="1"/>
  <c r="R163" i="1"/>
  <c r="S163" i="1"/>
  <c r="T163" i="1"/>
  <c r="U163" i="1"/>
  <c r="AD163" i="1"/>
  <c r="AE163" i="1"/>
  <c r="AF163" i="1"/>
  <c r="AG163" i="1"/>
  <c r="AH163" i="1"/>
  <c r="AI163" i="1"/>
  <c r="AJ163" i="1"/>
  <c r="AK163" i="1"/>
  <c r="AT163" i="1"/>
  <c r="AU163" i="1"/>
  <c r="AV163" i="1"/>
  <c r="AW163" i="1"/>
  <c r="AX163" i="1"/>
  <c r="AY163" i="1"/>
  <c r="AZ163" i="1"/>
  <c r="BA163" i="1"/>
  <c r="N164" i="1"/>
  <c r="O164" i="1"/>
  <c r="P164" i="1"/>
  <c r="Q164" i="1"/>
  <c r="R164" i="1"/>
  <c r="S164" i="1"/>
  <c r="T164" i="1"/>
  <c r="U164" i="1"/>
  <c r="AD164" i="1"/>
  <c r="AE164" i="1"/>
  <c r="AF164" i="1"/>
  <c r="AG164" i="1"/>
  <c r="AH164" i="1"/>
  <c r="AI164" i="1"/>
  <c r="AJ164" i="1"/>
  <c r="AK164" i="1"/>
  <c r="AT164" i="1"/>
  <c r="AU164" i="1"/>
  <c r="AV164" i="1"/>
  <c r="AW164" i="1"/>
  <c r="AX164" i="1"/>
  <c r="AY164" i="1"/>
  <c r="AZ164" i="1"/>
  <c r="BA164" i="1"/>
  <c r="N165" i="1"/>
  <c r="O165" i="1"/>
  <c r="P165" i="1"/>
  <c r="Q165" i="1"/>
  <c r="R165" i="1"/>
  <c r="S165" i="1"/>
  <c r="T165" i="1"/>
  <c r="U165" i="1"/>
  <c r="AD165" i="1"/>
  <c r="AE165" i="1"/>
  <c r="AF165" i="1"/>
  <c r="AG165" i="1"/>
  <c r="AH165" i="1"/>
  <c r="AI165" i="1"/>
  <c r="AJ165" i="1"/>
  <c r="AK165" i="1"/>
  <c r="AT165" i="1"/>
  <c r="AU165" i="1"/>
  <c r="AV165" i="1"/>
  <c r="AW165" i="1"/>
  <c r="AX165" i="1"/>
  <c r="AY165" i="1"/>
  <c r="AZ165" i="1"/>
  <c r="BA165" i="1"/>
  <c r="N166" i="1"/>
  <c r="O166" i="1"/>
  <c r="P166" i="1"/>
  <c r="Q166" i="1"/>
  <c r="R166" i="1"/>
  <c r="S166" i="1"/>
  <c r="T166" i="1"/>
  <c r="U166" i="1"/>
  <c r="AD166" i="1"/>
  <c r="AE166" i="1"/>
  <c r="AF166" i="1"/>
  <c r="AG166" i="1"/>
  <c r="AH166" i="1"/>
  <c r="AI166" i="1"/>
  <c r="AJ166" i="1"/>
  <c r="AK166" i="1"/>
  <c r="AT166" i="1"/>
  <c r="AU166" i="1"/>
  <c r="AV166" i="1"/>
  <c r="AW166" i="1"/>
  <c r="AX166" i="1"/>
  <c r="AY166" i="1"/>
  <c r="AZ166" i="1"/>
  <c r="BA166" i="1"/>
  <c r="N167" i="1"/>
  <c r="O167" i="1"/>
  <c r="P167" i="1"/>
  <c r="Q167" i="1"/>
  <c r="R167" i="1"/>
  <c r="S167" i="1"/>
  <c r="T167" i="1"/>
  <c r="U167" i="1"/>
  <c r="AD167" i="1"/>
  <c r="AE167" i="1"/>
  <c r="AF167" i="1"/>
  <c r="AG167" i="1"/>
  <c r="AH167" i="1"/>
  <c r="AI167" i="1"/>
  <c r="AJ167" i="1"/>
  <c r="AK167" i="1"/>
  <c r="AT167" i="1"/>
  <c r="AU167" i="1"/>
  <c r="AV167" i="1"/>
  <c r="AW167" i="1"/>
  <c r="AX167" i="1"/>
  <c r="AY167" i="1"/>
  <c r="AZ167" i="1"/>
  <c r="BA167" i="1"/>
  <c r="N168" i="1"/>
  <c r="O168" i="1"/>
  <c r="P168" i="1"/>
  <c r="Q168" i="1"/>
  <c r="R168" i="1"/>
  <c r="S168" i="1"/>
  <c r="T168" i="1"/>
  <c r="U168" i="1"/>
  <c r="AD168" i="1"/>
  <c r="AE168" i="1"/>
  <c r="AF168" i="1"/>
  <c r="AG168" i="1"/>
  <c r="AH168" i="1"/>
  <c r="AI168" i="1"/>
  <c r="AJ168" i="1"/>
  <c r="AK168" i="1"/>
  <c r="AT168" i="1"/>
  <c r="AU168" i="1"/>
  <c r="AV168" i="1"/>
  <c r="AW168" i="1"/>
  <c r="AX168" i="1"/>
  <c r="AY168" i="1"/>
  <c r="AZ168" i="1"/>
  <c r="BA168" i="1"/>
  <c r="N169" i="1"/>
  <c r="O169" i="1"/>
  <c r="P169" i="1"/>
  <c r="Q169" i="1"/>
  <c r="R169" i="1"/>
  <c r="S169" i="1"/>
  <c r="T169" i="1"/>
  <c r="U169" i="1"/>
  <c r="AD169" i="1"/>
  <c r="AE169" i="1"/>
  <c r="AF169" i="1"/>
  <c r="AG169" i="1"/>
  <c r="AH169" i="1"/>
  <c r="AI169" i="1"/>
  <c r="AJ169" i="1"/>
  <c r="AK169" i="1"/>
  <c r="AT169" i="1"/>
  <c r="AU169" i="1"/>
  <c r="AV169" i="1"/>
  <c r="AW169" i="1"/>
  <c r="AX169" i="1"/>
  <c r="AY169" i="1"/>
  <c r="AZ169" i="1"/>
  <c r="BA169" i="1"/>
  <c r="N170" i="1"/>
  <c r="O170" i="1"/>
  <c r="P170" i="1"/>
  <c r="Q170" i="1"/>
  <c r="R170" i="1"/>
  <c r="S170" i="1"/>
  <c r="T170" i="1"/>
  <c r="U170" i="1"/>
  <c r="AD170" i="1"/>
  <c r="AE170" i="1"/>
  <c r="AF170" i="1"/>
  <c r="AG170" i="1"/>
  <c r="AH170" i="1"/>
  <c r="AI170" i="1"/>
  <c r="AJ170" i="1"/>
  <c r="AK170" i="1"/>
  <c r="AT170" i="1"/>
  <c r="AU170" i="1"/>
  <c r="AV170" i="1"/>
  <c r="AW170" i="1"/>
  <c r="AX170" i="1"/>
  <c r="AY170" i="1"/>
  <c r="AZ170" i="1"/>
  <c r="BA170" i="1"/>
  <c r="N171" i="1"/>
  <c r="O171" i="1"/>
  <c r="P171" i="1"/>
  <c r="Q171" i="1"/>
  <c r="R171" i="1"/>
  <c r="S171" i="1"/>
  <c r="T171" i="1"/>
  <c r="U171" i="1"/>
  <c r="AD171" i="1"/>
  <c r="AE171" i="1"/>
  <c r="AF171" i="1"/>
  <c r="AG171" i="1"/>
  <c r="AH171" i="1"/>
  <c r="AI171" i="1"/>
  <c r="AJ171" i="1"/>
  <c r="AK171" i="1"/>
  <c r="AT171" i="1"/>
  <c r="AU171" i="1"/>
  <c r="AV171" i="1"/>
  <c r="AW171" i="1"/>
  <c r="AX171" i="1"/>
  <c r="AY171" i="1"/>
  <c r="AZ171" i="1"/>
  <c r="BA171" i="1"/>
  <c r="N172" i="1"/>
  <c r="O172" i="1"/>
  <c r="P172" i="1"/>
  <c r="Q172" i="1"/>
  <c r="R172" i="1"/>
  <c r="S172" i="1"/>
  <c r="T172" i="1"/>
  <c r="U172" i="1"/>
  <c r="AD172" i="1"/>
  <c r="AE172" i="1"/>
  <c r="AF172" i="1"/>
  <c r="AG172" i="1"/>
  <c r="AH172" i="1"/>
  <c r="AI172" i="1"/>
  <c r="AJ172" i="1"/>
  <c r="AK172" i="1"/>
  <c r="AT172" i="1"/>
  <c r="AU172" i="1"/>
  <c r="AV172" i="1"/>
  <c r="AW172" i="1"/>
  <c r="AX172" i="1"/>
  <c r="AY172" i="1"/>
  <c r="AZ172" i="1"/>
  <c r="BA172" i="1"/>
  <c r="N173" i="1"/>
  <c r="O173" i="1"/>
  <c r="P173" i="1"/>
  <c r="Q173" i="1"/>
  <c r="R173" i="1"/>
  <c r="S173" i="1"/>
  <c r="T173" i="1"/>
  <c r="U173" i="1"/>
  <c r="AD173" i="1"/>
  <c r="AE173" i="1"/>
  <c r="AF173" i="1"/>
  <c r="AG173" i="1"/>
  <c r="AH173" i="1"/>
  <c r="AI173" i="1"/>
  <c r="AJ173" i="1"/>
  <c r="AK173" i="1"/>
  <c r="AT173" i="1"/>
  <c r="AU173" i="1"/>
  <c r="AV173" i="1"/>
  <c r="AW173" i="1"/>
  <c r="AX173" i="1"/>
  <c r="AY173" i="1"/>
  <c r="AZ173" i="1"/>
  <c r="BA173" i="1"/>
  <c r="N174" i="1"/>
  <c r="O174" i="1"/>
  <c r="P174" i="1"/>
  <c r="Q174" i="1"/>
  <c r="R174" i="1"/>
  <c r="S174" i="1"/>
  <c r="T174" i="1"/>
  <c r="U174" i="1"/>
  <c r="AD174" i="1"/>
  <c r="AE174" i="1"/>
  <c r="AF174" i="1"/>
  <c r="AG174" i="1"/>
  <c r="AH174" i="1"/>
  <c r="AI174" i="1"/>
  <c r="AJ174" i="1"/>
  <c r="AK174" i="1"/>
  <c r="AT174" i="1"/>
  <c r="AU174" i="1"/>
  <c r="AV174" i="1"/>
  <c r="AW174" i="1"/>
  <c r="AX174" i="1"/>
  <c r="AY174" i="1"/>
  <c r="AZ174" i="1"/>
  <c r="BA174" i="1"/>
  <c r="N175" i="1"/>
  <c r="O175" i="1"/>
  <c r="P175" i="1"/>
  <c r="Q175" i="1"/>
  <c r="R175" i="1"/>
  <c r="S175" i="1"/>
  <c r="T175" i="1"/>
  <c r="U175" i="1"/>
  <c r="AD175" i="1"/>
  <c r="AE175" i="1"/>
  <c r="AF175" i="1"/>
  <c r="AG175" i="1"/>
  <c r="AH175" i="1"/>
  <c r="AI175" i="1"/>
  <c r="AJ175" i="1"/>
  <c r="AK175" i="1"/>
  <c r="AT175" i="1"/>
  <c r="AU175" i="1"/>
  <c r="AV175" i="1"/>
  <c r="AW175" i="1"/>
  <c r="AX175" i="1"/>
  <c r="AY175" i="1"/>
  <c r="AZ175" i="1"/>
  <c r="BA175" i="1"/>
  <c r="N176" i="1"/>
  <c r="O176" i="1"/>
  <c r="P176" i="1"/>
  <c r="Q176" i="1"/>
  <c r="R176" i="1"/>
  <c r="S176" i="1"/>
  <c r="T176" i="1"/>
  <c r="U176" i="1"/>
  <c r="AD176" i="1"/>
  <c r="AE176" i="1"/>
  <c r="AF176" i="1"/>
  <c r="AG176" i="1"/>
  <c r="AH176" i="1"/>
  <c r="AI176" i="1"/>
  <c r="AJ176" i="1"/>
  <c r="AK176" i="1"/>
  <c r="AT176" i="1"/>
  <c r="AU176" i="1"/>
  <c r="AV176" i="1"/>
  <c r="AW176" i="1"/>
  <c r="AX176" i="1"/>
  <c r="AY176" i="1"/>
  <c r="AZ176" i="1"/>
  <c r="BA176" i="1"/>
  <c r="N177" i="1"/>
  <c r="O177" i="1"/>
  <c r="P177" i="1"/>
  <c r="Q177" i="1"/>
  <c r="R177" i="1"/>
  <c r="S177" i="1"/>
  <c r="T177" i="1"/>
  <c r="U177" i="1"/>
  <c r="AD177" i="1"/>
  <c r="AE177" i="1"/>
  <c r="AF177" i="1"/>
  <c r="AG177" i="1"/>
  <c r="AH177" i="1"/>
  <c r="AI177" i="1"/>
  <c r="AJ177" i="1"/>
  <c r="AK177" i="1"/>
  <c r="AT177" i="1"/>
  <c r="AU177" i="1"/>
  <c r="AV177" i="1"/>
  <c r="AW177" i="1"/>
  <c r="AX177" i="1"/>
  <c r="AY177" i="1"/>
  <c r="AZ177" i="1"/>
  <c r="BA177" i="1"/>
  <c r="N178" i="1"/>
  <c r="O178" i="1"/>
  <c r="P178" i="1"/>
  <c r="Q178" i="1"/>
  <c r="R178" i="1"/>
  <c r="S178" i="1"/>
  <c r="T178" i="1"/>
  <c r="U178" i="1"/>
  <c r="AD178" i="1"/>
  <c r="AE178" i="1"/>
  <c r="AF178" i="1"/>
  <c r="AG178" i="1"/>
  <c r="AH178" i="1"/>
  <c r="AI178" i="1"/>
  <c r="AJ178" i="1"/>
  <c r="AK178" i="1"/>
  <c r="AT178" i="1"/>
  <c r="AU178" i="1"/>
  <c r="AV178" i="1"/>
  <c r="AW178" i="1"/>
  <c r="AX178" i="1"/>
  <c r="AY178" i="1"/>
  <c r="AZ178" i="1"/>
  <c r="BA178" i="1"/>
  <c r="N179" i="1"/>
  <c r="O179" i="1"/>
  <c r="P179" i="1"/>
  <c r="Q179" i="1"/>
  <c r="R179" i="1"/>
  <c r="S179" i="1"/>
  <c r="T179" i="1"/>
  <c r="U179" i="1"/>
  <c r="AD179" i="1"/>
  <c r="AE179" i="1"/>
  <c r="AF179" i="1"/>
  <c r="AG179" i="1"/>
  <c r="AH179" i="1"/>
  <c r="AI179" i="1"/>
  <c r="AJ179" i="1"/>
  <c r="AK179" i="1"/>
  <c r="AT179" i="1"/>
  <c r="AU179" i="1"/>
  <c r="AV179" i="1"/>
  <c r="AW179" i="1"/>
  <c r="AX179" i="1"/>
  <c r="AY179" i="1"/>
  <c r="AZ179" i="1"/>
  <c r="BA179" i="1"/>
  <c r="N180" i="1"/>
  <c r="O180" i="1"/>
  <c r="P180" i="1"/>
  <c r="Q180" i="1"/>
  <c r="R180" i="1"/>
  <c r="S180" i="1"/>
  <c r="T180" i="1"/>
  <c r="U180" i="1"/>
  <c r="AD180" i="1"/>
  <c r="AE180" i="1"/>
  <c r="AF180" i="1"/>
  <c r="AG180" i="1"/>
  <c r="AH180" i="1"/>
  <c r="AI180" i="1"/>
  <c r="AJ180" i="1"/>
  <c r="AK180" i="1"/>
  <c r="AT180" i="1"/>
  <c r="AU180" i="1"/>
  <c r="AV180" i="1"/>
  <c r="AW180" i="1"/>
  <c r="AX180" i="1"/>
  <c r="AY180" i="1"/>
  <c r="AZ180" i="1"/>
  <c r="BA180" i="1"/>
  <c r="N181" i="1"/>
  <c r="O181" i="1"/>
  <c r="P181" i="1"/>
  <c r="Q181" i="1"/>
  <c r="R181" i="1"/>
  <c r="S181" i="1"/>
  <c r="T181" i="1"/>
  <c r="U181" i="1"/>
  <c r="AD181" i="1"/>
  <c r="AE181" i="1"/>
  <c r="AF181" i="1"/>
  <c r="AG181" i="1"/>
  <c r="AH181" i="1"/>
  <c r="AI181" i="1"/>
  <c r="AJ181" i="1"/>
  <c r="AK181" i="1"/>
  <c r="AT181" i="1"/>
  <c r="AU181" i="1"/>
  <c r="AV181" i="1"/>
  <c r="AW181" i="1"/>
  <c r="AX181" i="1"/>
  <c r="AY181" i="1"/>
  <c r="AZ181" i="1"/>
  <c r="BA181" i="1"/>
  <c r="N182" i="1"/>
  <c r="O182" i="1"/>
  <c r="P182" i="1"/>
  <c r="Q182" i="1"/>
  <c r="R182" i="1"/>
  <c r="S182" i="1"/>
  <c r="T182" i="1"/>
  <c r="U182" i="1"/>
  <c r="AD182" i="1"/>
  <c r="AE182" i="1"/>
  <c r="AF182" i="1"/>
  <c r="AG182" i="1"/>
  <c r="AH182" i="1"/>
  <c r="AI182" i="1"/>
  <c r="AJ182" i="1"/>
  <c r="AK182" i="1"/>
  <c r="AT182" i="1"/>
  <c r="AU182" i="1"/>
  <c r="AV182" i="1"/>
  <c r="AW182" i="1"/>
  <c r="AX182" i="1"/>
  <c r="AY182" i="1"/>
  <c r="AZ182" i="1"/>
  <c r="BA182" i="1"/>
  <c r="N183" i="1"/>
  <c r="O183" i="1"/>
  <c r="P183" i="1"/>
  <c r="Q183" i="1"/>
  <c r="R183" i="1"/>
  <c r="S183" i="1"/>
  <c r="T183" i="1"/>
  <c r="U183" i="1"/>
  <c r="AD183" i="1"/>
  <c r="AE183" i="1"/>
  <c r="AF183" i="1"/>
  <c r="AG183" i="1"/>
  <c r="AH183" i="1"/>
  <c r="AI183" i="1"/>
  <c r="AJ183" i="1"/>
  <c r="AK183" i="1"/>
  <c r="AT183" i="1"/>
  <c r="AU183" i="1"/>
  <c r="AV183" i="1"/>
  <c r="AW183" i="1"/>
  <c r="AX183" i="1"/>
  <c r="AY183" i="1"/>
  <c r="AZ183" i="1"/>
  <c r="BA183" i="1"/>
  <c r="N184" i="1"/>
  <c r="O184" i="1"/>
  <c r="P184" i="1"/>
  <c r="Q184" i="1"/>
  <c r="R184" i="1"/>
  <c r="S184" i="1"/>
  <c r="T184" i="1"/>
  <c r="U184" i="1"/>
  <c r="AD184" i="1"/>
  <c r="AE184" i="1"/>
  <c r="AF184" i="1"/>
  <c r="AG184" i="1"/>
  <c r="AH184" i="1"/>
  <c r="AI184" i="1"/>
  <c r="AJ184" i="1"/>
  <c r="AK184" i="1"/>
  <c r="AT184" i="1"/>
  <c r="AU184" i="1"/>
  <c r="AV184" i="1"/>
  <c r="AW184" i="1"/>
  <c r="AX184" i="1"/>
  <c r="AY184" i="1"/>
  <c r="AZ184" i="1"/>
  <c r="BA184" i="1"/>
  <c r="N185" i="1"/>
  <c r="O185" i="1"/>
  <c r="P185" i="1"/>
  <c r="Q185" i="1"/>
  <c r="R185" i="1"/>
  <c r="S185" i="1"/>
  <c r="T185" i="1"/>
  <c r="U185" i="1"/>
  <c r="AD185" i="1"/>
  <c r="AE185" i="1"/>
  <c r="AF185" i="1"/>
  <c r="AG185" i="1"/>
  <c r="AH185" i="1"/>
  <c r="AI185" i="1"/>
  <c r="AJ185" i="1"/>
  <c r="AK185" i="1"/>
  <c r="AT185" i="1"/>
  <c r="AU185" i="1"/>
  <c r="AV185" i="1"/>
  <c r="AW185" i="1"/>
  <c r="AX185" i="1"/>
  <c r="AY185" i="1"/>
  <c r="AZ185" i="1"/>
  <c r="BA185" i="1"/>
  <c r="N186" i="1"/>
  <c r="O186" i="1"/>
  <c r="P186" i="1"/>
  <c r="Q186" i="1"/>
  <c r="R186" i="1"/>
  <c r="S186" i="1"/>
  <c r="T186" i="1"/>
  <c r="U186" i="1"/>
  <c r="AD186" i="1"/>
  <c r="AE186" i="1"/>
  <c r="AF186" i="1"/>
  <c r="AG186" i="1"/>
  <c r="AH186" i="1"/>
  <c r="AI186" i="1"/>
  <c r="AJ186" i="1"/>
  <c r="AK186" i="1"/>
  <c r="AT186" i="1"/>
  <c r="AU186" i="1"/>
  <c r="AV186" i="1"/>
  <c r="AW186" i="1"/>
  <c r="AX186" i="1"/>
  <c r="AY186" i="1"/>
  <c r="AZ186" i="1"/>
  <c r="BA186" i="1"/>
  <c r="N187" i="1"/>
  <c r="O187" i="1"/>
  <c r="P187" i="1"/>
  <c r="Q187" i="1"/>
  <c r="R187" i="1"/>
  <c r="S187" i="1"/>
  <c r="T187" i="1"/>
  <c r="U187" i="1"/>
  <c r="AD187" i="1"/>
  <c r="AE187" i="1"/>
  <c r="AF187" i="1"/>
  <c r="AG187" i="1"/>
  <c r="AH187" i="1"/>
  <c r="AI187" i="1"/>
  <c r="AJ187" i="1"/>
  <c r="AK187" i="1"/>
  <c r="AT187" i="1"/>
  <c r="AU187" i="1"/>
  <c r="AV187" i="1"/>
  <c r="AW187" i="1"/>
  <c r="AX187" i="1"/>
  <c r="AY187" i="1"/>
  <c r="AZ187" i="1"/>
  <c r="BA187" i="1"/>
  <c r="N188" i="1"/>
  <c r="O188" i="1"/>
  <c r="P188" i="1"/>
  <c r="Q188" i="1"/>
  <c r="R188" i="1"/>
  <c r="S188" i="1"/>
  <c r="T188" i="1"/>
  <c r="U188" i="1"/>
  <c r="AD188" i="1"/>
  <c r="AE188" i="1"/>
  <c r="AF188" i="1"/>
  <c r="AG188" i="1"/>
  <c r="AH188" i="1"/>
  <c r="AI188" i="1"/>
  <c r="AJ188" i="1"/>
  <c r="AK188" i="1"/>
  <c r="AT188" i="1"/>
  <c r="AU188" i="1"/>
  <c r="AV188" i="1"/>
  <c r="AW188" i="1"/>
  <c r="AX188" i="1"/>
  <c r="AY188" i="1"/>
  <c r="AZ188" i="1"/>
  <c r="BA188" i="1"/>
  <c r="N189" i="1"/>
  <c r="O189" i="1"/>
  <c r="P189" i="1"/>
  <c r="Q189" i="1"/>
  <c r="R189" i="1"/>
  <c r="S189" i="1"/>
  <c r="T189" i="1"/>
  <c r="U189" i="1"/>
  <c r="AD189" i="1"/>
  <c r="AE189" i="1"/>
  <c r="AF189" i="1"/>
  <c r="AG189" i="1"/>
  <c r="AH189" i="1"/>
  <c r="AI189" i="1"/>
  <c r="AJ189" i="1"/>
  <c r="AK189" i="1"/>
  <c r="AT189" i="1"/>
  <c r="AU189" i="1"/>
  <c r="AV189" i="1"/>
  <c r="AW189" i="1"/>
  <c r="AX189" i="1"/>
  <c r="AY189" i="1"/>
  <c r="AZ189" i="1"/>
  <c r="BA189" i="1"/>
  <c r="N190" i="1"/>
  <c r="O190" i="1"/>
  <c r="P190" i="1"/>
  <c r="Q190" i="1"/>
  <c r="R190" i="1"/>
  <c r="S190" i="1"/>
  <c r="T190" i="1"/>
  <c r="U190" i="1"/>
  <c r="AD190" i="1"/>
  <c r="AE190" i="1"/>
  <c r="AF190" i="1"/>
  <c r="AG190" i="1"/>
  <c r="AH190" i="1"/>
  <c r="AI190" i="1"/>
  <c r="AJ190" i="1"/>
  <c r="AK190" i="1"/>
  <c r="AT190" i="1"/>
  <c r="AU190" i="1"/>
  <c r="AV190" i="1"/>
  <c r="AW190" i="1"/>
  <c r="AX190" i="1"/>
  <c r="AY190" i="1"/>
  <c r="AZ190" i="1"/>
  <c r="BA190" i="1"/>
  <c r="N191" i="1"/>
  <c r="O191" i="1"/>
  <c r="P191" i="1"/>
  <c r="Q191" i="1"/>
  <c r="R191" i="1"/>
  <c r="S191" i="1"/>
  <c r="T191" i="1"/>
  <c r="U191" i="1"/>
  <c r="AD191" i="1"/>
  <c r="AE191" i="1"/>
  <c r="AF191" i="1"/>
  <c r="AG191" i="1"/>
  <c r="AH191" i="1"/>
  <c r="AI191" i="1"/>
  <c r="AJ191" i="1"/>
  <c r="AK191" i="1"/>
  <c r="AT191" i="1"/>
  <c r="AU191" i="1"/>
  <c r="AV191" i="1"/>
  <c r="AW191" i="1"/>
  <c r="AX191" i="1"/>
  <c r="AY191" i="1"/>
  <c r="AZ191" i="1"/>
  <c r="BA191" i="1"/>
  <c r="N192" i="1"/>
  <c r="O192" i="1"/>
  <c r="P192" i="1"/>
  <c r="Q192" i="1"/>
  <c r="R192" i="1"/>
  <c r="S192" i="1"/>
  <c r="T192" i="1"/>
  <c r="U192" i="1"/>
  <c r="AD192" i="1"/>
  <c r="AE192" i="1"/>
  <c r="AF192" i="1"/>
  <c r="AG192" i="1"/>
  <c r="AH192" i="1"/>
  <c r="AI192" i="1"/>
  <c r="AJ192" i="1"/>
  <c r="AK192" i="1"/>
  <c r="AT192" i="1"/>
  <c r="AU192" i="1"/>
  <c r="AV192" i="1"/>
  <c r="AW192" i="1"/>
  <c r="AX192" i="1"/>
  <c r="AY192" i="1"/>
  <c r="AZ192" i="1"/>
  <c r="BA192" i="1"/>
  <c r="N193" i="1"/>
  <c r="O193" i="1"/>
  <c r="P193" i="1"/>
  <c r="Q193" i="1"/>
  <c r="R193" i="1"/>
  <c r="S193" i="1"/>
  <c r="T193" i="1"/>
  <c r="U193" i="1"/>
  <c r="AD193" i="1"/>
  <c r="AE193" i="1"/>
  <c r="AF193" i="1"/>
  <c r="AG193" i="1"/>
  <c r="AH193" i="1"/>
  <c r="AI193" i="1"/>
  <c r="AJ193" i="1"/>
  <c r="AK193" i="1"/>
  <c r="AT193" i="1"/>
  <c r="AU193" i="1"/>
  <c r="AV193" i="1"/>
  <c r="AW193" i="1"/>
  <c r="AX193" i="1"/>
  <c r="AY193" i="1"/>
  <c r="AZ193" i="1"/>
  <c r="BA193" i="1"/>
  <c r="N194" i="1"/>
  <c r="O194" i="1"/>
  <c r="P194" i="1"/>
  <c r="Q194" i="1"/>
  <c r="R194" i="1"/>
  <c r="S194" i="1"/>
  <c r="T194" i="1"/>
  <c r="U194" i="1"/>
  <c r="AD194" i="1"/>
  <c r="AE194" i="1"/>
  <c r="AF194" i="1"/>
  <c r="AG194" i="1"/>
  <c r="AH194" i="1"/>
  <c r="AI194" i="1"/>
  <c r="AJ194" i="1"/>
  <c r="AK194" i="1"/>
  <c r="AT194" i="1"/>
  <c r="AU194" i="1"/>
  <c r="AV194" i="1"/>
  <c r="AW194" i="1"/>
  <c r="AX194" i="1"/>
  <c r="AY194" i="1"/>
  <c r="AZ194" i="1"/>
  <c r="BA194" i="1"/>
  <c r="N195" i="1"/>
  <c r="O195" i="1"/>
  <c r="P195" i="1"/>
  <c r="Q195" i="1"/>
  <c r="R195" i="1"/>
  <c r="S195" i="1"/>
  <c r="T195" i="1"/>
  <c r="U195" i="1"/>
  <c r="AD195" i="1"/>
  <c r="AE195" i="1"/>
  <c r="AF195" i="1"/>
  <c r="AG195" i="1"/>
  <c r="AH195" i="1"/>
  <c r="AI195" i="1"/>
  <c r="AJ195" i="1"/>
  <c r="AK195" i="1"/>
  <c r="AT195" i="1"/>
  <c r="AU195" i="1"/>
  <c r="AV195" i="1"/>
  <c r="AW195" i="1"/>
  <c r="AX195" i="1"/>
  <c r="AY195" i="1"/>
  <c r="AZ195" i="1"/>
  <c r="BA195" i="1"/>
  <c r="N196" i="1"/>
  <c r="O196" i="1"/>
  <c r="P196" i="1"/>
  <c r="Q196" i="1"/>
  <c r="R196" i="1"/>
  <c r="S196" i="1"/>
  <c r="T196" i="1"/>
  <c r="U196" i="1"/>
  <c r="AD196" i="1"/>
  <c r="AE196" i="1"/>
  <c r="AF196" i="1"/>
  <c r="AG196" i="1"/>
  <c r="AH196" i="1"/>
  <c r="AI196" i="1"/>
  <c r="AJ196" i="1"/>
  <c r="AK196" i="1"/>
  <c r="AT196" i="1"/>
  <c r="AU196" i="1"/>
  <c r="AV196" i="1"/>
  <c r="AW196" i="1"/>
  <c r="AX196" i="1"/>
  <c r="AY196" i="1"/>
  <c r="AZ196" i="1"/>
  <c r="BA196" i="1"/>
  <c r="N197" i="1"/>
  <c r="O197" i="1"/>
  <c r="P197" i="1"/>
  <c r="Q197" i="1"/>
  <c r="R197" i="1"/>
  <c r="S197" i="1"/>
  <c r="T197" i="1"/>
  <c r="U197" i="1"/>
  <c r="AD197" i="1"/>
  <c r="AE197" i="1"/>
  <c r="AF197" i="1"/>
  <c r="AG197" i="1"/>
  <c r="AH197" i="1"/>
  <c r="AI197" i="1"/>
  <c r="AJ197" i="1"/>
  <c r="AK197" i="1"/>
  <c r="AT197" i="1"/>
  <c r="AU197" i="1"/>
  <c r="AV197" i="1"/>
  <c r="AW197" i="1"/>
  <c r="AX197" i="1"/>
  <c r="AY197" i="1"/>
  <c r="AZ197" i="1"/>
  <c r="BA197" i="1"/>
  <c r="N198" i="1"/>
  <c r="O198" i="1"/>
  <c r="P198" i="1"/>
  <c r="Q198" i="1"/>
  <c r="R198" i="1"/>
  <c r="S198" i="1"/>
  <c r="T198" i="1"/>
  <c r="U198" i="1"/>
  <c r="AD198" i="1"/>
  <c r="AE198" i="1"/>
  <c r="AF198" i="1"/>
  <c r="AG198" i="1"/>
  <c r="AH198" i="1"/>
  <c r="AI198" i="1"/>
  <c r="AJ198" i="1"/>
  <c r="AK198" i="1"/>
  <c r="AT198" i="1"/>
  <c r="AU198" i="1"/>
  <c r="AV198" i="1"/>
  <c r="AW198" i="1"/>
  <c r="AX198" i="1"/>
  <c r="AY198" i="1"/>
  <c r="AZ198" i="1"/>
  <c r="BA198" i="1"/>
  <c r="N199" i="1"/>
  <c r="O199" i="1"/>
  <c r="P199" i="1"/>
  <c r="Q199" i="1"/>
  <c r="R199" i="1"/>
  <c r="S199" i="1"/>
  <c r="T199" i="1"/>
  <c r="U199" i="1"/>
  <c r="AD199" i="1"/>
  <c r="AE199" i="1"/>
  <c r="AF199" i="1"/>
  <c r="AG199" i="1"/>
  <c r="AH199" i="1"/>
  <c r="AI199" i="1"/>
  <c r="AJ199" i="1"/>
  <c r="AK199" i="1"/>
  <c r="AT199" i="1"/>
  <c r="AU199" i="1"/>
  <c r="AV199" i="1"/>
  <c r="AW199" i="1"/>
  <c r="AX199" i="1"/>
  <c r="AY199" i="1"/>
  <c r="AZ199" i="1"/>
  <c r="BA199" i="1"/>
  <c r="N200" i="1"/>
  <c r="O200" i="1"/>
  <c r="P200" i="1"/>
  <c r="Q200" i="1"/>
  <c r="R200" i="1"/>
  <c r="S200" i="1"/>
  <c r="T200" i="1"/>
  <c r="U200" i="1"/>
  <c r="AD200" i="1"/>
  <c r="AE200" i="1"/>
  <c r="AF200" i="1"/>
  <c r="AG200" i="1"/>
  <c r="AH200" i="1"/>
  <c r="AI200" i="1"/>
  <c r="AJ200" i="1"/>
  <c r="AK200" i="1"/>
  <c r="AT200" i="1"/>
  <c r="AU200" i="1"/>
  <c r="AV200" i="1"/>
  <c r="AW200" i="1"/>
  <c r="AX200" i="1"/>
  <c r="AY200" i="1"/>
  <c r="AZ200" i="1"/>
  <c r="BA200" i="1"/>
  <c r="N201" i="1"/>
  <c r="O201" i="1"/>
  <c r="P201" i="1"/>
  <c r="Q201" i="1"/>
  <c r="R201" i="1"/>
  <c r="S201" i="1"/>
  <c r="T201" i="1"/>
  <c r="U201" i="1"/>
  <c r="AD201" i="1"/>
  <c r="AE201" i="1"/>
  <c r="AF201" i="1"/>
  <c r="AG201" i="1"/>
  <c r="AH201" i="1"/>
  <c r="AI201" i="1"/>
  <c r="AJ201" i="1"/>
  <c r="AK201" i="1"/>
  <c r="AT201" i="1"/>
  <c r="AU201" i="1"/>
  <c r="AV201" i="1"/>
  <c r="AW201" i="1"/>
  <c r="AX201" i="1"/>
  <c r="AY201" i="1"/>
  <c r="AZ201" i="1"/>
  <c r="BA201" i="1"/>
  <c r="N202" i="1"/>
  <c r="O202" i="1"/>
  <c r="P202" i="1"/>
  <c r="Q202" i="1"/>
  <c r="R202" i="1"/>
  <c r="S202" i="1"/>
  <c r="T202" i="1"/>
  <c r="U202" i="1"/>
  <c r="AD202" i="1"/>
  <c r="AE202" i="1"/>
  <c r="AF202" i="1"/>
  <c r="AG202" i="1"/>
  <c r="AH202" i="1"/>
  <c r="AI202" i="1"/>
  <c r="AJ202" i="1"/>
  <c r="AK202" i="1"/>
  <c r="AT202" i="1"/>
  <c r="AU202" i="1"/>
  <c r="AV202" i="1"/>
  <c r="AW202" i="1"/>
  <c r="AX202" i="1"/>
  <c r="AY202" i="1"/>
  <c r="AZ202" i="1"/>
  <c r="BA202" i="1"/>
  <c r="N203" i="1"/>
  <c r="O203" i="1"/>
  <c r="P203" i="1"/>
  <c r="Q203" i="1"/>
  <c r="R203" i="1"/>
  <c r="S203" i="1"/>
  <c r="T203" i="1"/>
  <c r="U203" i="1"/>
  <c r="AD203" i="1"/>
  <c r="AE203" i="1"/>
  <c r="AF203" i="1"/>
  <c r="AG203" i="1"/>
  <c r="AH203" i="1"/>
  <c r="AI203" i="1"/>
  <c r="AJ203" i="1"/>
  <c r="AK203" i="1"/>
  <c r="AT203" i="1"/>
  <c r="AU203" i="1"/>
  <c r="AV203" i="1"/>
  <c r="AW203" i="1"/>
  <c r="AX203" i="1"/>
  <c r="AY203" i="1"/>
  <c r="AZ203" i="1"/>
  <c r="BA203" i="1"/>
  <c r="N204" i="1"/>
  <c r="O204" i="1"/>
  <c r="P204" i="1"/>
  <c r="Q204" i="1"/>
  <c r="R204" i="1"/>
  <c r="S204" i="1"/>
  <c r="T204" i="1"/>
  <c r="U204" i="1"/>
  <c r="AD204" i="1"/>
  <c r="AE204" i="1"/>
  <c r="AF204" i="1"/>
  <c r="AG204" i="1"/>
  <c r="AH204" i="1"/>
  <c r="AI204" i="1"/>
  <c r="AJ204" i="1"/>
  <c r="AK204" i="1"/>
  <c r="AT204" i="1"/>
  <c r="AU204" i="1"/>
  <c r="AV204" i="1"/>
  <c r="AW204" i="1"/>
  <c r="AX204" i="1"/>
  <c r="AY204" i="1"/>
  <c r="AZ204" i="1"/>
  <c r="BA204" i="1"/>
  <c r="N205" i="1"/>
  <c r="O205" i="1"/>
  <c r="P205" i="1"/>
  <c r="Q205" i="1"/>
  <c r="R205" i="1"/>
  <c r="S205" i="1"/>
  <c r="T205" i="1"/>
  <c r="U205" i="1"/>
  <c r="AD205" i="1"/>
  <c r="AE205" i="1"/>
  <c r="AF205" i="1"/>
  <c r="AG205" i="1"/>
  <c r="AH205" i="1"/>
  <c r="AI205" i="1"/>
  <c r="AJ205" i="1"/>
  <c r="AK205" i="1"/>
  <c r="AT205" i="1"/>
  <c r="AU205" i="1"/>
  <c r="AV205" i="1"/>
  <c r="AW205" i="1"/>
  <c r="AX205" i="1"/>
  <c r="AY205" i="1"/>
  <c r="AZ205" i="1"/>
  <c r="BA205" i="1"/>
  <c r="N206" i="1"/>
  <c r="O206" i="1"/>
  <c r="P206" i="1"/>
  <c r="Q206" i="1"/>
  <c r="R206" i="1"/>
  <c r="S206" i="1"/>
  <c r="T206" i="1"/>
  <c r="U206" i="1"/>
  <c r="AD206" i="1"/>
  <c r="AE206" i="1"/>
  <c r="AF206" i="1"/>
  <c r="AG206" i="1"/>
  <c r="AH206" i="1"/>
  <c r="AI206" i="1"/>
  <c r="AJ206" i="1"/>
  <c r="AK206" i="1"/>
  <c r="AT206" i="1"/>
  <c r="AU206" i="1"/>
  <c r="AV206" i="1"/>
  <c r="AW206" i="1"/>
  <c r="AX206" i="1"/>
  <c r="AY206" i="1"/>
  <c r="AZ206" i="1"/>
  <c r="BA206" i="1"/>
  <c r="N207" i="1"/>
  <c r="O207" i="1"/>
  <c r="P207" i="1"/>
  <c r="Q207" i="1"/>
  <c r="R207" i="1"/>
  <c r="S207" i="1"/>
  <c r="T207" i="1"/>
  <c r="U207" i="1"/>
  <c r="AD207" i="1"/>
  <c r="AE207" i="1"/>
  <c r="AF207" i="1"/>
  <c r="AG207" i="1"/>
  <c r="AH207" i="1"/>
  <c r="AI207" i="1"/>
  <c r="AJ207" i="1"/>
  <c r="AK207" i="1"/>
  <c r="AT207" i="1"/>
  <c r="AU207" i="1"/>
  <c r="AV207" i="1"/>
  <c r="AW207" i="1"/>
  <c r="AX207" i="1"/>
  <c r="AY207" i="1"/>
  <c r="AZ207" i="1"/>
  <c r="BA207" i="1"/>
  <c r="N208" i="1"/>
  <c r="O208" i="1"/>
  <c r="P208" i="1"/>
  <c r="Q208" i="1"/>
  <c r="R208" i="1"/>
  <c r="S208" i="1"/>
  <c r="T208" i="1"/>
  <c r="U208" i="1"/>
  <c r="AD208" i="1"/>
  <c r="AE208" i="1"/>
  <c r="AF208" i="1"/>
  <c r="AG208" i="1"/>
  <c r="AH208" i="1"/>
  <c r="AI208" i="1"/>
  <c r="AJ208" i="1"/>
  <c r="AK208" i="1"/>
  <c r="AT208" i="1"/>
  <c r="AU208" i="1"/>
  <c r="AV208" i="1"/>
  <c r="AW208" i="1"/>
  <c r="AX208" i="1"/>
  <c r="AY208" i="1"/>
  <c r="AZ208" i="1"/>
  <c r="BA208" i="1"/>
  <c r="N209" i="1"/>
  <c r="O209" i="1"/>
  <c r="P209" i="1"/>
  <c r="Q209" i="1"/>
  <c r="R209" i="1"/>
  <c r="S209" i="1"/>
  <c r="T209" i="1"/>
  <c r="U209" i="1"/>
  <c r="AD209" i="1"/>
  <c r="AE209" i="1"/>
  <c r="AF209" i="1"/>
  <c r="AG209" i="1"/>
  <c r="AH209" i="1"/>
  <c r="AI209" i="1"/>
  <c r="AJ209" i="1"/>
  <c r="AK209" i="1"/>
  <c r="AT209" i="1"/>
  <c r="AU209" i="1"/>
  <c r="AV209" i="1"/>
  <c r="AW209" i="1"/>
  <c r="AX209" i="1"/>
  <c r="AY209" i="1"/>
  <c r="AZ209" i="1"/>
  <c r="BA209" i="1"/>
  <c r="N210" i="1"/>
  <c r="O210" i="1"/>
  <c r="P210" i="1"/>
  <c r="Q210" i="1"/>
  <c r="R210" i="1"/>
  <c r="S210" i="1"/>
  <c r="T210" i="1"/>
  <c r="U210" i="1"/>
  <c r="AD210" i="1"/>
  <c r="AE210" i="1"/>
  <c r="AF210" i="1"/>
  <c r="AG210" i="1"/>
  <c r="AH210" i="1"/>
  <c r="AI210" i="1"/>
  <c r="AJ210" i="1"/>
  <c r="AK210" i="1"/>
  <c r="AT210" i="1"/>
  <c r="AU210" i="1"/>
  <c r="AV210" i="1"/>
  <c r="AW210" i="1"/>
  <c r="AX210" i="1"/>
  <c r="AY210" i="1"/>
  <c r="AZ210" i="1"/>
  <c r="BA210" i="1"/>
  <c r="N211" i="1"/>
  <c r="O211" i="1"/>
  <c r="P211" i="1"/>
  <c r="Q211" i="1"/>
  <c r="R211" i="1"/>
  <c r="S211" i="1"/>
  <c r="T211" i="1"/>
  <c r="U211" i="1"/>
  <c r="AD211" i="1"/>
  <c r="AE211" i="1"/>
  <c r="AF211" i="1"/>
  <c r="AG211" i="1"/>
  <c r="AH211" i="1"/>
  <c r="AI211" i="1"/>
  <c r="AJ211" i="1"/>
  <c r="AK211" i="1"/>
  <c r="AT211" i="1"/>
  <c r="AU211" i="1"/>
  <c r="AV211" i="1"/>
  <c r="AW211" i="1"/>
  <c r="AX211" i="1"/>
  <c r="AY211" i="1"/>
  <c r="AZ211" i="1"/>
  <c r="BA211" i="1"/>
  <c r="N212" i="1"/>
  <c r="O212" i="1"/>
  <c r="P212" i="1"/>
  <c r="Q212" i="1"/>
  <c r="R212" i="1"/>
  <c r="S212" i="1"/>
  <c r="T212" i="1"/>
  <c r="U212" i="1"/>
  <c r="AD212" i="1"/>
  <c r="AE212" i="1"/>
  <c r="AF212" i="1"/>
  <c r="AG212" i="1"/>
  <c r="AH212" i="1"/>
  <c r="AI212" i="1"/>
  <c r="AJ212" i="1"/>
  <c r="AK212" i="1"/>
  <c r="AT212" i="1"/>
  <c r="AU212" i="1"/>
  <c r="AV212" i="1"/>
  <c r="AW212" i="1"/>
  <c r="AX212" i="1"/>
  <c r="AY212" i="1"/>
  <c r="AZ212" i="1"/>
  <c r="BA212" i="1"/>
  <c r="N213" i="1"/>
  <c r="O213" i="1"/>
  <c r="P213" i="1"/>
  <c r="Q213" i="1"/>
  <c r="R213" i="1"/>
  <c r="S213" i="1"/>
  <c r="T213" i="1"/>
  <c r="U213" i="1"/>
  <c r="AD213" i="1"/>
  <c r="AE213" i="1"/>
  <c r="AF213" i="1"/>
  <c r="AG213" i="1"/>
  <c r="AH213" i="1"/>
  <c r="AI213" i="1"/>
  <c r="AJ213" i="1"/>
  <c r="AK213" i="1"/>
  <c r="AT213" i="1"/>
  <c r="AU213" i="1"/>
  <c r="AV213" i="1"/>
  <c r="AW213" i="1"/>
  <c r="AX213" i="1"/>
  <c r="AY213" i="1"/>
  <c r="AZ213" i="1"/>
  <c r="BA213" i="1"/>
  <c r="N214" i="1"/>
  <c r="O214" i="1"/>
  <c r="P214" i="1"/>
  <c r="Q214" i="1"/>
  <c r="R214" i="1"/>
  <c r="S214" i="1"/>
  <c r="T214" i="1"/>
  <c r="U214" i="1"/>
  <c r="AD214" i="1"/>
  <c r="AE214" i="1"/>
  <c r="AF214" i="1"/>
  <c r="AG214" i="1"/>
  <c r="AH214" i="1"/>
  <c r="AI214" i="1"/>
  <c r="AJ214" i="1"/>
  <c r="AK214" i="1"/>
  <c r="AT214" i="1"/>
  <c r="AU214" i="1"/>
  <c r="AV214" i="1"/>
  <c r="AW214" i="1"/>
  <c r="AX214" i="1"/>
  <c r="AY214" i="1"/>
  <c r="AZ214" i="1"/>
  <c r="BA214" i="1"/>
  <c r="N215" i="1"/>
  <c r="O215" i="1"/>
  <c r="P215" i="1"/>
  <c r="Q215" i="1"/>
  <c r="R215" i="1"/>
  <c r="S215" i="1"/>
  <c r="T215" i="1"/>
  <c r="U215" i="1"/>
  <c r="AD215" i="1"/>
  <c r="AE215" i="1"/>
  <c r="AF215" i="1"/>
  <c r="AG215" i="1"/>
  <c r="AH215" i="1"/>
  <c r="AI215" i="1"/>
  <c r="AJ215" i="1"/>
  <c r="AK215" i="1"/>
  <c r="AT215" i="1"/>
  <c r="AU215" i="1"/>
  <c r="AV215" i="1"/>
  <c r="AW215" i="1"/>
  <c r="AX215" i="1"/>
  <c r="AY215" i="1"/>
  <c r="AZ215" i="1"/>
  <c r="BA215" i="1"/>
  <c r="N216" i="1"/>
  <c r="O216" i="1"/>
  <c r="P216" i="1"/>
  <c r="Q216" i="1"/>
  <c r="R216" i="1"/>
  <c r="S216" i="1"/>
  <c r="T216" i="1"/>
  <c r="U216" i="1"/>
  <c r="AD216" i="1"/>
  <c r="AE216" i="1"/>
  <c r="AF216" i="1"/>
  <c r="AG216" i="1"/>
  <c r="AH216" i="1"/>
  <c r="AI216" i="1"/>
  <c r="AJ216" i="1"/>
  <c r="AK216" i="1"/>
  <c r="AT216" i="1"/>
  <c r="AU216" i="1"/>
  <c r="AV216" i="1"/>
  <c r="AW216" i="1"/>
  <c r="AX216" i="1"/>
  <c r="AY216" i="1"/>
  <c r="AZ216" i="1"/>
  <c r="BA216" i="1"/>
  <c r="N217" i="1"/>
  <c r="O217" i="1"/>
  <c r="P217" i="1"/>
  <c r="Q217" i="1"/>
  <c r="R217" i="1"/>
  <c r="S217" i="1"/>
  <c r="T217" i="1"/>
  <c r="U217" i="1"/>
  <c r="AD217" i="1"/>
  <c r="AE217" i="1"/>
  <c r="AF217" i="1"/>
  <c r="AG217" i="1"/>
  <c r="AH217" i="1"/>
  <c r="AI217" i="1"/>
  <c r="AJ217" i="1"/>
  <c r="AK217" i="1"/>
  <c r="AT217" i="1"/>
  <c r="AU217" i="1"/>
  <c r="AV217" i="1"/>
  <c r="AW217" i="1"/>
  <c r="AX217" i="1"/>
  <c r="AY217" i="1"/>
  <c r="AZ217" i="1"/>
  <c r="BA217" i="1"/>
  <c r="N218" i="1"/>
  <c r="O218" i="1"/>
  <c r="P218" i="1"/>
  <c r="Q218" i="1"/>
  <c r="R218" i="1"/>
  <c r="S218" i="1"/>
  <c r="T218" i="1"/>
  <c r="U218" i="1"/>
  <c r="AD218" i="1"/>
  <c r="AE218" i="1"/>
  <c r="AF218" i="1"/>
  <c r="AG218" i="1"/>
  <c r="AH218" i="1"/>
  <c r="AI218" i="1"/>
  <c r="AJ218" i="1"/>
  <c r="AK218" i="1"/>
  <c r="AT218" i="1"/>
  <c r="AU218" i="1"/>
  <c r="AV218" i="1"/>
  <c r="AW218" i="1"/>
  <c r="AX218" i="1"/>
  <c r="AY218" i="1"/>
  <c r="AZ218" i="1"/>
  <c r="BA218" i="1"/>
  <c r="N219" i="1"/>
  <c r="O219" i="1"/>
  <c r="P219" i="1"/>
  <c r="Q219" i="1"/>
  <c r="R219" i="1"/>
  <c r="S219" i="1"/>
  <c r="T219" i="1"/>
  <c r="U219" i="1"/>
  <c r="AD219" i="1"/>
  <c r="AE219" i="1"/>
  <c r="AF219" i="1"/>
  <c r="AG219" i="1"/>
  <c r="AH219" i="1"/>
  <c r="AI219" i="1"/>
  <c r="AJ219" i="1"/>
  <c r="AK219" i="1"/>
  <c r="AT219" i="1"/>
  <c r="AU219" i="1"/>
  <c r="AV219" i="1"/>
  <c r="AW219" i="1"/>
  <c r="AX219" i="1"/>
  <c r="AY219" i="1"/>
  <c r="AZ219" i="1"/>
  <c r="BA219" i="1"/>
  <c r="N220" i="1"/>
  <c r="O220" i="1"/>
  <c r="P220" i="1"/>
  <c r="Q220" i="1"/>
  <c r="R220" i="1"/>
  <c r="S220" i="1"/>
  <c r="T220" i="1"/>
  <c r="U220" i="1"/>
  <c r="AD220" i="1"/>
  <c r="AE220" i="1"/>
  <c r="AF220" i="1"/>
  <c r="AG220" i="1"/>
  <c r="AH220" i="1"/>
  <c r="AI220" i="1"/>
  <c r="AJ220" i="1"/>
  <c r="AK220" i="1"/>
  <c r="AT220" i="1"/>
  <c r="AU220" i="1"/>
  <c r="AV220" i="1"/>
  <c r="AW220" i="1"/>
  <c r="AX220" i="1"/>
  <c r="AY220" i="1"/>
  <c r="AZ220" i="1"/>
  <c r="BA220" i="1"/>
  <c r="N221" i="1"/>
  <c r="O221" i="1"/>
  <c r="P221" i="1"/>
  <c r="Q221" i="1"/>
  <c r="R221" i="1"/>
  <c r="S221" i="1"/>
  <c r="T221" i="1"/>
  <c r="U221" i="1"/>
  <c r="AD221" i="1"/>
  <c r="AE221" i="1"/>
  <c r="AF221" i="1"/>
  <c r="AG221" i="1"/>
  <c r="AH221" i="1"/>
  <c r="AI221" i="1"/>
  <c r="AJ221" i="1"/>
  <c r="AK221" i="1"/>
  <c r="AT221" i="1"/>
  <c r="AU221" i="1"/>
  <c r="AV221" i="1"/>
  <c r="AW221" i="1"/>
  <c r="AX221" i="1"/>
  <c r="AY221" i="1"/>
  <c r="AZ221" i="1"/>
  <c r="BA221" i="1"/>
  <c r="N222" i="1"/>
  <c r="O222" i="1"/>
  <c r="P222" i="1"/>
  <c r="Q222" i="1"/>
  <c r="R222" i="1"/>
  <c r="S222" i="1"/>
  <c r="T222" i="1"/>
  <c r="U222" i="1"/>
  <c r="AD222" i="1"/>
  <c r="AE222" i="1"/>
  <c r="AF222" i="1"/>
  <c r="AG222" i="1"/>
  <c r="AH222" i="1"/>
  <c r="AI222" i="1"/>
  <c r="AJ222" i="1"/>
  <c r="AK222" i="1"/>
  <c r="AT222" i="1"/>
  <c r="AU222" i="1"/>
  <c r="AV222" i="1"/>
  <c r="AW222" i="1"/>
  <c r="AX222" i="1"/>
  <c r="AY222" i="1"/>
  <c r="AZ222" i="1"/>
  <c r="BA222" i="1"/>
  <c r="N223" i="1"/>
  <c r="O223" i="1"/>
  <c r="P223" i="1"/>
  <c r="Q223" i="1"/>
  <c r="R223" i="1"/>
  <c r="S223" i="1"/>
  <c r="T223" i="1"/>
  <c r="U223" i="1"/>
  <c r="AD223" i="1"/>
  <c r="AE223" i="1"/>
  <c r="AF223" i="1"/>
  <c r="AG223" i="1"/>
  <c r="AH223" i="1"/>
  <c r="AI223" i="1"/>
  <c r="AJ223" i="1"/>
  <c r="AK223" i="1"/>
  <c r="AT223" i="1"/>
  <c r="AU223" i="1"/>
  <c r="AV223" i="1"/>
  <c r="AW223" i="1"/>
  <c r="AX223" i="1"/>
  <c r="AY223" i="1"/>
  <c r="AZ223" i="1"/>
  <c r="BA223" i="1"/>
  <c r="N224" i="1"/>
  <c r="O224" i="1"/>
  <c r="P224" i="1"/>
  <c r="Q224" i="1"/>
  <c r="R224" i="1"/>
  <c r="S224" i="1"/>
  <c r="T224" i="1"/>
  <c r="U224" i="1"/>
  <c r="AD224" i="1"/>
  <c r="AE224" i="1"/>
  <c r="AF224" i="1"/>
  <c r="AG224" i="1"/>
  <c r="AH224" i="1"/>
  <c r="AI224" i="1"/>
  <c r="AJ224" i="1"/>
  <c r="AK224" i="1"/>
  <c r="AT224" i="1"/>
  <c r="AU224" i="1"/>
  <c r="AV224" i="1"/>
  <c r="AW224" i="1"/>
  <c r="AX224" i="1"/>
  <c r="AY224" i="1"/>
  <c r="AZ224" i="1"/>
  <c r="BA224" i="1"/>
  <c r="N225" i="1"/>
  <c r="O225" i="1"/>
  <c r="P225" i="1"/>
  <c r="Q225" i="1"/>
  <c r="R225" i="1"/>
  <c r="S225" i="1"/>
  <c r="T225" i="1"/>
  <c r="U225" i="1"/>
  <c r="AD225" i="1"/>
  <c r="AE225" i="1"/>
  <c r="AF225" i="1"/>
  <c r="AG225" i="1"/>
  <c r="AH225" i="1"/>
  <c r="AI225" i="1"/>
  <c r="AJ225" i="1"/>
  <c r="AK225" i="1"/>
  <c r="AT225" i="1"/>
  <c r="AU225" i="1"/>
  <c r="AV225" i="1"/>
  <c r="AW225" i="1"/>
  <c r="AX225" i="1"/>
  <c r="AY225" i="1"/>
  <c r="AZ225" i="1"/>
  <c r="BA225" i="1"/>
  <c r="N226" i="1"/>
  <c r="O226" i="1"/>
  <c r="P226" i="1"/>
  <c r="Q226" i="1"/>
  <c r="R226" i="1"/>
  <c r="S226" i="1"/>
  <c r="T226" i="1"/>
  <c r="U226" i="1"/>
  <c r="AD226" i="1"/>
  <c r="AE226" i="1"/>
  <c r="AF226" i="1"/>
  <c r="AG226" i="1"/>
  <c r="AH226" i="1"/>
  <c r="AI226" i="1"/>
  <c r="AJ226" i="1"/>
  <c r="AK226" i="1"/>
  <c r="AT226" i="1"/>
  <c r="AU226" i="1"/>
  <c r="AV226" i="1"/>
  <c r="AW226" i="1"/>
  <c r="AX226" i="1"/>
  <c r="AY226" i="1"/>
  <c r="AZ226" i="1"/>
  <c r="BA226" i="1"/>
  <c r="N227" i="1"/>
  <c r="O227" i="1"/>
  <c r="P227" i="1"/>
  <c r="Q227" i="1"/>
  <c r="R227" i="1"/>
  <c r="S227" i="1"/>
  <c r="T227" i="1"/>
  <c r="U227" i="1"/>
  <c r="AD227" i="1"/>
  <c r="AE227" i="1"/>
  <c r="AF227" i="1"/>
  <c r="AG227" i="1"/>
  <c r="AH227" i="1"/>
  <c r="AI227" i="1"/>
  <c r="AJ227" i="1"/>
  <c r="AK227" i="1"/>
  <c r="AT227" i="1"/>
  <c r="AU227" i="1"/>
  <c r="AV227" i="1"/>
  <c r="AW227" i="1"/>
  <c r="AX227" i="1"/>
  <c r="AY227" i="1"/>
  <c r="AZ227" i="1"/>
  <c r="BA227" i="1"/>
  <c r="N228" i="1"/>
  <c r="O228" i="1"/>
  <c r="P228" i="1"/>
  <c r="Q228" i="1"/>
  <c r="R228" i="1"/>
  <c r="S228" i="1"/>
  <c r="T228" i="1"/>
  <c r="U228" i="1"/>
  <c r="AD228" i="1"/>
  <c r="AE228" i="1"/>
  <c r="AF228" i="1"/>
  <c r="AG228" i="1"/>
  <c r="AH228" i="1"/>
  <c r="AI228" i="1"/>
  <c r="AJ228" i="1"/>
  <c r="AK228" i="1"/>
  <c r="AT228" i="1"/>
  <c r="AU228" i="1"/>
  <c r="AV228" i="1"/>
  <c r="AW228" i="1"/>
  <c r="AX228" i="1"/>
  <c r="AY228" i="1"/>
  <c r="AZ228" i="1"/>
  <c r="BA228" i="1"/>
  <c r="N229" i="1"/>
  <c r="O229" i="1"/>
  <c r="P229" i="1"/>
  <c r="Q229" i="1"/>
  <c r="R229" i="1"/>
  <c r="S229" i="1"/>
  <c r="T229" i="1"/>
  <c r="U229" i="1"/>
  <c r="AD229" i="1"/>
  <c r="AE229" i="1"/>
  <c r="AF229" i="1"/>
  <c r="AG229" i="1"/>
  <c r="AH229" i="1"/>
  <c r="AI229" i="1"/>
  <c r="AJ229" i="1"/>
  <c r="AK229" i="1"/>
  <c r="AT229" i="1"/>
  <c r="AU229" i="1"/>
  <c r="AV229" i="1"/>
  <c r="AW229" i="1"/>
  <c r="AX229" i="1"/>
  <c r="AY229" i="1"/>
  <c r="AZ229" i="1"/>
  <c r="BA229" i="1"/>
  <c r="N230" i="1"/>
  <c r="O230" i="1"/>
  <c r="P230" i="1"/>
  <c r="Q230" i="1"/>
  <c r="R230" i="1"/>
  <c r="S230" i="1"/>
  <c r="T230" i="1"/>
  <c r="U230" i="1"/>
  <c r="AD230" i="1"/>
  <c r="AE230" i="1"/>
  <c r="AF230" i="1"/>
  <c r="AG230" i="1"/>
  <c r="AH230" i="1"/>
  <c r="AI230" i="1"/>
  <c r="AJ230" i="1"/>
  <c r="AK230" i="1"/>
  <c r="AT230" i="1"/>
  <c r="AU230" i="1"/>
  <c r="AV230" i="1"/>
  <c r="AW230" i="1"/>
  <c r="AX230" i="1"/>
  <c r="AY230" i="1"/>
  <c r="AZ230" i="1"/>
  <c r="BA230" i="1"/>
  <c r="N231" i="1"/>
  <c r="O231" i="1"/>
  <c r="P231" i="1"/>
  <c r="Q231" i="1"/>
  <c r="R231" i="1"/>
  <c r="S231" i="1"/>
  <c r="T231" i="1"/>
  <c r="U231" i="1"/>
  <c r="AD231" i="1"/>
  <c r="AE231" i="1"/>
  <c r="AF231" i="1"/>
  <c r="AG231" i="1"/>
  <c r="AH231" i="1"/>
  <c r="AI231" i="1"/>
  <c r="AJ231" i="1"/>
  <c r="AK231" i="1"/>
  <c r="AT231" i="1"/>
  <c r="AU231" i="1"/>
  <c r="AV231" i="1"/>
  <c r="AW231" i="1"/>
  <c r="AX231" i="1"/>
  <c r="AY231" i="1"/>
  <c r="AZ231" i="1"/>
  <c r="BA231" i="1"/>
  <c r="N232" i="1"/>
  <c r="O232" i="1"/>
  <c r="P232" i="1"/>
  <c r="Q232" i="1"/>
  <c r="R232" i="1"/>
  <c r="S232" i="1"/>
  <c r="T232" i="1"/>
  <c r="U232" i="1"/>
  <c r="AD232" i="1"/>
  <c r="AE232" i="1"/>
  <c r="AF232" i="1"/>
  <c r="AG232" i="1"/>
  <c r="AH232" i="1"/>
  <c r="AI232" i="1"/>
  <c r="AJ232" i="1"/>
  <c r="AK232" i="1"/>
  <c r="AT232" i="1"/>
  <c r="AU232" i="1"/>
  <c r="AV232" i="1"/>
  <c r="AW232" i="1"/>
  <c r="AX232" i="1"/>
  <c r="AY232" i="1"/>
  <c r="AZ232" i="1"/>
  <c r="BA232" i="1"/>
  <c r="N233" i="1"/>
  <c r="O233" i="1"/>
  <c r="P233" i="1"/>
  <c r="Q233" i="1"/>
  <c r="R233" i="1"/>
  <c r="S233" i="1"/>
  <c r="T233" i="1"/>
  <c r="U233" i="1"/>
  <c r="AD233" i="1"/>
  <c r="AE233" i="1"/>
  <c r="AF233" i="1"/>
  <c r="AG233" i="1"/>
  <c r="AH233" i="1"/>
  <c r="AI233" i="1"/>
  <c r="AJ233" i="1"/>
  <c r="AK233" i="1"/>
  <c r="AT233" i="1"/>
  <c r="AU233" i="1"/>
  <c r="AV233" i="1"/>
  <c r="AW233" i="1"/>
  <c r="AX233" i="1"/>
  <c r="AY233" i="1"/>
  <c r="AZ233" i="1"/>
  <c r="BA233" i="1"/>
  <c r="N234" i="1"/>
  <c r="O234" i="1"/>
  <c r="P234" i="1"/>
  <c r="Q234" i="1"/>
  <c r="R234" i="1"/>
  <c r="S234" i="1"/>
  <c r="T234" i="1"/>
  <c r="U234" i="1"/>
  <c r="AD234" i="1"/>
  <c r="AE234" i="1"/>
  <c r="AF234" i="1"/>
  <c r="AG234" i="1"/>
  <c r="AH234" i="1"/>
  <c r="AI234" i="1"/>
  <c r="AJ234" i="1"/>
  <c r="AK234" i="1"/>
  <c r="AT234" i="1"/>
  <c r="AU234" i="1"/>
  <c r="AV234" i="1"/>
  <c r="AW234" i="1"/>
  <c r="AX234" i="1"/>
  <c r="AY234" i="1"/>
  <c r="AZ234" i="1"/>
  <c r="BA234" i="1"/>
  <c r="N235" i="1"/>
  <c r="O235" i="1"/>
  <c r="P235" i="1"/>
  <c r="Q235" i="1"/>
  <c r="R235" i="1"/>
  <c r="S235" i="1"/>
  <c r="T235" i="1"/>
  <c r="U235" i="1"/>
  <c r="AD235" i="1"/>
  <c r="AE235" i="1"/>
  <c r="AF235" i="1"/>
  <c r="AG235" i="1"/>
  <c r="AH235" i="1"/>
  <c r="AI235" i="1"/>
  <c r="AJ235" i="1"/>
  <c r="AK235" i="1"/>
  <c r="AT235" i="1"/>
  <c r="AU235" i="1"/>
  <c r="AV235" i="1"/>
  <c r="AW235" i="1"/>
  <c r="AX235" i="1"/>
  <c r="AY235" i="1"/>
  <c r="AZ235" i="1"/>
  <c r="BA235" i="1"/>
  <c r="N236" i="1"/>
  <c r="O236" i="1"/>
  <c r="P236" i="1"/>
  <c r="Q236" i="1"/>
  <c r="R236" i="1"/>
  <c r="S236" i="1"/>
  <c r="T236" i="1"/>
  <c r="U236" i="1"/>
  <c r="AD236" i="1"/>
  <c r="AE236" i="1"/>
  <c r="AF236" i="1"/>
  <c r="AG236" i="1"/>
  <c r="AH236" i="1"/>
  <c r="AI236" i="1"/>
  <c r="AJ236" i="1"/>
  <c r="AK236" i="1"/>
  <c r="AT236" i="1"/>
  <c r="AU236" i="1"/>
  <c r="AV236" i="1"/>
  <c r="AW236" i="1"/>
  <c r="AX236" i="1"/>
  <c r="AY236" i="1"/>
  <c r="AZ236" i="1"/>
  <c r="BA236" i="1"/>
  <c r="N237" i="1"/>
  <c r="O237" i="1"/>
  <c r="P237" i="1"/>
  <c r="Q237" i="1"/>
  <c r="R237" i="1"/>
  <c r="S237" i="1"/>
  <c r="T237" i="1"/>
  <c r="U237" i="1"/>
  <c r="AD237" i="1"/>
  <c r="AE237" i="1"/>
  <c r="AF237" i="1"/>
  <c r="AG237" i="1"/>
  <c r="AH237" i="1"/>
  <c r="AI237" i="1"/>
  <c r="AJ237" i="1"/>
  <c r="AK237" i="1"/>
  <c r="AT237" i="1"/>
  <c r="AU237" i="1"/>
  <c r="AV237" i="1"/>
  <c r="AW237" i="1"/>
  <c r="AX237" i="1"/>
  <c r="AY237" i="1"/>
  <c r="AZ237" i="1"/>
  <c r="BA237" i="1"/>
  <c r="N238" i="1"/>
  <c r="O238" i="1"/>
  <c r="P238" i="1"/>
  <c r="Q238" i="1"/>
  <c r="R238" i="1"/>
  <c r="S238" i="1"/>
  <c r="T238" i="1"/>
  <c r="U238" i="1"/>
  <c r="AD238" i="1"/>
  <c r="AE238" i="1"/>
  <c r="AF238" i="1"/>
  <c r="AG238" i="1"/>
  <c r="AH238" i="1"/>
  <c r="AI238" i="1"/>
  <c r="AJ238" i="1"/>
  <c r="AK238" i="1"/>
  <c r="AT238" i="1"/>
  <c r="AU238" i="1"/>
  <c r="AV238" i="1"/>
  <c r="AW238" i="1"/>
  <c r="AX238" i="1"/>
  <c r="AY238" i="1"/>
  <c r="AZ238" i="1"/>
  <c r="BA238" i="1"/>
  <c r="N239" i="1"/>
  <c r="O239" i="1"/>
  <c r="P239" i="1"/>
  <c r="Q239" i="1"/>
  <c r="R239" i="1"/>
  <c r="S239" i="1"/>
  <c r="T239" i="1"/>
  <c r="U239" i="1"/>
  <c r="AD239" i="1"/>
  <c r="AE239" i="1"/>
  <c r="AF239" i="1"/>
  <c r="AG239" i="1"/>
  <c r="AH239" i="1"/>
  <c r="AI239" i="1"/>
  <c r="AJ239" i="1"/>
  <c r="AK239" i="1"/>
  <c r="AT239" i="1"/>
  <c r="AU239" i="1"/>
  <c r="AV239" i="1"/>
  <c r="AW239" i="1"/>
  <c r="AX239" i="1"/>
  <c r="AY239" i="1"/>
  <c r="AZ239" i="1"/>
  <c r="BA239" i="1"/>
  <c r="N240" i="1"/>
  <c r="O240" i="1"/>
  <c r="P240" i="1"/>
  <c r="Q240" i="1"/>
  <c r="R240" i="1"/>
  <c r="S240" i="1"/>
  <c r="T240" i="1"/>
  <c r="U240" i="1"/>
  <c r="AD240" i="1"/>
  <c r="AE240" i="1"/>
  <c r="AF240" i="1"/>
  <c r="AG240" i="1"/>
  <c r="AH240" i="1"/>
  <c r="AI240" i="1"/>
  <c r="AJ240" i="1"/>
  <c r="AK240" i="1"/>
  <c r="AT240" i="1"/>
  <c r="AU240" i="1"/>
  <c r="AV240" i="1"/>
  <c r="AW240" i="1"/>
  <c r="AX240" i="1"/>
  <c r="AY240" i="1"/>
  <c r="AZ240" i="1"/>
  <c r="BA240" i="1"/>
  <c r="N241" i="1"/>
  <c r="O241" i="1"/>
  <c r="P241" i="1"/>
  <c r="Q241" i="1"/>
  <c r="R241" i="1"/>
  <c r="S241" i="1"/>
  <c r="T241" i="1"/>
  <c r="U241" i="1"/>
  <c r="AD241" i="1"/>
  <c r="AE241" i="1"/>
  <c r="AF241" i="1"/>
  <c r="AG241" i="1"/>
  <c r="AH241" i="1"/>
  <c r="AI241" i="1"/>
  <c r="AJ241" i="1"/>
  <c r="AK241" i="1"/>
  <c r="AT241" i="1"/>
  <c r="AU241" i="1"/>
  <c r="AV241" i="1"/>
  <c r="AW241" i="1"/>
  <c r="AX241" i="1"/>
  <c r="AY241" i="1"/>
  <c r="AZ241" i="1"/>
  <c r="BA241" i="1"/>
  <c r="N242" i="1"/>
  <c r="O242" i="1"/>
  <c r="P242" i="1"/>
  <c r="Q242" i="1"/>
  <c r="R242" i="1"/>
  <c r="S242" i="1"/>
  <c r="T242" i="1"/>
  <c r="U242" i="1"/>
  <c r="AD242" i="1"/>
  <c r="AE242" i="1"/>
  <c r="AF242" i="1"/>
  <c r="AG242" i="1"/>
  <c r="AH242" i="1"/>
  <c r="AI242" i="1"/>
  <c r="AJ242" i="1"/>
  <c r="AK242" i="1"/>
  <c r="AT242" i="1"/>
  <c r="AU242" i="1"/>
  <c r="AV242" i="1"/>
  <c r="AW242" i="1"/>
  <c r="AX242" i="1"/>
  <c r="AY242" i="1"/>
  <c r="AZ242" i="1"/>
  <c r="BA242" i="1"/>
  <c r="N243" i="1"/>
  <c r="O243" i="1"/>
  <c r="P243" i="1"/>
  <c r="Q243" i="1"/>
  <c r="R243" i="1"/>
  <c r="S243" i="1"/>
  <c r="T243" i="1"/>
  <c r="U243" i="1"/>
  <c r="AD243" i="1"/>
  <c r="AE243" i="1"/>
  <c r="AF243" i="1"/>
  <c r="AG243" i="1"/>
  <c r="AH243" i="1"/>
  <c r="AI243" i="1"/>
  <c r="AJ243" i="1"/>
  <c r="AK243" i="1"/>
  <c r="AT243" i="1"/>
  <c r="AU243" i="1"/>
  <c r="AV243" i="1"/>
  <c r="AW243" i="1"/>
  <c r="AX243" i="1"/>
  <c r="AY243" i="1"/>
  <c r="AZ243" i="1"/>
  <c r="BA243" i="1"/>
  <c r="N244" i="1"/>
  <c r="O244" i="1"/>
  <c r="P244" i="1"/>
  <c r="Q244" i="1"/>
  <c r="R244" i="1"/>
  <c r="S244" i="1"/>
  <c r="T244" i="1"/>
  <c r="U244" i="1"/>
  <c r="AD244" i="1"/>
  <c r="AE244" i="1"/>
  <c r="AF244" i="1"/>
  <c r="AG244" i="1"/>
  <c r="AH244" i="1"/>
  <c r="AI244" i="1"/>
  <c r="AJ244" i="1"/>
  <c r="AK244" i="1"/>
  <c r="AT244" i="1"/>
  <c r="AU244" i="1"/>
  <c r="AV244" i="1"/>
  <c r="AW244" i="1"/>
  <c r="AX244" i="1"/>
  <c r="AY244" i="1"/>
  <c r="AZ244" i="1"/>
  <c r="BA244" i="1"/>
  <c r="N245" i="1"/>
  <c r="O245" i="1"/>
  <c r="P245" i="1"/>
  <c r="Q245" i="1"/>
  <c r="R245" i="1"/>
  <c r="S245" i="1"/>
  <c r="T245" i="1"/>
  <c r="U245" i="1"/>
  <c r="AD245" i="1"/>
  <c r="AE245" i="1"/>
  <c r="AF245" i="1"/>
  <c r="AG245" i="1"/>
  <c r="AH245" i="1"/>
  <c r="AI245" i="1"/>
  <c r="AJ245" i="1"/>
  <c r="AK245" i="1"/>
  <c r="AT245" i="1"/>
  <c r="AU245" i="1"/>
  <c r="AV245" i="1"/>
  <c r="AW245" i="1"/>
  <c r="AX245" i="1"/>
  <c r="AY245" i="1"/>
  <c r="AZ245" i="1"/>
  <c r="BA245" i="1"/>
  <c r="N246" i="1"/>
  <c r="O246" i="1"/>
  <c r="P246" i="1"/>
  <c r="Q246" i="1"/>
  <c r="R246" i="1"/>
  <c r="S246" i="1"/>
  <c r="T246" i="1"/>
  <c r="U246" i="1"/>
  <c r="AD246" i="1"/>
  <c r="AE246" i="1"/>
  <c r="AF246" i="1"/>
  <c r="AG246" i="1"/>
  <c r="AH246" i="1"/>
  <c r="AI246" i="1"/>
  <c r="AJ246" i="1"/>
  <c r="AK246" i="1"/>
  <c r="AT246" i="1"/>
  <c r="AU246" i="1"/>
  <c r="AV246" i="1"/>
  <c r="AW246" i="1"/>
  <c r="AX246" i="1"/>
  <c r="AY246" i="1"/>
  <c r="AZ246" i="1"/>
  <c r="BA246" i="1"/>
  <c r="N247" i="1"/>
  <c r="O247" i="1"/>
  <c r="P247" i="1"/>
  <c r="Q247" i="1"/>
  <c r="R247" i="1"/>
  <c r="S247" i="1"/>
  <c r="T247" i="1"/>
  <c r="U247" i="1"/>
  <c r="AD247" i="1"/>
  <c r="AE247" i="1"/>
  <c r="AF247" i="1"/>
  <c r="AG247" i="1"/>
  <c r="AH247" i="1"/>
  <c r="AI247" i="1"/>
  <c r="AJ247" i="1"/>
  <c r="AK247" i="1"/>
  <c r="AT247" i="1"/>
  <c r="AU247" i="1"/>
  <c r="AV247" i="1"/>
  <c r="AW247" i="1"/>
  <c r="AX247" i="1"/>
  <c r="AY247" i="1"/>
  <c r="AZ247" i="1"/>
  <c r="BA247" i="1"/>
  <c r="N248" i="1"/>
  <c r="O248" i="1"/>
  <c r="P248" i="1"/>
  <c r="Q248" i="1"/>
  <c r="R248" i="1"/>
  <c r="S248" i="1"/>
  <c r="T248" i="1"/>
  <c r="U248" i="1"/>
  <c r="AD248" i="1"/>
  <c r="AE248" i="1"/>
  <c r="AF248" i="1"/>
  <c r="AG248" i="1"/>
  <c r="AH248" i="1"/>
  <c r="AI248" i="1"/>
  <c r="AJ248" i="1"/>
  <c r="AK248" i="1"/>
  <c r="AT248" i="1"/>
  <c r="AU248" i="1"/>
  <c r="AV248" i="1"/>
  <c r="AW248" i="1"/>
  <c r="AX248" i="1"/>
  <c r="AY248" i="1"/>
  <c r="AZ248" i="1"/>
  <c r="BA248" i="1"/>
  <c r="N249" i="1"/>
  <c r="O249" i="1"/>
  <c r="P249" i="1"/>
  <c r="Q249" i="1"/>
  <c r="R249" i="1"/>
  <c r="S249" i="1"/>
  <c r="T249" i="1"/>
  <c r="U249" i="1"/>
  <c r="AD249" i="1"/>
  <c r="AE249" i="1"/>
  <c r="AF249" i="1"/>
  <c r="AG249" i="1"/>
  <c r="AH249" i="1"/>
  <c r="AI249" i="1"/>
  <c r="AJ249" i="1"/>
  <c r="AK249" i="1"/>
  <c r="AT249" i="1"/>
  <c r="AU249" i="1"/>
  <c r="AV249" i="1"/>
  <c r="AW249" i="1"/>
  <c r="AX249" i="1"/>
  <c r="AY249" i="1"/>
  <c r="AZ249" i="1"/>
  <c r="BA249" i="1"/>
  <c r="N250" i="1"/>
  <c r="O250" i="1"/>
  <c r="P250" i="1"/>
  <c r="Q250" i="1"/>
  <c r="R250" i="1"/>
  <c r="S250" i="1"/>
  <c r="T250" i="1"/>
  <c r="U250" i="1"/>
  <c r="AD250" i="1"/>
  <c r="AE250" i="1"/>
  <c r="AF250" i="1"/>
  <c r="AG250" i="1"/>
  <c r="AH250" i="1"/>
  <c r="AI250" i="1"/>
  <c r="AJ250" i="1"/>
  <c r="AK250" i="1"/>
  <c r="AT250" i="1"/>
  <c r="AU250" i="1"/>
  <c r="AV250" i="1"/>
  <c r="AW250" i="1"/>
  <c r="AX250" i="1"/>
  <c r="AY250" i="1"/>
  <c r="AZ250" i="1"/>
  <c r="BA250" i="1"/>
  <c r="N251" i="1"/>
  <c r="O251" i="1"/>
  <c r="P251" i="1"/>
  <c r="Q251" i="1"/>
  <c r="R251" i="1"/>
  <c r="S251" i="1"/>
  <c r="T251" i="1"/>
  <c r="U251" i="1"/>
  <c r="AD251" i="1"/>
  <c r="AE251" i="1"/>
  <c r="AF251" i="1"/>
  <c r="AG251" i="1"/>
  <c r="AH251" i="1"/>
  <c r="AI251" i="1"/>
  <c r="AJ251" i="1"/>
  <c r="AK251" i="1"/>
  <c r="AT251" i="1"/>
  <c r="AU251" i="1"/>
  <c r="AV251" i="1"/>
  <c r="AW251" i="1"/>
  <c r="AX251" i="1"/>
  <c r="AY251" i="1"/>
  <c r="AZ251" i="1"/>
  <c r="BA251" i="1"/>
  <c r="N252" i="1"/>
  <c r="O252" i="1"/>
  <c r="P252" i="1"/>
  <c r="Q252" i="1"/>
  <c r="R252" i="1"/>
  <c r="S252" i="1"/>
  <c r="T252" i="1"/>
  <c r="U252" i="1"/>
  <c r="AD252" i="1"/>
  <c r="AE252" i="1"/>
  <c r="AF252" i="1"/>
  <c r="AG252" i="1"/>
  <c r="AH252" i="1"/>
  <c r="AI252" i="1"/>
  <c r="AJ252" i="1"/>
  <c r="AK252" i="1"/>
  <c r="AT252" i="1"/>
  <c r="AU252" i="1"/>
  <c r="AV252" i="1"/>
  <c r="AW252" i="1"/>
  <c r="AX252" i="1"/>
  <c r="AY252" i="1"/>
  <c r="AZ252" i="1"/>
  <c r="BA252" i="1"/>
  <c r="N253" i="1"/>
  <c r="O253" i="1"/>
  <c r="P253" i="1"/>
  <c r="Q253" i="1"/>
  <c r="R253" i="1"/>
  <c r="S253" i="1"/>
  <c r="T253" i="1"/>
  <c r="U253" i="1"/>
  <c r="AD253" i="1"/>
  <c r="AE253" i="1"/>
  <c r="AF253" i="1"/>
  <c r="AG253" i="1"/>
  <c r="AH253" i="1"/>
  <c r="AI253" i="1"/>
  <c r="AJ253" i="1"/>
  <c r="AK253" i="1"/>
  <c r="AT253" i="1"/>
  <c r="AU253" i="1"/>
  <c r="AV253" i="1"/>
  <c r="AW253" i="1"/>
  <c r="AX253" i="1"/>
  <c r="AY253" i="1"/>
  <c r="AZ253" i="1"/>
  <c r="BA253" i="1"/>
  <c r="N254" i="1"/>
  <c r="O254" i="1"/>
  <c r="P254" i="1"/>
  <c r="Q254" i="1"/>
  <c r="R254" i="1"/>
  <c r="S254" i="1"/>
  <c r="T254" i="1"/>
  <c r="U254" i="1"/>
  <c r="AD254" i="1"/>
  <c r="AE254" i="1"/>
  <c r="AF254" i="1"/>
  <c r="AG254" i="1"/>
  <c r="AH254" i="1"/>
  <c r="AI254" i="1"/>
  <c r="AJ254" i="1"/>
  <c r="AK254" i="1"/>
  <c r="AT254" i="1"/>
  <c r="AU254" i="1"/>
  <c r="AV254" i="1"/>
  <c r="AW254" i="1"/>
  <c r="AX254" i="1"/>
  <c r="AY254" i="1"/>
  <c r="AZ254" i="1"/>
  <c r="BA254" i="1"/>
  <c r="N255" i="1"/>
  <c r="O255" i="1"/>
  <c r="P255" i="1"/>
  <c r="Q255" i="1"/>
  <c r="R255" i="1"/>
  <c r="S255" i="1"/>
  <c r="T255" i="1"/>
  <c r="U255" i="1"/>
  <c r="AD255" i="1"/>
  <c r="AE255" i="1"/>
  <c r="AF255" i="1"/>
  <c r="AG255" i="1"/>
  <c r="AH255" i="1"/>
  <c r="AI255" i="1"/>
  <c r="AJ255" i="1"/>
  <c r="AK255" i="1"/>
  <c r="AT255" i="1"/>
  <c r="AU255" i="1"/>
  <c r="AV255" i="1"/>
  <c r="AW255" i="1"/>
  <c r="AX255" i="1"/>
  <c r="AY255" i="1"/>
  <c r="AZ255" i="1"/>
  <c r="BA255" i="1"/>
  <c r="N256" i="1"/>
  <c r="O256" i="1"/>
  <c r="P256" i="1"/>
  <c r="Q256" i="1"/>
  <c r="R256" i="1"/>
  <c r="S256" i="1"/>
  <c r="T256" i="1"/>
  <c r="U256" i="1"/>
  <c r="AD256" i="1"/>
  <c r="AE256" i="1"/>
  <c r="AF256" i="1"/>
  <c r="AG256" i="1"/>
  <c r="AH256" i="1"/>
  <c r="AI256" i="1"/>
  <c r="AJ256" i="1"/>
  <c r="AK256" i="1"/>
  <c r="AT256" i="1"/>
  <c r="AU256" i="1"/>
  <c r="AV256" i="1"/>
  <c r="AW256" i="1"/>
  <c r="AX256" i="1"/>
  <c r="AY256" i="1"/>
  <c r="AZ256" i="1"/>
  <c r="BA256" i="1"/>
  <c r="N257" i="1"/>
  <c r="O257" i="1"/>
  <c r="P257" i="1"/>
  <c r="Q257" i="1"/>
  <c r="R257" i="1"/>
  <c r="S257" i="1"/>
  <c r="T257" i="1"/>
  <c r="U257" i="1"/>
  <c r="AD257" i="1"/>
  <c r="AE257" i="1"/>
  <c r="AF257" i="1"/>
  <c r="AG257" i="1"/>
  <c r="AH257" i="1"/>
  <c r="AI257" i="1"/>
  <c r="AJ257" i="1"/>
  <c r="AK257" i="1"/>
  <c r="AT257" i="1"/>
  <c r="AU257" i="1"/>
  <c r="AV257" i="1"/>
  <c r="AW257" i="1"/>
  <c r="AX257" i="1"/>
  <c r="AY257" i="1"/>
  <c r="AZ257" i="1"/>
  <c r="BA257" i="1"/>
  <c r="N258" i="1"/>
  <c r="O258" i="1"/>
  <c r="P258" i="1"/>
  <c r="Q258" i="1"/>
  <c r="R258" i="1"/>
  <c r="S258" i="1"/>
  <c r="T258" i="1"/>
  <c r="U258" i="1"/>
  <c r="AD258" i="1"/>
  <c r="AE258" i="1"/>
  <c r="AF258" i="1"/>
  <c r="AG258" i="1"/>
  <c r="AH258" i="1"/>
  <c r="AI258" i="1"/>
  <c r="AJ258" i="1"/>
  <c r="AK258" i="1"/>
  <c r="AT258" i="1"/>
  <c r="AU258" i="1"/>
  <c r="AV258" i="1"/>
  <c r="AW258" i="1"/>
  <c r="AX258" i="1"/>
  <c r="AY258" i="1"/>
  <c r="AZ258" i="1"/>
  <c r="BA258" i="1"/>
  <c r="N259" i="1"/>
  <c r="O259" i="1"/>
  <c r="P259" i="1"/>
  <c r="Q259" i="1"/>
  <c r="R259" i="1"/>
  <c r="S259" i="1"/>
  <c r="T259" i="1"/>
  <c r="U259" i="1"/>
  <c r="AD259" i="1"/>
  <c r="AE259" i="1"/>
  <c r="AF259" i="1"/>
  <c r="AG259" i="1"/>
  <c r="AH259" i="1"/>
  <c r="AI259" i="1"/>
  <c r="AJ259" i="1"/>
  <c r="AK259" i="1"/>
  <c r="AT259" i="1"/>
  <c r="AU259" i="1"/>
  <c r="AV259" i="1"/>
  <c r="AW259" i="1"/>
  <c r="AX259" i="1"/>
  <c r="AY259" i="1"/>
  <c r="AZ259" i="1"/>
  <c r="BA259" i="1"/>
  <c r="N260" i="1"/>
  <c r="O260" i="1"/>
  <c r="P260" i="1"/>
  <c r="Q260" i="1"/>
  <c r="R260" i="1"/>
  <c r="S260" i="1"/>
  <c r="T260" i="1"/>
  <c r="U260" i="1"/>
  <c r="AD260" i="1"/>
  <c r="AE260" i="1"/>
  <c r="AF260" i="1"/>
  <c r="AG260" i="1"/>
  <c r="AH260" i="1"/>
  <c r="AI260" i="1"/>
  <c r="AJ260" i="1"/>
  <c r="AK260" i="1"/>
  <c r="AT260" i="1"/>
  <c r="AU260" i="1"/>
  <c r="AV260" i="1"/>
  <c r="AW260" i="1"/>
  <c r="AX260" i="1"/>
  <c r="AY260" i="1"/>
  <c r="AZ260" i="1"/>
  <c r="BA260" i="1"/>
  <c r="N261" i="1"/>
  <c r="O261" i="1"/>
  <c r="P261" i="1"/>
  <c r="Q261" i="1"/>
  <c r="R261" i="1"/>
  <c r="S261" i="1"/>
  <c r="T261" i="1"/>
  <c r="U261" i="1"/>
  <c r="AD261" i="1"/>
  <c r="AE261" i="1"/>
  <c r="AF261" i="1"/>
  <c r="AG261" i="1"/>
  <c r="AH261" i="1"/>
  <c r="AI261" i="1"/>
  <c r="AJ261" i="1"/>
  <c r="AK261" i="1"/>
  <c r="AT261" i="1"/>
  <c r="AU261" i="1"/>
  <c r="AV261" i="1"/>
  <c r="AW261" i="1"/>
  <c r="AX261" i="1"/>
  <c r="AY261" i="1"/>
  <c r="AZ261" i="1"/>
  <c r="BA261" i="1"/>
  <c r="N262" i="1"/>
  <c r="O262" i="1"/>
  <c r="P262" i="1"/>
  <c r="Q262" i="1"/>
  <c r="R262" i="1"/>
  <c r="S262" i="1"/>
  <c r="T262" i="1"/>
  <c r="U262" i="1"/>
  <c r="AD262" i="1"/>
  <c r="AE262" i="1"/>
  <c r="AF262" i="1"/>
  <c r="AG262" i="1"/>
  <c r="AH262" i="1"/>
  <c r="AI262" i="1"/>
  <c r="AJ262" i="1"/>
  <c r="AK262" i="1"/>
  <c r="AT262" i="1"/>
  <c r="AU262" i="1"/>
  <c r="AV262" i="1"/>
  <c r="AW262" i="1"/>
  <c r="AX262" i="1"/>
  <c r="AY262" i="1"/>
  <c r="AZ262" i="1"/>
  <c r="BA262" i="1"/>
  <c r="N263" i="1"/>
  <c r="O263" i="1"/>
  <c r="P263" i="1"/>
  <c r="Q263" i="1"/>
  <c r="R263" i="1"/>
  <c r="S263" i="1"/>
  <c r="T263" i="1"/>
  <c r="U263" i="1"/>
  <c r="AD263" i="1"/>
  <c r="AE263" i="1"/>
  <c r="AF263" i="1"/>
  <c r="AG263" i="1"/>
  <c r="AH263" i="1"/>
  <c r="AI263" i="1"/>
  <c r="AJ263" i="1"/>
  <c r="AK263" i="1"/>
  <c r="AT263" i="1"/>
  <c r="AU263" i="1"/>
  <c r="AV263" i="1"/>
  <c r="AW263" i="1"/>
  <c r="AX263" i="1"/>
  <c r="AY263" i="1"/>
  <c r="AZ263" i="1"/>
  <c r="BA263" i="1"/>
  <c r="N264" i="1"/>
  <c r="O264" i="1"/>
  <c r="P264" i="1"/>
  <c r="Q264" i="1"/>
  <c r="R264" i="1"/>
  <c r="S264" i="1"/>
  <c r="T264" i="1"/>
  <c r="U264" i="1"/>
  <c r="AD264" i="1"/>
  <c r="AE264" i="1"/>
  <c r="AF264" i="1"/>
  <c r="AG264" i="1"/>
  <c r="AH264" i="1"/>
  <c r="AI264" i="1"/>
  <c r="AJ264" i="1"/>
  <c r="AK264" i="1"/>
  <c r="AT264" i="1"/>
  <c r="AU264" i="1"/>
  <c r="AV264" i="1"/>
  <c r="AW264" i="1"/>
  <c r="AX264" i="1"/>
  <c r="AY264" i="1"/>
  <c r="AZ264" i="1"/>
  <c r="BA264" i="1"/>
  <c r="N265" i="1"/>
  <c r="O265" i="1"/>
  <c r="P265" i="1"/>
  <c r="Q265" i="1"/>
  <c r="R265" i="1"/>
  <c r="S265" i="1"/>
  <c r="T265" i="1"/>
  <c r="U265" i="1"/>
  <c r="AD265" i="1"/>
  <c r="AE265" i="1"/>
  <c r="AF265" i="1"/>
  <c r="AG265" i="1"/>
  <c r="AH265" i="1"/>
  <c r="AI265" i="1"/>
  <c r="AJ265" i="1"/>
  <c r="AK265" i="1"/>
  <c r="AT265" i="1"/>
  <c r="AU265" i="1"/>
  <c r="AV265" i="1"/>
  <c r="AW265" i="1"/>
  <c r="AX265" i="1"/>
  <c r="AY265" i="1"/>
  <c r="AZ265" i="1"/>
  <c r="BA265" i="1"/>
  <c r="N266" i="1"/>
  <c r="O266" i="1"/>
  <c r="P266" i="1"/>
  <c r="Q266" i="1"/>
  <c r="R266" i="1"/>
  <c r="S266" i="1"/>
  <c r="T266" i="1"/>
  <c r="U266" i="1"/>
  <c r="AD266" i="1"/>
  <c r="AE266" i="1"/>
  <c r="AF266" i="1"/>
  <c r="AG266" i="1"/>
  <c r="AH266" i="1"/>
  <c r="AI266" i="1"/>
  <c r="AJ266" i="1"/>
  <c r="AK266" i="1"/>
  <c r="AT266" i="1"/>
  <c r="AU266" i="1"/>
  <c r="AV266" i="1"/>
  <c r="AW266" i="1"/>
  <c r="AX266" i="1"/>
  <c r="AY266" i="1"/>
  <c r="AZ266" i="1"/>
  <c r="BA266" i="1"/>
  <c r="N267" i="1"/>
  <c r="O267" i="1"/>
  <c r="P267" i="1"/>
  <c r="Q267" i="1"/>
  <c r="R267" i="1"/>
  <c r="S267" i="1"/>
  <c r="T267" i="1"/>
  <c r="U267" i="1"/>
  <c r="AD267" i="1"/>
  <c r="AE267" i="1"/>
  <c r="AF267" i="1"/>
  <c r="AG267" i="1"/>
  <c r="AH267" i="1"/>
  <c r="AI267" i="1"/>
  <c r="AJ267" i="1"/>
  <c r="AK267" i="1"/>
  <c r="AT267" i="1"/>
  <c r="AU267" i="1"/>
  <c r="AV267" i="1"/>
  <c r="AW267" i="1"/>
  <c r="AX267" i="1"/>
  <c r="AY267" i="1"/>
  <c r="AZ267" i="1"/>
  <c r="BA267" i="1"/>
  <c r="N268" i="1"/>
  <c r="O268" i="1"/>
  <c r="P268" i="1"/>
  <c r="Q268" i="1"/>
  <c r="R268" i="1"/>
  <c r="S268" i="1"/>
  <c r="T268" i="1"/>
  <c r="U268" i="1"/>
  <c r="AD268" i="1"/>
  <c r="AE268" i="1"/>
  <c r="AF268" i="1"/>
  <c r="AG268" i="1"/>
  <c r="AH268" i="1"/>
  <c r="AI268" i="1"/>
  <c r="AJ268" i="1"/>
  <c r="AK268" i="1"/>
  <c r="AT268" i="1"/>
  <c r="AU268" i="1"/>
  <c r="AV268" i="1"/>
  <c r="AW268" i="1"/>
  <c r="AX268" i="1"/>
  <c r="AY268" i="1"/>
  <c r="AZ268" i="1"/>
  <c r="BA268" i="1"/>
  <c r="N269" i="1"/>
  <c r="O269" i="1"/>
  <c r="P269" i="1"/>
  <c r="Q269" i="1"/>
  <c r="R269" i="1"/>
  <c r="S269" i="1"/>
  <c r="T269" i="1"/>
  <c r="U269" i="1"/>
  <c r="AD269" i="1"/>
  <c r="AE269" i="1"/>
  <c r="AF269" i="1"/>
  <c r="AG269" i="1"/>
  <c r="AH269" i="1"/>
  <c r="AI269" i="1"/>
  <c r="AJ269" i="1"/>
  <c r="AK269" i="1"/>
  <c r="AT269" i="1"/>
  <c r="AU269" i="1"/>
  <c r="AV269" i="1"/>
  <c r="AW269" i="1"/>
  <c r="AX269" i="1"/>
  <c r="AY269" i="1"/>
  <c r="AZ269" i="1"/>
  <c r="BA269" i="1"/>
  <c r="N270" i="1"/>
  <c r="O270" i="1"/>
  <c r="P270" i="1"/>
  <c r="Q270" i="1"/>
  <c r="R270" i="1"/>
  <c r="S270" i="1"/>
  <c r="T270" i="1"/>
  <c r="U270" i="1"/>
  <c r="AD270" i="1"/>
  <c r="AE270" i="1"/>
  <c r="AF270" i="1"/>
  <c r="AG270" i="1"/>
  <c r="AH270" i="1"/>
  <c r="AI270" i="1"/>
  <c r="AJ270" i="1"/>
  <c r="AK270" i="1"/>
  <c r="AT270" i="1"/>
  <c r="AU270" i="1"/>
  <c r="AV270" i="1"/>
  <c r="AW270" i="1"/>
  <c r="AX270" i="1"/>
  <c r="AY270" i="1"/>
  <c r="AZ270" i="1"/>
  <c r="BA270" i="1"/>
  <c r="N271" i="1"/>
  <c r="O271" i="1"/>
  <c r="P271" i="1"/>
  <c r="Q271" i="1"/>
  <c r="R271" i="1"/>
  <c r="S271" i="1"/>
  <c r="T271" i="1"/>
  <c r="U271" i="1"/>
  <c r="AD271" i="1"/>
  <c r="AE271" i="1"/>
  <c r="AF271" i="1"/>
  <c r="AG271" i="1"/>
  <c r="AH271" i="1"/>
  <c r="AI271" i="1"/>
  <c r="AJ271" i="1"/>
  <c r="AK271" i="1"/>
  <c r="AT271" i="1"/>
  <c r="AU271" i="1"/>
  <c r="AV271" i="1"/>
  <c r="AW271" i="1"/>
  <c r="AX271" i="1"/>
  <c r="AY271" i="1"/>
  <c r="AZ271" i="1"/>
  <c r="BA271" i="1"/>
  <c r="N272" i="1"/>
  <c r="O272" i="1"/>
  <c r="P272" i="1"/>
  <c r="Q272" i="1"/>
  <c r="R272" i="1"/>
  <c r="S272" i="1"/>
  <c r="T272" i="1"/>
  <c r="U272" i="1"/>
  <c r="AD272" i="1"/>
  <c r="AE272" i="1"/>
  <c r="AF272" i="1"/>
  <c r="AG272" i="1"/>
  <c r="AH272" i="1"/>
  <c r="AI272" i="1"/>
  <c r="AJ272" i="1"/>
  <c r="AK272" i="1"/>
  <c r="AT272" i="1"/>
  <c r="AU272" i="1"/>
  <c r="AV272" i="1"/>
  <c r="AW272" i="1"/>
  <c r="AX272" i="1"/>
  <c r="AY272" i="1"/>
  <c r="AZ272" i="1"/>
  <c r="BA272" i="1"/>
  <c r="N273" i="1"/>
  <c r="O273" i="1"/>
  <c r="P273" i="1"/>
  <c r="Q273" i="1"/>
  <c r="R273" i="1"/>
  <c r="S273" i="1"/>
  <c r="T273" i="1"/>
  <c r="U273" i="1"/>
  <c r="AD273" i="1"/>
  <c r="AE273" i="1"/>
  <c r="AF273" i="1"/>
  <c r="AG273" i="1"/>
  <c r="AH273" i="1"/>
  <c r="AI273" i="1"/>
  <c r="AJ273" i="1"/>
  <c r="AK273" i="1"/>
  <c r="AT273" i="1"/>
  <c r="AU273" i="1"/>
  <c r="AV273" i="1"/>
  <c r="AW273" i="1"/>
  <c r="AX273" i="1"/>
  <c r="AY273" i="1"/>
  <c r="AZ273" i="1"/>
  <c r="BA273" i="1"/>
  <c r="N274" i="1"/>
  <c r="O274" i="1"/>
  <c r="P274" i="1"/>
  <c r="Q274" i="1"/>
  <c r="R274" i="1"/>
  <c r="S274" i="1"/>
  <c r="T274" i="1"/>
  <c r="U274" i="1"/>
  <c r="AD274" i="1"/>
  <c r="AE274" i="1"/>
  <c r="AF274" i="1"/>
  <c r="AG274" i="1"/>
  <c r="AH274" i="1"/>
  <c r="AI274" i="1"/>
  <c r="AJ274" i="1"/>
  <c r="AK274" i="1"/>
  <c r="AT274" i="1"/>
  <c r="AU274" i="1"/>
  <c r="AV274" i="1"/>
  <c r="AW274" i="1"/>
  <c r="AX274" i="1"/>
  <c r="AY274" i="1"/>
  <c r="AZ274" i="1"/>
  <c r="BA274" i="1"/>
  <c r="N275" i="1"/>
  <c r="O275" i="1"/>
  <c r="P275" i="1"/>
  <c r="Q275" i="1"/>
  <c r="R275" i="1"/>
  <c r="S275" i="1"/>
  <c r="T275" i="1"/>
  <c r="U275" i="1"/>
  <c r="AD275" i="1"/>
  <c r="AE275" i="1"/>
  <c r="AF275" i="1"/>
  <c r="AG275" i="1"/>
  <c r="AH275" i="1"/>
  <c r="AI275" i="1"/>
  <c r="AJ275" i="1"/>
  <c r="AK275" i="1"/>
  <c r="AT275" i="1"/>
  <c r="AU275" i="1"/>
  <c r="AV275" i="1"/>
  <c r="AW275" i="1"/>
  <c r="AX275" i="1"/>
  <c r="AY275" i="1"/>
  <c r="AZ275" i="1"/>
  <c r="BA275" i="1"/>
  <c r="N276" i="1"/>
  <c r="O276" i="1"/>
  <c r="P276" i="1"/>
  <c r="Q276" i="1"/>
  <c r="R276" i="1"/>
  <c r="S276" i="1"/>
  <c r="T276" i="1"/>
  <c r="U276" i="1"/>
  <c r="AD276" i="1"/>
  <c r="AE276" i="1"/>
  <c r="AF276" i="1"/>
  <c r="AG276" i="1"/>
  <c r="AH276" i="1"/>
  <c r="AI276" i="1"/>
  <c r="AJ276" i="1"/>
  <c r="AK276" i="1"/>
  <c r="AT276" i="1"/>
  <c r="AU276" i="1"/>
  <c r="AV276" i="1"/>
  <c r="AW276" i="1"/>
  <c r="AX276" i="1"/>
  <c r="AY276" i="1"/>
  <c r="AZ276" i="1"/>
  <c r="BA276" i="1"/>
  <c r="N277" i="1"/>
  <c r="O277" i="1"/>
  <c r="P277" i="1"/>
  <c r="Q277" i="1"/>
  <c r="R277" i="1"/>
  <c r="S277" i="1"/>
  <c r="T277" i="1"/>
  <c r="U277" i="1"/>
  <c r="AD277" i="1"/>
  <c r="AE277" i="1"/>
  <c r="AF277" i="1"/>
  <c r="AG277" i="1"/>
  <c r="AH277" i="1"/>
  <c r="AI277" i="1"/>
  <c r="AJ277" i="1"/>
  <c r="AK277" i="1"/>
  <c r="AT277" i="1"/>
  <c r="AU277" i="1"/>
  <c r="AV277" i="1"/>
  <c r="AW277" i="1"/>
  <c r="AX277" i="1"/>
  <c r="AY277" i="1"/>
  <c r="AZ277" i="1"/>
  <c r="BA277" i="1"/>
  <c r="N278" i="1"/>
  <c r="O278" i="1"/>
  <c r="P278" i="1"/>
  <c r="Q278" i="1"/>
  <c r="R278" i="1"/>
  <c r="S278" i="1"/>
  <c r="T278" i="1"/>
  <c r="U278" i="1"/>
  <c r="AD278" i="1"/>
  <c r="AE278" i="1"/>
  <c r="AF278" i="1"/>
  <c r="AG278" i="1"/>
  <c r="AH278" i="1"/>
  <c r="AI278" i="1"/>
  <c r="AJ278" i="1"/>
  <c r="AK278" i="1"/>
  <c r="AT278" i="1"/>
  <c r="AU278" i="1"/>
  <c r="AV278" i="1"/>
  <c r="AW278" i="1"/>
  <c r="AX278" i="1"/>
  <c r="AY278" i="1"/>
  <c r="AZ278" i="1"/>
  <c r="BA278" i="1"/>
  <c r="N279" i="1"/>
  <c r="O279" i="1"/>
  <c r="P279" i="1"/>
  <c r="Q279" i="1"/>
  <c r="R279" i="1"/>
  <c r="S279" i="1"/>
  <c r="T279" i="1"/>
  <c r="U279" i="1"/>
  <c r="AD279" i="1"/>
  <c r="AE279" i="1"/>
  <c r="AF279" i="1"/>
  <c r="AG279" i="1"/>
  <c r="AH279" i="1"/>
  <c r="AI279" i="1"/>
  <c r="AJ279" i="1"/>
  <c r="AK279" i="1"/>
  <c r="AT279" i="1"/>
  <c r="AU279" i="1"/>
  <c r="AV279" i="1"/>
  <c r="AW279" i="1"/>
  <c r="AX279" i="1"/>
  <c r="AY279" i="1"/>
  <c r="AZ279" i="1"/>
  <c r="BA279" i="1"/>
  <c r="N280" i="1"/>
  <c r="O280" i="1"/>
  <c r="P280" i="1"/>
  <c r="Q280" i="1"/>
  <c r="R280" i="1"/>
  <c r="S280" i="1"/>
  <c r="T280" i="1"/>
  <c r="U280" i="1"/>
  <c r="AD280" i="1"/>
  <c r="AE280" i="1"/>
  <c r="AF280" i="1"/>
  <c r="AG280" i="1"/>
  <c r="AH280" i="1"/>
  <c r="AI280" i="1"/>
  <c r="AJ280" i="1"/>
  <c r="AK280" i="1"/>
  <c r="AT280" i="1"/>
  <c r="AU280" i="1"/>
  <c r="AV280" i="1"/>
  <c r="AW280" i="1"/>
  <c r="AX280" i="1"/>
  <c r="AY280" i="1"/>
  <c r="AZ280" i="1"/>
  <c r="BA280" i="1"/>
  <c r="N281" i="1"/>
  <c r="O281" i="1"/>
  <c r="P281" i="1"/>
  <c r="Q281" i="1"/>
  <c r="R281" i="1"/>
  <c r="S281" i="1"/>
  <c r="T281" i="1"/>
  <c r="U281" i="1"/>
  <c r="AD281" i="1"/>
  <c r="AE281" i="1"/>
  <c r="AF281" i="1"/>
  <c r="AG281" i="1"/>
  <c r="AH281" i="1"/>
  <c r="AI281" i="1"/>
  <c r="AJ281" i="1"/>
  <c r="AK281" i="1"/>
  <c r="AT281" i="1"/>
  <c r="AU281" i="1"/>
  <c r="AV281" i="1"/>
  <c r="AW281" i="1"/>
  <c r="AX281" i="1"/>
  <c r="AY281" i="1"/>
  <c r="AZ281" i="1"/>
  <c r="BA281" i="1"/>
  <c r="N282" i="1"/>
  <c r="O282" i="1"/>
  <c r="P282" i="1"/>
  <c r="Q282" i="1"/>
  <c r="R282" i="1"/>
  <c r="S282" i="1"/>
  <c r="T282" i="1"/>
  <c r="U282" i="1"/>
  <c r="AD282" i="1"/>
  <c r="AE282" i="1"/>
  <c r="AF282" i="1"/>
  <c r="AG282" i="1"/>
  <c r="AH282" i="1"/>
  <c r="AI282" i="1"/>
  <c r="AJ282" i="1"/>
  <c r="AK282" i="1"/>
  <c r="AT282" i="1"/>
  <c r="AU282" i="1"/>
  <c r="AV282" i="1"/>
  <c r="AW282" i="1"/>
  <c r="AX282" i="1"/>
  <c r="AY282" i="1"/>
  <c r="AZ282" i="1"/>
  <c r="BA282" i="1"/>
  <c r="N283" i="1"/>
  <c r="O283" i="1"/>
  <c r="P283" i="1"/>
  <c r="Q283" i="1"/>
  <c r="R283" i="1"/>
  <c r="S283" i="1"/>
  <c r="T283" i="1"/>
  <c r="U283" i="1"/>
  <c r="AD283" i="1"/>
  <c r="AE283" i="1"/>
  <c r="AF283" i="1"/>
  <c r="AG283" i="1"/>
  <c r="AH283" i="1"/>
  <c r="AI283" i="1"/>
  <c r="AJ283" i="1"/>
  <c r="AK283" i="1"/>
  <c r="AT283" i="1"/>
  <c r="AU283" i="1"/>
  <c r="AV283" i="1"/>
  <c r="AW283" i="1"/>
  <c r="AX283" i="1"/>
  <c r="AY283" i="1"/>
  <c r="AZ283" i="1"/>
  <c r="BA283" i="1"/>
  <c r="N284" i="1"/>
  <c r="O284" i="1"/>
  <c r="P284" i="1"/>
  <c r="Q284" i="1"/>
  <c r="R284" i="1"/>
  <c r="S284" i="1"/>
  <c r="T284" i="1"/>
  <c r="U284" i="1"/>
  <c r="AD284" i="1"/>
  <c r="AE284" i="1"/>
  <c r="AF284" i="1"/>
  <c r="AG284" i="1"/>
  <c r="AH284" i="1"/>
  <c r="AI284" i="1"/>
  <c r="AJ284" i="1"/>
  <c r="AK284" i="1"/>
  <c r="AT284" i="1"/>
  <c r="AU284" i="1"/>
  <c r="AV284" i="1"/>
  <c r="AW284" i="1"/>
  <c r="AX284" i="1"/>
  <c r="AY284" i="1"/>
  <c r="AZ284" i="1"/>
  <c r="BA284" i="1"/>
  <c r="N285" i="1"/>
  <c r="O285" i="1"/>
  <c r="P285" i="1"/>
  <c r="Q285" i="1"/>
  <c r="R285" i="1"/>
  <c r="S285" i="1"/>
  <c r="T285" i="1"/>
  <c r="U285" i="1"/>
  <c r="AD285" i="1"/>
  <c r="AE285" i="1"/>
  <c r="AF285" i="1"/>
  <c r="AG285" i="1"/>
  <c r="AH285" i="1"/>
  <c r="AI285" i="1"/>
  <c r="AJ285" i="1"/>
  <c r="AK285" i="1"/>
  <c r="AT285" i="1"/>
  <c r="AU285" i="1"/>
  <c r="AV285" i="1"/>
  <c r="AW285" i="1"/>
  <c r="AX285" i="1"/>
  <c r="AY285" i="1"/>
  <c r="AZ285" i="1"/>
  <c r="BA285" i="1"/>
  <c r="N286" i="1"/>
  <c r="O286" i="1"/>
  <c r="P286" i="1"/>
  <c r="Q286" i="1"/>
  <c r="R286" i="1"/>
  <c r="S286" i="1"/>
  <c r="T286" i="1"/>
  <c r="U286" i="1"/>
  <c r="AD286" i="1"/>
  <c r="AE286" i="1"/>
  <c r="AF286" i="1"/>
  <c r="AG286" i="1"/>
  <c r="AH286" i="1"/>
  <c r="AI286" i="1"/>
  <c r="AJ286" i="1"/>
  <c r="AK286" i="1"/>
  <c r="AT286" i="1"/>
  <c r="AU286" i="1"/>
  <c r="AV286" i="1"/>
  <c r="AW286" i="1"/>
  <c r="AX286" i="1"/>
  <c r="AY286" i="1"/>
  <c r="AZ286" i="1"/>
  <c r="BA286" i="1"/>
  <c r="N287" i="1"/>
  <c r="O287" i="1"/>
  <c r="P287" i="1"/>
  <c r="Q287" i="1"/>
  <c r="R287" i="1"/>
  <c r="S287" i="1"/>
  <c r="T287" i="1"/>
  <c r="U287" i="1"/>
  <c r="AD287" i="1"/>
  <c r="AE287" i="1"/>
  <c r="AF287" i="1"/>
  <c r="AG287" i="1"/>
  <c r="AH287" i="1"/>
  <c r="AI287" i="1"/>
  <c r="AJ287" i="1"/>
  <c r="AK287" i="1"/>
  <c r="AT287" i="1"/>
  <c r="AU287" i="1"/>
  <c r="AV287" i="1"/>
  <c r="AW287" i="1"/>
  <c r="AX287" i="1"/>
  <c r="AY287" i="1"/>
  <c r="AZ287" i="1"/>
  <c r="BA287" i="1"/>
  <c r="N288" i="1"/>
  <c r="O288" i="1"/>
  <c r="P288" i="1"/>
  <c r="Q288" i="1"/>
  <c r="R288" i="1"/>
  <c r="S288" i="1"/>
  <c r="T288" i="1"/>
  <c r="U288" i="1"/>
  <c r="AD288" i="1"/>
  <c r="AE288" i="1"/>
  <c r="AF288" i="1"/>
  <c r="AG288" i="1"/>
  <c r="AH288" i="1"/>
  <c r="AI288" i="1"/>
  <c r="AJ288" i="1"/>
  <c r="AK288" i="1"/>
  <c r="AT288" i="1"/>
  <c r="AU288" i="1"/>
  <c r="AV288" i="1"/>
  <c r="AW288" i="1"/>
  <c r="AX288" i="1"/>
  <c r="AY288" i="1"/>
  <c r="AZ288" i="1"/>
  <c r="BA288" i="1"/>
  <c r="N289" i="1"/>
  <c r="O289" i="1"/>
  <c r="P289" i="1"/>
  <c r="Q289" i="1"/>
  <c r="R289" i="1"/>
  <c r="S289" i="1"/>
  <c r="T289" i="1"/>
  <c r="U289" i="1"/>
  <c r="AD289" i="1"/>
  <c r="AE289" i="1"/>
  <c r="AF289" i="1"/>
  <c r="AG289" i="1"/>
  <c r="AH289" i="1"/>
  <c r="AI289" i="1"/>
  <c r="AJ289" i="1"/>
  <c r="AK289" i="1"/>
  <c r="AT289" i="1"/>
  <c r="AU289" i="1"/>
  <c r="AV289" i="1"/>
  <c r="AW289" i="1"/>
  <c r="AX289" i="1"/>
  <c r="AY289" i="1"/>
  <c r="AZ289" i="1"/>
  <c r="BA289" i="1"/>
  <c r="N290" i="1"/>
  <c r="O290" i="1"/>
  <c r="P290" i="1"/>
  <c r="Q290" i="1"/>
  <c r="R290" i="1"/>
  <c r="S290" i="1"/>
  <c r="T290" i="1"/>
  <c r="U290" i="1"/>
  <c r="AD290" i="1"/>
  <c r="AE290" i="1"/>
  <c r="AF290" i="1"/>
  <c r="AG290" i="1"/>
  <c r="AH290" i="1"/>
  <c r="AI290" i="1"/>
  <c r="AJ290" i="1"/>
  <c r="AK290" i="1"/>
  <c r="AT290" i="1"/>
  <c r="AU290" i="1"/>
  <c r="AV290" i="1"/>
  <c r="AW290" i="1"/>
  <c r="AX290" i="1"/>
  <c r="AY290" i="1"/>
  <c r="AZ290" i="1"/>
  <c r="BA290" i="1"/>
  <c r="N291" i="1"/>
  <c r="O291" i="1"/>
  <c r="P291" i="1"/>
  <c r="Q291" i="1"/>
  <c r="R291" i="1"/>
  <c r="S291" i="1"/>
  <c r="T291" i="1"/>
  <c r="U291" i="1"/>
  <c r="AD291" i="1"/>
  <c r="AE291" i="1"/>
  <c r="AF291" i="1"/>
  <c r="AG291" i="1"/>
  <c r="AH291" i="1"/>
  <c r="AI291" i="1"/>
  <c r="AJ291" i="1"/>
  <c r="AK291" i="1"/>
  <c r="AT291" i="1"/>
  <c r="AU291" i="1"/>
  <c r="AV291" i="1"/>
  <c r="AW291" i="1"/>
  <c r="AX291" i="1"/>
  <c r="AY291" i="1"/>
  <c r="AZ291" i="1"/>
  <c r="BA291" i="1"/>
  <c r="N292" i="1"/>
  <c r="O292" i="1"/>
  <c r="P292" i="1"/>
  <c r="Q292" i="1"/>
  <c r="R292" i="1"/>
  <c r="S292" i="1"/>
  <c r="T292" i="1"/>
  <c r="U292" i="1"/>
  <c r="AD292" i="1"/>
  <c r="AE292" i="1"/>
  <c r="AF292" i="1"/>
  <c r="AG292" i="1"/>
  <c r="AH292" i="1"/>
  <c r="AI292" i="1"/>
  <c r="AJ292" i="1"/>
  <c r="AK292" i="1"/>
  <c r="AT292" i="1"/>
  <c r="AU292" i="1"/>
  <c r="AV292" i="1"/>
  <c r="AW292" i="1"/>
  <c r="AX292" i="1"/>
  <c r="AY292" i="1"/>
  <c r="AZ292" i="1"/>
  <c r="BA292" i="1"/>
  <c r="N293" i="1"/>
  <c r="O293" i="1"/>
  <c r="P293" i="1"/>
  <c r="Q293" i="1"/>
  <c r="R293" i="1"/>
  <c r="S293" i="1"/>
  <c r="T293" i="1"/>
  <c r="U293" i="1"/>
  <c r="AD293" i="1"/>
  <c r="AE293" i="1"/>
  <c r="AF293" i="1"/>
  <c r="AG293" i="1"/>
  <c r="AH293" i="1"/>
  <c r="AI293" i="1"/>
  <c r="AJ293" i="1"/>
  <c r="AK293" i="1"/>
  <c r="AT293" i="1"/>
  <c r="AU293" i="1"/>
  <c r="AV293" i="1"/>
  <c r="AW293" i="1"/>
  <c r="AX293" i="1"/>
  <c r="AY293" i="1"/>
  <c r="AZ293" i="1"/>
  <c r="BA293" i="1"/>
  <c r="N294" i="1"/>
  <c r="O294" i="1"/>
  <c r="P294" i="1"/>
  <c r="Q294" i="1"/>
  <c r="R294" i="1"/>
  <c r="S294" i="1"/>
  <c r="T294" i="1"/>
  <c r="U294" i="1"/>
  <c r="AD294" i="1"/>
  <c r="AE294" i="1"/>
  <c r="AF294" i="1"/>
  <c r="AG294" i="1"/>
  <c r="AH294" i="1"/>
  <c r="AI294" i="1"/>
  <c r="AJ294" i="1"/>
  <c r="AK294" i="1"/>
  <c r="AT294" i="1"/>
  <c r="AU294" i="1"/>
  <c r="AV294" i="1"/>
  <c r="AW294" i="1"/>
  <c r="AX294" i="1"/>
  <c r="AY294" i="1"/>
  <c r="AZ294" i="1"/>
  <c r="BA294" i="1"/>
  <c r="N295" i="1"/>
  <c r="O295" i="1"/>
  <c r="P295" i="1"/>
  <c r="Q295" i="1"/>
  <c r="R295" i="1"/>
  <c r="S295" i="1"/>
  <c r="T295" i="1"/>
  <c r="U295" i="1"/>
  <c r="AD295" i="1"/>
  <c r="AE295" i="1"/>
  <c r="AF295" i="1"/>
  <c r="AG295" i="1"/>
  <c r="AH295" i="1"/>
  <c r="AI295" i="1"/>
  <c r="AJ295" i="1"/>
  <c r="AK295" i="1"/>
  <c r="AT295" i="1"/>
  <c r="AU295" i="1"/>
  <c r="AV295" i="1"/>
  <c r="AW295" i="1"/>
  <c r="AX295" i="1"/>
  <c r="AY295" i="1"/>
  <c r="AZ295" i="1"/>
  <c r="BA295" i="1"/>
  <c r="N296" i="1"/>
  <c r="O296" i="1"/>
  <c r="P296" i="1"/>
  <c r="Q296" i="1"/>
  <c r="R296" i="1"/>
  <c r="S296" i="1"/>
  <c r="T296" i="1"/>
  <c r="U296" i="1"/>
  <c r="AD296" i="1"/>
  <c r="AE296" i="1"/>
  <c r="AF296" i="1"/>
  <c r="AG296" i="1"/>
  <c r="AH296" i="1"/>
  <c r="AI296" i="1"/>
  <c r="AJ296" i="1"/>
  <c r="AK296" i="1"/>
  <c r="AT296" i="1"/>
  <c r="AU296" i="1"/>
  <c r="AV296" i="1"/>
  <c r="AW296" i="1"/>
  <c r="AX296" i="1"/>
  <c r="AY296" i="1"/>
  <c r="AZ296" i="1"/>
  <c r="BA296" i="1"/>
  <c r="N297" i="1"/>
  <c r="O297" i="1"/>
  <c r="P297" i="1"/>
  <c r="Q297" i="1"/>
  <c r="R297" i="1"/>
  <c r="S297" i="1"/>
  <c r="T297" i="1"/>
  <c r="U297" i="1"/>
  <c r="AD297" i="1"/>
  <c r="AE297" i="1"/>
  <c r="AF297" i="1"/>
  <c r="AG297" i="1"/>
  <c r="AH297" i="1"/>
  <c r="AI297" i="1"/>
  <c r="AJ297" i="1"/>
  <c r="AK297" i="1"/>
  <c r="AT297" i="1"/>
  <c r="AU297" i="1"/>
  <c r="AV297" i="1"/>
  <c r="AW297" i="1"/>
  <c r="AX297" i="1"/>
  <c r="AY297" i="1"/>
  <c r="AZ297" i="1"/>
  <c r="BA297" i="1"/>
  <c r="N298" i="1"/>
  <c r="O298" i="1"/>
  <c r="P298" i="1"/>
  <c r="Q298" i="1"/>
  <c r="R298" i="1"/>
  <c r="S298" i="1"/>
  <c r="T298" i="1"/>
  <c r="U298" i="1"/>
  <c r="AD298" i="1"/>
  <c r="AE298" i="1"/>
  <c r="AF298" i="1"/>
  <c r="AG298" i="1"/>
  <c r="AH298" i="1"/>
  <c r="AI298" i="1"/>
  <c r="AJ298" i="1"/>
  <c r="AK298" i="1"/>
  <c r="AT298" i="1"/>
  <c r="AU298" i="1"/>
  <c r="AV298" i="1"/>
  <c r="AW298" i="1"/>
  <c r="AX298" i="1"/>
  <c r="AY298" i="1"/>
  <c r="AZ298" i="1"/>
  <c r="BA298" i="1"/>
  <c r="N299" i="1"/>
  <c r="O299" i="1"/>
  <c r="P299" i="1"/>
  <c r="Q299" i="1"/>
  <c r="R299" i="1"/>
  <c r="S299" i="1"/>
  <c r="T299" i="1"/>
  <c r="U299" i="1"/>
  <c r="AD299" i="1"/>
  <c r="AE299" i="1"/>
  <c r="AF299" i="1"/>
  <c r="AG299" i="1"/>
  <c r="AH299" i="1"/>
  <c r="AI299" i="1"/>
  <c r="AJ299" i="1"/>
  <c r="AK299" i="1"/>
  <c r="AT299" i="1"/>
  <c r="AU299" i="1"/>
  <c r="AV299" i="1"/>
  <c r="AW299" i="1"/>
  <c r="AX299" i="1"/>
  <c r="AY299" i="1"/>
  <c r="AZ299" i="1"/>
  <c r="BA299" i="1"/>
  <c r="N300" i="1"/>
  <c r="O300" i="1"/>
  <c r="P300" i="1"/>
  <c r="Q300" i="1"/>
  <c r="R300" i="1"/>
  <c r="S300" i="1"/>
  <c r="T300" i="1"/>
  <c r="U300" i="1"/>
  <c r="AD300" i="1"/>
  <c r="AE300" i="1"/>
  <c r="AF300" i="1"/>
  <c r="AG300" i="1"/>
  <c r="AH300" i="1"/>
  <c r="AI300" i="1"/>
  <c r="AJ300" i="1"/>
  <c r="AK300" i="1"/>
  <c r="AT300" i="1"/>
  <c r="AU300" i="1"/>
  <c r="AV300" i="1"/>
  <c r="AW300" i="1"/>
  <c r="AX300" i="1"/>
  <c r="AY300" i="1"/>
  <c r="AZ300" i="1"/>
  <c r="BA300" i="1"/>
  <c r="N301" i="1"/>
  <c r="O301" i="1"/>
  <c r="P301" i="1"/>
  <c r="Q301" i="1"/>
  <c r="R301" i="1"/>
  <c r="S301" i="1"/>
  <c r="T301" i="1"/>
  <c r="U301" i="1"/>
  <c r="AD301" i="1"/>
  <c r="AE301" i="1"/>
  <c r="AF301" i="1"/>
  <c r="AG301" i="1"/>
  <c r="AH301" i="1"/>
  <c r="AI301" i="1"/>
  <c r="AJ301" i="1"/>
  <c r="AK301" i="1"/>
  <c r="AT301" i="1"/>
  <c r="AU301" i="1"/>
  <c r="AV301" i="1"/>
  <c r="AW301" i="1"/>
  <c r="AX301" i="1"/>
  <c r="AY301" i="1"/>
  <c r="AZ301" i="1"/>
  <c r="BA301" i="1"/>
  <c r="N302" i="1"/>
  <c r="O302" i="1"/>
  <c r="P302" i="1"/>
  <c r="Q302" i="1"/>
  <c r="R302" i="1"/>
  <c r="S302" i="1"/>
  <c r="T302" i="1"/>
  <c r="U302" i="1"/>
  <c r="AD302" i="1"/>
  <c r="AE302" i="1"/>
  <c r="AF302" i="1"/>
  <c r="AG302" i="1"/>
  <c r="AH302" i="1"/>
  <c r="AI302" i="1"/>
  <c r="AJ302" i="1"/>
  <c r="AK302" i="1"/>
  <c r="AT302" i="1"/>
  <c r="AU302" i="1"/>
  <c r="AV302" i="1"/>
  <c r="AW302" i="1"/>
  <c r="AX302" i="1"/>
  <c r="AY302" i="1"/>
  <c r="AZ302" i="1"/>
  <c r="BA302" i="1"/>
  <c r="N303" i="1"/>
  <c r="O303" i="1"/>
  <c r="P303" i="1"/>
  <c r="Q303" i="1"/>
  <c r="R303" i="1"/>
  <c r="S303" i="1"/>
  <c r="T303" i="1"/>
  <c r="U303" i="1"/>
  <c r="AD303" i="1"/>
  <c r="AE303" i="1"/>
  <c r="AF303" i="1"/>
  <c r="AG303" i="1"/>
  <c r="AH303" i="1"/>
  <c r="AI303" i="1"/>
  <c r="AJ303" i="1"/>
  <c r="AK303" i="1"/>
  <c r="AT303" i="1"/>
  <c r="AU303" i="1"/>
  <c r="AV303" i="1"/>
  <c r="AW303" i="1"/>
  <c r="AX303" i="1"/>
  <c r="AY303" i="1"/>
  <c r="AZ303" i="1"/>
  <c r="BA303" i="1"/>
  <c r="N304" i="1"/>
  <c r="O304" i="1"/>
  <c r="P304" i="1"/>
  <c r="Q304" i="1"/>
  <c r="R304" i="1"/>
  <c r="S304" i="1"/>
  <c r="T304" i="1"/>
  <c r="U304" i="1"/>
  <c r="AD304" i="1"/>
  <c r="AE304" i="1"/>
  <c r="AF304" i="1"/>
  <c r="AG304" i="1"/>
  <c r="AH304" i="1"/>
  <c r="AI304" i="1"/>
  <c r="AJ304" i="1"/>
  <c r="AK304" i="1"/>
  <c r="AT304" i="1"/>
  <c r="AU304" i="1"/>
  <c r="AV304" i="1"/>
  <c r="AW304" i="1"/>
  <c r="AX304" i="1"/>
  <c r="AY304" i="1"/>
  <c r="AZ304" i="1"/>
  <c r="BA304" i="1"/>
  <c r="N305" i="1"/>
  <c r="O305" i="1"/>
  <c r="P305" i="1"/>
  <c r="Q305" i="1"/>
  <c r="R305" i="1"/>
  <c r="S305" i="1"/>
  <c r="T305" i="1"/>
  <c r="U305" i="1"/>
  <c r="AD305" i="1"/>
  <c r="AE305" i="1"/>
  <c r="AF305" i="1"/>
  <c r="AG305" i="1"/>
  <c r="AH305" i="1"/>
  <c r="AI305" i="1"/>
  <c r="AJ305" i="1"/>
  <c r="AK305" i="1"/>
  <c r="AT305" i="1"/>
  <c r="AU305" i="1"/>
  <c r="AV305" i="1"/>
  <c r="AW305" i="1"/>
  <c r="AX305" i="1"/>
  <c r="AY305" i="1"/>
  <c r="AZ305" i="1"/>
  <c r="BA305" i="1"/>
  <c r="N306" i="1"/>
  <c r="O306" i="1"/>
  <c r="P306" i="1"/>
  <c r="Q306" i="1"/>
  <c r="R306" i="1"/>
  <c r="S306" i="1"/>
  <c r="T306" i="1"/>
  <c r="U306" i="1"/>
  <c r="AD306" i="1"/>
  <c r="AE306" i="1"/>
  <c r="AF306" i="1"/>
  <c r="AG306" i="1"/>
  <c r="AH306" i="1"/>
  <c r="AI306" i="1"/>
  <c r="AJ306" i="1"/>
  <c r="AK306" i="1"/>
  <c r="AT306" i="1"/>
  <c r="AU306" i="1"/>
  <c r="AV306" i="1"/>
  <c r="AW306" i="1"/>
  <c r="AX306" i="1"/>
  <c r="AY306" i="1"/>
  <c r="AZ306" i="1"/>
  <c r="BA306" i="1"/>
  <c r="N307" i="1"/>
  <c r="O307" i="1"/>
  <c r="P307" i="1"/>
  <c r="Q307" i="1"/>
  <c r="R307" i="1"/>
  <c r="S307" i="1"/>
  <c r="T307" i="1"/>
  <c r="U307" i="1"/>
  <c r="AD307" i="1"/>
  <c r="AE307" i="1"/>
  <c r="AF307" i="1"/>
  <c r="AG307" i="1"/>
  <c r="AH307" i="1"/>
  <c r="AI307" i="1"/>
  <c r="AJ307" i="1"/>
  <c r="AK307" i="1"/>
  <c r="AT307" i="1"/>
  <c r="AU307" i="1"/>
  <c r="AV307" i="1"/>
  <c r="AW307" i="1"/>
  <c r="AX307" i="1"/>
  <c r="AY307" i="1"/>
  <c r="AZ307" i="1"/>
  <c r="BA307" i="1"/>
  <c r="N308" i="1"/>
  <c r="O308" i="1"/>
  <c r="P308" i="1"/>
  <c r="Q308" i="1"/>
  <c r="R308" i="1"/>
  <c r="S308" i="1"/>
  <c r="T308" i="1"/>
  <c r="U308" i="1"/>
  <c r="AD308" i="1"/>
  <c r="AE308" i="1"/>
  <c r="AF308" i="1"/>
  <c r="AG308" i="1"/>
  <c r="AH308" i="1"/>
  <c r="AI308" i="1"/>
  <c r="AJ308" i="1"/>
  <c r="AK308" i="1"/>
  <c r="AT308" i="1"/>
  <c r="AU308" i="1"/>
  <c r="AV308" i="1"/>
  <c r="AW308" i="1"/>
  <c r="AX308" i="1"/>
  <c r="AY308" i="1"/>
  <c r="AZ308" i="1"/>
  <c r="BA308" i="1"/>
  <c r="N309" i="1"/>
  <c r="O309" i="1"/>
  <c r="P309" i="1"/>
  <c r="Q309" i="1"/>
  <c r="R309" i="1"/>
  <c r="S309" i="1"/>
  <c r="T309" i="1"/>
  <c r="U309" i="1"/>
  <c r="AD309" i="1"/>
  <c r="AE309" i="1"/>
  <c r="AF309" i="1"/>
  <c r="AG309" i="1"/>
  <c r="AH309" i="1"/>
  <c r="AI309" i="1"/>
  <c r="AJ309" i="1"/>
  <c r="AK309" i="1"/>
  <c r="AT309" i="1"/>
  <c r="AU309" i="1"/>
  <c r="AV309" i="1"/>
  <c r="AW309" i="1"/>
  <c r="AX309" i="1"/>
  <c r="AY309" i="1"/>
  <c r="AZ309" i="1"/>
  <c r="BA309" i="1"/>
  <c r="N310" i="1"/>
  <c r="O310" i="1"/>
  <c r="P310" i="1"/>
  <c r="Q310" i="1"/>
  <c r="R310" i="1"/>
  <c r="S310" i="1"/>
  <c r="T310" i="1"/>
  <c r="U310" i="1"/>
  <c r="AD310" i="1"/>
  <c r="AE310" i="1"/>
  <c r="AF310" i="1"/>
  <c r="AG310" i="1"/>
  <c r="AH310" i="1"/>
  <c r="AI310" i="1"/>
  <c r="AJ310" i="1"/>
  <c r="AK310" i="1"/>
  <c r="AT310" i="1"/>
  <c r="AU310" i="1"/>
  <c r="AV310" i="1"/>
  <c r="AW310" i="1"/>
  <c r="AX310" i="1"/>
  <c r="AY310" i="1"/>
  <c r="AZ310" i="1"/>
  <c r="BA310" i="1"/>
  <c r="N311" i="1"/>
  <c r="O311" i="1"/>
  <c r="P311" i="1"/>
  <c r="Q311" i="1"/>
  <c r="R311" i="1"/>
  <c r="S311" i="1"/>
  <c r="T311" i="1"/>
  <c r="U311" i="1"/>
  <c r="AD311" i="1"/>
  <c r="AE311" i="1"/>
  <c r="AF311" i="1"/>
  <c r="AG311" i="1"/>
  <c r="AH311" i="1"/>
  <c r="AI311" i="1"/>
  <c r="AJ311" i="1"/>
  <c r="AK311" i="1"/>
  <c r="AT311" i="1"/>
  <c r="AU311" i="1"/>
  <c r="AV311" i="1"/>
  <c r="AW311" i="1"/>
  <c r="AX311" i="1"/>
  <c r="AY311" i="1"/>
  <c r="AZ311" i="1"/>
  <c r="BA311" i="1"/>
  <c r="N312" i="1"/>
  <c r="O312" i="1"/>
  <c r="P312" i="1"/>
  <c r="Q312" i="1"/>
  <c r="R312" i="1"/>
  <c r="S312" i="1"/>
  <c r="T312" i="1"/>
  <c r="U312" i="1"/>
  <c r="AD312" i="1"/>
  <c r="AE312" i="1"/>
  <c r="AF312" i="1"/>
  <c r="AG312" i="1"/>
  <c r="AH312" i="1"/>
  <c r="AI312" i="1"/>
  <c r="AJ312" i="1"/>
  <c r="AK312" i="1"/>
  <c r="AT312" i="1"/>
  <c r="AU312" i="1"/>
  <c r="AV312" i="1"/>
  <c r="AW312" i="1"/>
  <c r="AX312" i="1"/>
  <c r="AY312" i="1"/>
  <c r="AZ312" i="1"/>
  <c r="BA312" i="1"/>
  <c r="N313" i="1"/>
  <c r="O313" i="1"/>
  <c r="P313" i="1"/>
  <c r="Q313" i="1"/>
  <c r="R313" i="1"/>
  <c r="S313" i="1"/>
  <c r="T313" i="1"/>
  <c r="U313" i="1"/>
  <c r="AD313" i="1"/>
  <c r="AE313" i="1"/>
  <c r="AF313" i="1"/>
  <c r="AG313" i="1"/>
  <c r="AH313" i="1"/>
  <c r="AI313" i="1"/>
  <c r="AJ313" i="1"/>
  <c r="AK313" i="1"/>
  <c r="AT313" i="1"/>
  <c r="AU313" i="1"/>
  <c r="AV313" i="1"/>
  <c r="AW313" i="1"/>
  <c r="AX313" i="1"/>
  <c r="AY313" i="1"/>
  <c r="AZ313" i="1"/>
  <c r="BA313" i="1"/>
  <c r="N314" i="1"/>
  <c r="O314" i="1"/>
  <c r="P314" i="1"/>
  <c r="Q314" i="1"/>
  <c r="R314" i="1"/>
  <c r="S314" i="1"/>
  <c r="T314" i="1"/>
  <c r="U314" i="1"/>
  <c r="AD314" i="1"/>
  <c r="AE314" i="1"/>
  <c r="AF314" i="1"/>
  <c r="AG314" i="1"/>
  <c r="AH314" i="1"/>
  <c r="AI314" i="1"/>
  <c r="AJ314" i="1"/>
  <c r="AK314" i="1"/>
  <c r="AT314" i="1"/>
  <c r="AU314" i="1"/>
  <c r="AV314" i="1"/>
  <c r="AW314" i="1"/>
  <c r="AX314" i="1"/>
  <c r="AY314" i="1"/>
  <c r="AZ314" i="1"/>
  <c r="BA314" i="1"/>
  <c r="N315" i="1"/>
  <c r="O315" i="1"/>
  <c r="P315" i="1"/>
  <c r="Q315" i="1"/>
  <c r="R315" i="1"/>
  <c r="S315" i="1"/>
  <c r="T315" i="1"/>
  <c r="U315" i="1"/>
  <c r="AD315" i="1"/>
  <c r="AE315" i="1"/>
  <c r="AF315" i="1"/>
  <c r="AG315" i="1"/>
  <c r="AH315" i="1"/>
  <c r="AI315" i="1"/>
  <c r="AJ315" i="1"/>
  <c r="AK315" i="1"/>
  <c r="AT315" i="1"/>
  <c r="AU315" i="1"/>
  <c r="AV315" i="1"/>
  <c r="AW315" i="1"/>
  <c r="AX315" i="1"/>
  <c r="AY315" i="1"/>
  <c r="AZ315" i="1"/>
  <c r="BA315" i="1"/>
  <c r="N316" i="1"/>
  <c r="O316" i="1"/>
  <c r="P316" i="1"/>
  <c r="Q316" i="1"/>
  <c r="R316" i="1"/>
  <c r="S316" i="1"/>
  <c r="T316" i="1"/>
  <c r="U316" i="1"/>
  <c r="AD316" i="1"/>
  <c r="AE316" i="1"/>
  <c r="AF316" i="1"/>
  <c r="AG316" i="1"/>
  <c r="AH316" i="1"/>
  <c r="AI316" i="1"/>
  <c r="AJ316" i="1"/>
  <c r="AK316" i="1"/>
  <c r="AT316" i="1"/>
  <c r="AU316" i="1"/>
  <c r="AV316" i="1"/>
  <c r="AW316" i="1"/>
  <c r="AX316" i="1"/>
  <c r="AY316" i="1"/>
  <c r="AZ316" i="1"/>
  <c r="BA316" i="1"/>
  <c r="N317" i="1"/>
  <c r="O317" i="1"/>
  <c r="P317" i="1"/>
  <c r="Q317" i="1"/>
  <c r="R317" i="1"/>
  <c r="S317" i="1"/>
  <c r="T317" i="1"/>
  <c r="U317" i="1"/>
  <c r="AD317" i="1"/>
  <c r="AE317" i="1"/>
  <c r="AF317" i="1"/>
  <c r="AG317" i="1"/>
  <c r="AH317" i="1"/>
  <c r="AI317" i="1"/>
  <c r="AJ317" i="1"/>
  <c r="AK317" i="1"/>
  <c r="AT317" i="1"/>
  <c r="AU317" i="1"/>
  <c r="AV317" i="1"/>
  <c r="AW317" i="1"/>
  <c r="AX317" i="1"/>
  <c r="AY317" i="1"/>
  <c r="AZ317" i="1"/>
  <c r="BA317" i="1"/>
  <c r="N318" i="1"/>
  <c r="O318" i="1"/>
  <c r="P318" i="1"/>
  <c r="Q318" i="1"/>
  <c r="R318" i="1"/>
  <c r="S318" i="1"/>
  <c r="T318" i="1"/>
  <c r="U318" i="1"/>
  <c r="AD318" i="1"/>
  <c r="AE318" i="1"/>
  <c r="AF318" i="1"/>
  <c r="AG318" i="1"/>
  <c r="AH318" i="1"/>
  <c r="AI318" i="1"/>
  <c r="AJ318" i="1"/>
  <c r="AK318" i="1"/>
  <c r="AT318" i="1"/>
  <c r="AU318" i="1"/>
  <c r="AV318" i="1"/>
  <c r="AW318" i="1"/>
  <c r="AX318" i="1"/>
  <c r="AY318" i="1"/>
  <c r="AZ318" i="1"/>
  <c r="BA318" i="1"/>
  <c r="N319" i="1"/>
  <c r="O319" i="1"/>
  <c r="P319" i="1"/>
  <c r="Q319" i="1"/>
  <c r="R319" i="1"/>
  <c r="S319" i="1"/>
  <c r="T319" i="1"/>
  <c r="U319" i="1"/>
  <c r="AD319" i="1"/>
  <c r="AE319" i="1"/>
  <c r="AF319" i="1"/>
  <c r="AG319" i="1"/>
  <c r="AH319" i="1"/>
  <c r="AI319" i="1"/>
  <c r="AJ319" i="1"/>
  <c r="AK319" i="1"/>
  <c r="AT319" i="1"/>
  <c r="AU319" i="1"/>
  <c r="AV319" i="1"/>
  <c r="AW319" i="1"/>
  <c r="AX319" i="1"/>
  <c r="AY319" i="1"/>
  <c r="AZ319" i="1"/>
  <c r="BA319" i="1"/>
  <c r="N320" i="1"/>
  <c r="O320" i="1"/>
  <c r="P320" i="1"/>
  <c r="Q320" i="1"/>
  <c r="R320" i="1"/>
  <c r="S320" i="1"/>
  <c r="T320" i="1"/>
  <c r="U320" i="1"/>
  <c r="AD320" i="1"/>
  <c r="AE320" i="1"/>
  <c r="AF320" i="1"/>
  <c r="AG320" i="1"/>
  <c r="AH320" i="1"/>
  <c r="AI320" i="1"/>
  <c r="AJ320" i="1"/>
  <c r="AK320" i="1"/>
  <c r="AT320" i="1"/>
  <c r="AU320" i="1"/>
  <c r="AV320" i="1"/>
  <c r="AW320" i="1"/>
  <c r="AX320" i="1"/>
  <c r="AY320" i="1"/>
  <c r="AZ320" i="1"/>
  <c r="BA320" i="1"/>
  <c r="N321" i="1"/>
  <c r="O321" i="1"/>
  <c r="P321" i="1"/>
  <c r="Q321" i="1"/>
  <c r="R321" i="1"/>
  <c r="S321" i="1"/>
  <c r="T321" i="1"/>
  <c r="U321" i="1"/>
  <c r="AD321" i="1"/>
  <c r="AE321" i="1"/>
  <c r="AF321" i="1"/>
  <c r="AG321" i="1"/>
  <c r="AH321" i="1"/>
  <c r="AI321" i="1"/>
  <c r="AJ321" i="1"/>
  <c r="AK321" i="1"/>
  <c r="AT321" i="1"/>
  <c r="AU321" i="1"/>
  <c r="AV321" i="1"/>
  <c r="AW321" i="1"/>
  <c r="AX321" i="1"/>
  <c r="AY321" i="1"/>
  <c r="AZ321" i="1"/>
  <c r="BA321" i="1"/>
  <c r="N322" i="1"/>
  <c r="O322" i="1"/>
  <c r="P322" i="1"/>
  <c r="Q322" i="1"/>
  <c r="R322" i="1"/>
  <c r="S322" i="1"/>
  <c r="T322" i="1"/>
  <c r="U322" i="1"/>
  <c r="AD322" i="1"/>
  <c r="AE322" i="1"/>
  <c r="AF322" i="1"/>
  <c r="AG322" i="1"/>
  <c r="AH322" i="1"/>
  <c r="AI322" i="1"/>
  <c r="AJ322" i="1"/>
  <c r="AK322" i="1"/>
  <c r="AT322" i="1"/>
  <c r="AU322" i="1"/>
  <c r="AV322" i="1"/>
  <c r="AW322" i="1"/>
  <c r="AX322" i="1"/>
  <c r="AY322" i="1"/>
  <c r="AZ322" i="1"/>
  <c r="BA322" i="1"/>
  <c r="N323" i="1"/>
  <c r="O323" i="1"/>
  <c r="P323" i="1"/>
  <c r="Q323" i="1"/>
  <c r="R323" i="1"/>
  <c r="S323" i="1"/>
  <c r="T323" i="1"/>
  <c r="U323" i="1"/>
  <c r="AD323" i="1"/>
  <c r="AE323" i="1"/>
  <c r="AF323" i="1"/>
  <c r="AG323" i="1"/>
  <c r="AH323" i="1"/>
  <c r="AI323" i="1"/>
  <c r="AJ323" i="1"/>
  <c r="AK323" i="1"/>
  <c r="AT323" i="1"/>
  <c r="AU323" i="1"/>
  <c r="AV323" i="1"/>
  <c r="AW323" i="1"/>
  <c r="AX323" i="1"/>
  <c r="AY323" i="1"/>
  <c r="AZ323" i="1"/>
  <c r="BA323" i="1"/>
  <c r="N324" i="1"/>
  <c r="O324" i="1"/>
  <c r="P324" i="1"/>
  <c r="Q324" i="1"/>
  <c r="R324" i="1"/>
  <c r="S324" i="1"/>
  <c r="T324" i="1"/>
  <c r="U324" i="1"/>
  <c r="AD324" i="1"/>
  <c r="AE324" i="1"/>
  <c r="AF324" i="1"/>
  <c r="AG324" i="1"/>
  <c r="AH324" i="1"/>
  <c r="AI324" i="1"/>
  <c r="AJ324" i="1"/>
  <c r="AK324" i="1"/>
  <c r="AT324" i="1"/>
  <c r="AU324" i="1"/>
  <c r="AV324" i="1"/>
  <c r="AW324" i="1"/>
  <c r="AX324" i="1"/>
  <c r="AY324" i="1"/>
  <c r="AZ324" i="1"/>
  <c r="BA324" i="1"/>
  <c r="N325" i="1"/>
  <c r="O325" i="1"/>
  <c r="P325" i="1"/>
  <c r="Q325" i="1"/>
  <c r="R325" i="1"/>
  <c r="S325" i="1"/>
  <c r="T325" i="1"/>
  <c r="U325" i="1"/>
  <c r="AD325" i="1"/>
  <c r="AE325" i="1"/>
  <c r="AF325" i="1"/>
  <c r="AG325" i="1"/>
  <c r="AH325" i="1"/>
  <c r="AI325" i="1"/>
  <c r="AJ325" i="1"/>
  <c r="AK325" i="1"/>
  <c r="AT325" i="1"/>
  <c r="AU325" i="1"/>
  <c r="AV325" i="1"/>
  <c r="AW325" i="1"/>
  <c r="AX325" i="1"/>
  <c r="AY325" i="1"/>
  <c r="AZ325" i="1"/>
  <c r="BA325" i="1"/>
  <c r="N326" i="1"/>
  <c r="O326" i="1"/>
  <c r="P326" i="1"/>
  <c r="Q326" i="1"/>
  <c r="R326" i="1"/>
  <c r="S326" i="1"/>
  <c r="T326" i="1"/>
  <c r="U326" i="1"/>
  <c r="AD326" i="1"/>
  <c r="AE326" i="1"/>
  <c r="AF326" i="1"/>
  <c r="AG326" i="1"/>
  <c r="AH326" i="1"/>
  <c r="AI326" i="1"/>
  <c r="AJ326" i="1"/>
  <c r="AK326" i="1"/>
  <c r="AT326" i="1"/>
  <c r="AU326" i="1"/>
  <c r="AV326" i="1"/>
  <c r="AW326" i="1"/>
  <c r="AX326" i="1"/>
  <c r="AY326" i="1"/>
  <c r="AZ326" i="1"/>
  <c r="BA326" i="1"/>
  <c r="N327" i="1"/>
  <c r="O327" i="1"/>
  <c r="P327" i="1"/>
  <c r="Q327" i="1"/>
  <c r="R327" i="1"/>
  <c r="S327" i="1"/>
  <c r="T327" i="1"/>
  <c r="U327" i="1"/>
  <c r="AD327" i="1"/>
  <c r="AE327" i="1"/>
  <c r="AF327" i="1"/>
  <c r="AG327" i="1"/>
  <c r="AH327" i="1"/>
  <c r="AI327" i="1"/>
  <c r="AJ327" i="1"/>
  <c r="AK327" i="1"/>
  <c r="AT327" i="1"/>
  <c r="AU327" i="1"/>
  <c r="AV327" i="1"/>
  <c r="AW327" i="1"/>
  <c r="AX327" i="1"/>
  <c r="AY327" i="1"/>
  <c r="AZ327" i="1"/>
  <c r="BA327" i="1"/>
  <c r="N328" i="1"/>
  <c r="O328" i="1"/>
  <c r="P328" i="1"/>
  <c r="Q328" i="1"/>
  <c r="R328" i="1"/>
  <c r="S328" i="1"/>
  <c r="T328" i="1"/>
  <c r="U328" i="1"/>
  <c r="AD328" i="1"/>
  <c r="AE328" i="1"/>
  <c r="AF328" i="1"/>
  <c r="AG328" i="1"/>
  <c r="AH328" i="1"/>
  <c r="AI328" i="1"/>
  <c r="AJ328" i="1"/>
  <c r="AK328" i="1"/>
  <c r="AT328" i="1"/>
  <c r="AU328" i="1"/>
  <c r="AV328" i="1"/>
  <c r="AW328" i="1"/>
  <c r="AX328" i="1"/>
  <c r="AY328" i="1"/>
  <c r="AZ328" i="1"/>
  <c r="BA328" i="1"/>
  <c r="N329" i="1"/>
  <c r="O329" i="1"/>
  <c r="P329" i="1"/>
  <c r="Q329" i="1"/>
  <c r="R329" i="1"/>
  <c r="S329" i="1"/>
  <c r="T329" i="1"/>
  <c r="U329" i="1"/>
  <c r="AD329" i="1"/>
  <c r="AE329" i="1"/>
  <c r="AF329" i="1"/>
  <c r="AG329" i="1"/>
  <c r="AH329" i="1"/>
  <c r="AI329" i="1"/>
  <c r="AJ329" i="1"/>
  <c r="AK329" i="1"/>
  <c r="AT329" i="1"/>
  <c r="AU329" i="1"/>
  <c r="AV329" i="1"/>
  <c r="AW329" i="1"/>
  <c r="AX329" i="1"/>
  <c r="AY329" i="1"/>
  <c r="AZ329" i="1"/>
  <c r="BA329" i="1"/>
  <c r="N330" i="1"/>
  <c r="O330" i="1"/>
  <c r="P330" i="1"/>
  <c r="Q330" i="1"/>
  <c r="R330" i="1"/>
  <c r="S330" i="1"/>
  <c r="T330" i="1"/>
  <c r="U330" i="1"/>
  <c r="AD330" i="1"/>
  <c r="AE330" i="1"/>
  <c r="AF330" i="1"/>
  <c r="AG330" i="1"/>
  <c r="AH330" i="1"/>
  <c r="AI330" i="1"/>
  <c r="AJ330" i="1"/>
  <c r="AK330" i="1"/>
  <c r="AT330" i="1"/>
  <c r="AU330" i="1"/>
  <c r="AV330" i="1"/>
  <c r="AW330" i="1"/>
  <c r="AX330" i="1"/>
  <c r="AY330" i="1"/>
  <c r="AZ330" i="1"/>
  <c r="BA330" i="1"/>
  <c r="N331" i="1"/>
  <c r="O331" i="1"/>
  <c r="P331" i="1"/>
  <c r="Q331" i="1"/>
  <c r="R331" i="1"/>
  <c r="S331" i="1"/>
  <c r="T331" i="1"/>
  <c r="U331" i="1"/>
  <c r="AD331" i="1"/>
  <c r="AE331" i="1"/>
  <c r="AF331" i="1"/>
  <c r="AG331" i="1"/>
  <c r="AH331" i="1"/>
  <c r="AI331" i="1"/>
  <c r="AJ331" i="1"/>
  <c r="AK331" i="1"/>
  <c r="AT331" i="1"/>
  <c r="AU331" i="1"/>
  <c r="AV331" i="1"/>
  <c r="AW331" i="1"/>
  <c r="AX331" i="1"/>
  <c r="AY331" i="1"/>
  <c r="AZ331" i="1"/>
  <c r="BA331" i="1"/>
  <c r="N332" i="1"/>
  <c r="O332" i="1"/>
  <c r="P332" i="1"/>
  <c r="Q332" i="1"/>
  <c r="R332" i="1"/>
  <c r="S332" i="1"/>
  <c r="T332" i="1"/>
  <c r="U332" i="1"/>
  <c r="AD332" i="1"/>
  <c r="AE332" i="1"/>
  <c r="AF332" i="1"/>
  <c r="AG332" i="1"/>
  <c r="AH332" i="1"/>
  <c r="AI332" i="1"/>
  <c r="AJ332" i="1"/>
  <c r="AK332" i="1"/>
  <c r="AT332" i="1"/>
  <c r="AU332" i="1"/>
  <c r="AV332" i="1"/>
  <c r="AW332" i="1"/>
  <c r="AX332" i="1"/>
  <c r="AY332" i="1"/>
  <c r="AZ332" i="1"/>
  <c r="BA332" i="1"/>
  <c r="N333" i="1"/>
  <c r="O333" i="1"/>
  <c r="P333" i="1"/>
  <c r="Q333" i="1"/>
  <c r="R333" i="1"/>
  <c r="S333" i="1"/>
  <c r="T333" i="1"/>
  <c r="U333" i="1"/>
  <c r="AD333" i="1"/>
  <c r="AE333" i="1"/>
  <c r="AF333" i="1"/>
  <c r="AG333" i="1"/>
  <c r="AH333" i="1"/>
  <c r="AI333" i="1"/>
  <c r="AJ333" i="1"/>
  <c r="AK333" i="1"/>
  <c r="AT333" i="1"/>
  <c r="AU333" i="1"/>
  <c r="AV333" i="1"/>
  <c r="AW333" i="1"/>
  <c r="AX333" i="1"/>
  <c r="AY333" i="1"/>
  <c r="AZ333" i="1"/>
  <c r="BA333" i="1"/>
  <c r="N334" i="1"/>
  <c r="O334" i="1"/>
  <c r="P334" i="1"/>
  <c r="Q334" i="1"/>
  <c r="R334" i="1"/>
  <c r="S334" i="1"/>
  <c r="T334" i="1"/>
  <c r="U334" i="1"/>
  <c r="AD334" i="1"/>
  <c r="AE334" i="1"/>
  <c r="AF334" i="1"/>
  <c r="AG334" i="1"/>
  <c r="AH334" i="1"/>
  <c r="AI334" i="1"/>
  <c r="AJ334" i="1"/>
  <c r="AK334" i="1"/>
  <c r="AT334" i="1"/>
  <c r="AU334" i="1"/>
  <c r="AV334" i="1"/>
  <c r="AW334" i="1"/>
  <c r="AX334" i="1"/>
  <c r="AY334" i="1"/>
  <c r="AZ334" i="1"/>
  <c r="BA334" i="1"/>
  <c r="N335" i="1"/>
  <c r="O335" i="1"/>
  <c r="P335" i="1"/>
  <c r="Q335" i="1"/>
  <c r="R335" i="1"/>
  <c r="S335" i="1"/>
  <c r="T335" i="1"/>
  <c r="U335" i="1"/>
  <c r="AD335" i="1"/>
  <c r="AE335" i="1"/>
  <c r="AF335" i="1"/>
  <c r="AG335" i="1"/>
  <c r="AH335" i="1"/>
  <c r="AI335" i="1"/>
  <c r="AJ335" i="1"/>
  <c r="AK335" i="1"/>
  <c r="AT335" i="1"/>
  <c r="AU335" i="1"/>
  <c r="AV335" i="1"/>
  <c r="AW335" i="1"/>
  <c r="AX335" i="1"/>
  <c r="AY335" i="1"/>
  <c r="AZ335" i="1"/>
  <c r="BA335" i="1"/>
  <c r="N336" i="1"/>
  <c r="O336" i="1"/>
  <c r="P336" i="1"/>
  <c r="Q336" i="1"/>
  <c r="R336" i="1"/>
  <c r="S336" i="1"/>
  <c r="T336" i="1"/>
  <c r="U336" i="1"/>
  <c r="AD336" i="1"/>
  <c r="AE336" i="1"/>
  <c r="AF336" i="1"/>
  <c r="AG336" i="1"/>
  <c r="AH336" i="1"/>
  <c r="AI336" i="1"/>
  <c r="AJ336" i="1"/>
  <c r="AK336" i="1"/>
  <c r="AT336" i="1"/>
  <c r="AU336" i="1"/>
  <c r="AV336" i="1"/>
  <c r="AW336" i="1"/>
  <c r="AX336" i="1"/>
  <c r="AY336" i="1"/>
  <c r="AZ336" i="1"/>
  <c r="BA336" i="1"/>
  <c r="N337" i="1"/>
  <c r="O337" i="1"/>
  <c r="P337" i="1"/>
  <c r="Q337" i="1"/>
  <c r="R337" i="1"/>
  <c r="S337" i="1"/>
  <c r="T337" i="1"/>
  <c r="U337" i="1"/>
  <c r="AD337" i="1"/>
  <c r="AE337" i="1"/>
  <c r="AF337" i="1"/>
  <c r="AG337" i="1"/>
  <c r="AH337" i="1"/>
  <c r="AI337" i="1"/>
  <c r="AJ337" i="1"/>
  <c r="AK337" i="1"/>
  <c r="AT337" i="1"/>
  <c r="AU337" i="1"/>
  <c r="AV337" i="1"/>
  <c r="AW337" i="1"/>
  <c r="AX337" i="1"/>
  <c r="AY337" i="1"/>
  <c r="AZ337" i="1"/>
  <c r="BA337" i="1"/>
  <c r="N338" i="1"/>
  <c r="O338" i="1"/>
  <c r="P338" i="1"/>
  <c r="Q338" i="1"/>
  <c r="R338" i="1"/>
  <c r="S338" i="1"/>
  <c r="T338" i="1"/>
  <c r="U338" i="1"/>
  <c r="AD338" i="1"/>
  <c r="AE338" i="1"/>
  <c r="AF338" i="1"/>
  <c r="AG338" i="1"/>
  <c r="AH338" i="1"/>
  <c r="AI338" i="1"/>
  <c r="AJ338" i="1"/>
  <c r="AK338" i="1"/>
  <c r="AT338" i="1"/>
  <c r="AU338" i="1"/>
  <c r="AV338" i="1"/>
  <c r="AW338" i="1"/>
  <c r="AX338" i="1"/>
  <c r="AY338" i="1"/>
  <c r="AZ338" i="1"/>
  <c r="BA338" i="1"/>
  <c r="N339" i="1"/>
  <c r="O339" i="1"/>
  <c r="P339" i="1"/>
  <c r="Q339" i="1"/>
  <c r="R339" i="1"/>
  <c r="S339" i="1"/>
  <c r="T339" i="1"/>
  <c r="U339" i="1"/>
  <c r="AD339" i="1"/>
  <c r="AE339" i="1"/>
  <c r="AF339" i="1"/>
  <c r="AG339" i="1"/>
  <c r="AH339" i="1"/>
  <c r="AI339" i="1"/>
  <c r="AJ339" i="1"/>
  <c r="AK339" i="1"/>
  <c r="AT339" i="1"/>
  <c r="AU339" i="1"/>
  <c r="AV339" i="1"/>
  <c r="AW339" i="1"/>
  <c r="AX339" i="1"/>
  <c r="AY339" i="1"/>
  <c r="AZ339" i="1"/>
  <c r="BA339" i="1"/>
  <c r="N340" i="1"/>
  <c r="O340" i="1"/>
  <c r="P340" i="1"/>
  <c r="Q340" i="1"/>
  <c r="R340" i="1"/>
  <c r="S340" i="1"/>
  <c r="T340" i="1"/>
  <c r="U340" i="1"/>
  <c r="AD340" i="1"/>
  <c r="AE340" i="1"/>
  <c r="AF340" i="1"/>
  <c r="AG340" i="1"/>
  <c r="AH340" i="1"/>
  <c r="AI340" i="1"/>
  <c r="AJ340" i="1"/>
  <c r="AK340" i="1"/>
  <c r="AT340" i="1"/>
  <c r="AU340" i="1"/>
  <c r="AV340" i="1"/>
  <c r="AW340" i="1"/>
  <c r="AX340" i="1"/>
  <c r="AY340" i="1"/>
  <c r="AZ340" i="1"/>
  <c r="BA340" i="1"/>
  <c r="N341" i="1"/>
  <c r="O341" i="1"/>
  <c r="P341" i="1"/>
  <c r="Q341" i="1"/>
  <c r="R341" i="1"/>
  <c r="S341" i="1"/>
  <c r="T341" i="1"/>
  <c r="U341" i="1"/>
  <c r="AD341" i="1"/>
  <c r="AE341" i="1"/>
  <c r="AF341" i="1"/>
  <c r="AG341" i="1"/>
  <c r="AH341" i="1"/>
  <c r="AI341" i="1"/>
  <c r="AJ341" i="1"/>
  <c r="AK341" i="1"/>
  <c r="AT341" i="1"/>
  <c r="AU341" i="1"/>
  <c r="AV341" i="1"/>
  <c r="AW341" i="1"/>
  <c r="AX341" i="1"/>
  <c r="AY341" i="1"/>
  <c r="AZ341" i="1"/>
  <c r="BA341" i="1"/>
  <c r="N342" i="1"/>
  <c r="O342" i="1"/>
  <c r="P342" i="1"/>
  <c r="Q342" i="1"/>
  <c r="R342" i="1"/>
  <c r="S342" i="1"/>
  <c r="T342" i="1"/>
  <c r="U342" i="1"/>
  <c r="AD342" i="1"/>
  <c r="AE342" i="1"/>
  <c r="AF342" i="1"/>
  <c r="AG342" i="1"/>
  <c r="AH342" i="1"/>
  <c r="AI342" i="1"/>
  <c r="AJ342" i="1"/>
  <c r="AK342" i="1"/>
  <c r="AT342" i="1"/>
  <c r="AU342" i="1"/>
  <c r="AV342" i="1"/>
  <c r="AW342" i="1"/>
  <c r="AX342" i="1"/>
  <c r="AY342" i="1"/>
  <c r="AZ342" i="1"/>
  <c r="BA342" i="1"/>
  <c r="N343" i="1"/>
  <c r="O343" i="1"/>
  <c r="P343" i="1"/>
  <c r="Q343" i="1"/>
  <c r="R343" i="1"/>
  <c r="S343" i="1"/>
  <c r="T343" i="1"/>
  <c r="U343" i="1"/>
  <c r="AD343" i="1"/>
  <c r="AE343" i="1"/>
  <c r="AF343" i="1"/>
  <c r="AG343" i="1"/>
  <c r="AH343" i="1"/>
  <c r="AI343" i="1"/>
  <c r="AJ343" i="1"/>
  <c r="AK343" i="1"/>
  <c r="AT343" i="1"/>
  <c r="AU343" i="1"/>
  <c r="AV343" i="1"/>
  <c r="AW343" i="1"/>
  <c r="AX343" i="1"/>
  <c r="AY343" i="1"/>
  <c r="AZ343" i="1"/>
  <c r="BA343" i="1"/>
  <c r="N344" i="1"/>
  <c r="O344" i="1"/>
  <c r="P344" i="1"/>
  <c r="Q344" i="1"/>
  <c r="R344" i="1"/>
  <c r="S344" i="1"/>
  <c r="T344" i="1"/>
  <c r="U344" i="1"/>
  <c r="AD344" i="1"/>
  <c r="AE344" i="1"/>
  <c r="AF344" i="1"/>
  <c r="AG344" i="1"/>
  <c r="AH344" i="1"/>
  <c r="AI344" i="1"/>
  <c r="AJ344" i="1"/>
  <c r="AK344" i="1"/>
  <c r="AT344" i="1"/>
  <c r="AU344" i="1"/>
  <c r="AV344" i="1"/>
  <c r="AW344" i="1"/>
  <c r="AX344" i="1"/>
  <c r="AY344" i="1"/>
  <c r="AZ344" i="1"/>
  <c r="BA344" i="1"/>
  <c r="N345" i="1"/>
  <c r="O345" i="1"/>
  <c r="P345" i="1"/>
  <c r="Q345" i="1"/>
  <c r="R345" i="1"/>
  <c r="S345" i="1"/>
  <c r="T345" i="1"/>
  <c r="U345" i="1"/>
  <c r="AD345" i="1"/>
  <c r="AE345" i="1"/>
  <c r="AF345" i="1"/>
  <c r="AG345" i="1"/>
  <c r="AH345" i="1"/>
  <c r="AI345" i="1"/>
  <c r="AJ345" i="1"/>
  <c r="AK345" i="1"/>
  <c r="AT345" i="1"/>
  <c r="AU345" i="1"/>
  <c r="AV345" i="1"/>
  <c r="AW345" i="1"/>
  <c r="AX345" i="1"/>
  <c r="AY345" i="1"/>
  <c r="AZ345" i="1"/>
  <c r="BA345" i="1"/>
  <c r="N346" i="1"/>
  <c r="O346" i="1"/>
  <c r="P346" i="1"/>
  <c r="Q346" i="1"/>
  <c r="R346" i="1"/>
  <c r="S346" i="1"/>
  <c r="T346" i="1"/>
  <c r="U346" i="1"/>
  <c r="AD346" i="1"/>
  <c r="AE346" i="1"/>
  <c r="AF346" i="1"/>
  <c r="AG346" i="1"/>
  <c r="AH346" i="1"/>
  <c r="AI346" i="1"/>
  <c r="AJ346" i="1"/>
  <c r="AK346" i="1"/>
  <c r="AT346" i="1"/>
  <c r="AU346" i="1"/>
  <c r="AV346" i="1"/>
  <c r="AW346" i="1"/>
  <c r="AX346" i="1"/>
  <c r="AY346" i="1"/>
  <c r="AZ346" i="1"/>
  <c r="BA346" i="1"/>
  <c r="N347" i="1"/>
  <c r="O347" i="1"/>
  <c r="P347" i="1"/>
  <c r="Q347" i="1"/>
  <c r="R347" i="1"/>
  <c r="S347" i="1"/>
  <c r="T347" i="1"/>
  <c r="U347" i="1"/>
  <c r="AD347" i="1"/>
  <c r="AE347" i="1"/>
  <c r="AF347" i="1"/>
  <c r="AG347" i="1"/>
  <c r="AH347" i="1"/>
  <c r="AI347" i="1"/>
  <c r="AJ347" i="1"/>
  <c r="AK347" i="1"/>
  <c r="AT347" i="1"/>
  <c r="AU347" i="1"/>
  <c r="AV347" i="1"/>
  <c r="AW347" i="1"/>
  <c r="AX347" i="1"/>
  <c r="AY347" i="1"/>
  <c r="AZ347" i="1"/>
  <c r="BA347" i="1"/>
  <c r="N348" i="1"/>
  <c r="O348" i="1"/>
  <c r="P348" i="1"/>
  <c r="Q348" i="1"/>
  <c r="R348" i="1"/>
  <c r="S348" i="1"/>
  <c r="T348" i="1"/>
  <c r="U348" i="1"/>
  <c r="AD348" i="1"/>
  <c r="AE348" i="1"/>
  <c r="AF348" i="1"/>
  <c r="AG348" i="1"/>
  <c r="AH348" i="1"/>
  <c r="AI348" i="1"/>
  <c r="AJ348" i="1"/>
  <c r="AK348" i="1"/>
  <c r="AT348" i="1"/>
  <c r="AU348" i="1"/>
  <c r="AV348" i="1"/>
  <c r="AW348" i="1"/>
  <c r="AX348" i="1"/>
  <c r="AY348" i="1"/>
  <c r="AZ348" i="1"/>
  <c r="BA348" i="1"/>
  <c r="N349" i="1"/>
  <c r="O349" i="1"/>
  <c r="P349" i="1"/>
  <c r="Q349" i="1"/>
  <c r="R349" i="1"/>
  <c r="S349" i="1"/>
  <c r="T349" i="1"/>
  <c r="U349" i="1"/>
  <c r="AD349" i="1"/>
  <c r="AE349" i="1"/>
  <c r="AF349" i="1"/>
  <c r="AG349" i="1"/>
  <c r="AH349" i="1"/>
  <c r="AI349" i="1"/>
  <c r="AJ349" i="1"/>
  <c r="AK349" i="1"/>
  <c r="AT349" i="1"/>
  <c r="AU349" i="1"/>
  <c r="AV349" i="1"/>
  <c r="AW349" i="1"/>
  <c r="AX349" i="1"/>
  <c r="AY349" i="1"/>
  <c r="AZ349" i="1"/>
  <c r="BA349" i="1"/>
  <c r="N350" i="1"/>
  <c r="O350" i="1"/>
  <c r="P350" i="1"/>
  <c r="Q350" i="1"/>
  <c r="R350" i="1"/>
  <c r="S350" i="1"/>
  <c r="T350" i="1"/>
  <c r="U350" i="1"/>
  <c r="AD350" i="1"/>
  <c r="AE350" i="1"/>
  <c r="AF350" i="1"/>
  <c r="AG350" i="1"/>
  <c r="AH350" i="1"/>
  <c r="AI350" i="1"/>
  <c r="AJ350" i="1"/>
  <c r="AK350" i="1"/>
  <c r="AT350" i="1"/>
  <c r="AU350" i="1"/>
  <c r="AV350" i="1"/>
  <c r="AW350" i="1"/>
  <c r="AX350" i="1"/>
  <c r="AY350" i="1"/>
  <c r="AZ350" i="1"/>
  <c r="BA350" i="1"/>
  <c r="N351" i="1"/>
  <c r="O351" i="1"/>
  <c r="P351" i="1"/>
  <c r="Q351" i="1"/>
  <c r="R351" i="1"/>
  <c r="S351" i="1"/>
  <c r="T351" i="1"/>
  <c r="U351" i="1"/>
  <c r="AD351" i="1"/>
  <c r="AE351" i="1"/>
  <c r="AF351" i="1"/>
  <c r="AG351" i="1"/>
  <c r="AH351" i="1"/>
  <c r="AI351" i="1"/>
  <c r="AJ351" i="1"/>
  <c r="AK351" i="1"/>
  <c r="AT351" i="1"/>
  <c r="AU351" i="1"/>
  <c r="AV351" i="1"/>
  <c r="AW351" i="1"/>
  <c r="AX351" i="1"/>
  <c r="AY351" i="1"/>
  <c r="AZ351" i="1"/>
  <c r="BA351" i="1"/>
  <c r="N352" i="1"/>
  <c r="O352" i="1"/>
  <c r="P352" i="1"/>
  <c r="Q352" i="1"/>
  <c r="R352" i="1"/>
  <c r="S352" i="1"/>
  <c r="T352" i="1"/>
  <c r="U352" i="1"/>
  <c r="AD352" i="1"/>
  <c r="AE352" i="1"/>
  <c r="AF352" i="1"/>
  <c r="AG352" i="1"/>
  <c r="AH352" i="1"/>
  <c r="AI352" i="1"/>
  <c r="AJ352" i="1"/>
  <c r="AK352" i="1"/>
  <c r="AT352" i="1"/>
  <c r="AU352" i="1"/>
  <c r="AV352" i="1"/>
  <c r="AW352" i="1"/>
  <c r="AX352" i="1"/>
  <c r="AY352" i="1"/>
  <c r="AZ352" i="1"/>
  <c r="BA352" i="1"/>
  <c r="N353" i="1"/>
  <c r="O353" i="1"/>
  <c r="P353" i="1"/>
  <c r="Q353" i="1"/>
  <c r="R353" i="1"/>
  <c r="S353" i="1"/>
  <c r="T353" i="1"/>
  <c r="U353" i="1"/>
  <c r="AD353" i="1"/>
  <c r="AE353" i="1"/>
  <c r="AF353" i="1"/>
  <c r="AG353" i="1"/>
  <c r="AH353" i="1"/>
  <c r="AI353" i="1"/>
  <c r="AJ353" i="1"/>
  <c r="AK353" i="1"/>
  <c r="AT353" i="1"/>
  <c r="AU353" i="1"/>
  <c r="AV353" i="1"/>
  <c r="AW353" i="1"/>
  <c r="AX353" i="1"/>
  <c r="AY353" i="1"/>
  <c r="AZ353" i="1"/>
  <c r="BA353" i="1"/>
  <c r="N354" i="1"/>
  <c r="O354" i="1"/>
  <c r="P354" i="1"/>
  <c r="Q354" i="1"/>
  <c r="R354" i="1"/>
  <c r="S354" i="1"/>
  <c r="T354" i="1"/>
  <c r="U354" i="1"/>
  <c r="AD354" i="1"/>
  <c r="AE354" i="1"/>
  <c r="AF354" i="1"/>
  <c r="AG354" i="1"/>
  <c r="AH354" i="1"/>
  <c r="AI354" i="1"/>
  <c r="AJ354" i="1"/>
  <c r="AK354" i="1"/>
  <c r="AT354" i="1"/>
  <c r="AU354" i="1"/>
  <c r="AV354" i="1"/>
  <c r="AW354" i="1"/>
  <c r="AX354" i="1"/>
  <c r="AY354" i="1"/>
  <c r="AZ354" i="1"/>
  <c r="BA354" i="1"/>
  <c r="N355" i="1"/>
  <c r="O355" i="1"/>
  <c r="P355" i="1"/>
  <c r="Q355" i="1"/>
  <c r="R355" i="1"/>
  <c r="S355" i="1"/>
  <c r="T355" i="1"/>
  <c r="U355" i="1"/>
  <c r="AD355" i="1"/>
  <c r="AE355" i="1"/>
  <c r="AF355" i="1"/>
  <c r="AG355" i="1"/>
  <c r="AH355" i="1"/>
  <c r="AI355" i="1"/>
  <c r="AJ355" i="1"/>
  <c r="AK355" i="1"/>
  <c r="AT355" i="1"/>
  <c r="AU355" i="1"/>
  <c r="AV355" i="1"/>
  <c r="AW355" i="1"/>
  <c r="AX355" i="1"/>
  <c r="AY355" i="1"/>
  <c r="AZ355" i="1"/>
  <c r="BA355" i="1"/>
  <c r="N356" i="1"/>
  <c r="O356" i="1"/>
  <c r="P356" i="1"/>
  <c r="Q356" i="1"/>
  <c r="R356" i="1"/>
  <c r="S356" i="1"/>
  <c r="T356" i="1"/>
  <c r="U356" i="1"/>
  <c r="AD356" i="1"/>
  <c r="AE356" i="1"/>
  <c r="AF356" i="1"/>
  <c r="AG356" i="1"/>
  <c r="AH356" i="1"/>
  <c r="AI356" i="1"/>
  <c r="AJ356" i="1"/>
  <c r="AK356" i="1"/>
  <c r="AT356" i="1"/>
  <c r="AU356" i="1"/>
  <c r="AV356" i="1"/>
  <c r="AW356" i="1"/>
  <c r="AX356" i="1"/>
  <c r="AY356" i="1"/>
  <c r="AZ356" i="1"/>
  <c r="BA356" i="1"/>
  <c r="N357" i="1"/>
  <c r="O357" i="1"/>
  <c r="P357" i="1"/>
  <c r="Q357" i="1"/>
  <c r="R357" i="1"/>
  <c r="S357" i="1"/>
  <c r="T357" i="1"/>
  <c r="U357" i="1"/>
  <c r="AD357" i="1"/>
  <c r="AE357" i="1"/>
  <c r="AF357" i="1"/>
  <c r="AG357" i="1"/>
  <c r="AH357" i="1"/>
  <c r="AI357" i="1"/>
  <c r="AJ357" i="1"/>
  <c r="AK357" i="1"/>
  <c r="AT357" i="1"/>
  <c r="AU357" i="1"/>
  <c r="AV357" i="1"/>
  <c r="AW357" i="1"/>
  <c r="AX357" i="1"/>
  <c r="AY357" i="1"/>
  <c r="AZ357" i="1"/>
  <c r="BA357" i="1"/>
  <c r="N358" i="1"/>
  <c r="O358" i="1"/>
  <c r="P358" i="1"/>
  <c r="Q358" i="1"/>
  <c r="R358" i="1"/>
  <c r="S358" i="1"/>
  <c r="T358" i="1"/>
  <c r="U358" i="1"/>
  <c r="AD358" i="1"/>
  <c r="AE358" i="1"/>
  <c r="AF358" i="1"/>
  <c r="AG358" i="1"/>
  <c r="AH358" i="1"/>
  <c r="AI358" i="1"/>
  <c r="AJ358" i="1"/>
  <c r="AK358" i="1"/>
  <c r="AT358" i="1"/>
  <c r="AU358" i="1"/>
  <c r="AV358" i="1"/>
  <c r="AW358" i="1"/>
  <c r="AX358" i="1"/>
  <c r="AY358" i="1"/>
  <c r="AZ358" i="1"/>
  <c r="BA358" i="1"/>
  <c r="N359" i="1"/>
  <c r="O359" i="1"/>
  <c r="P359" i="1"/>
  <c r="Q359" i="1"/>
  <c r="R359" i="1"/>
  <c r="S359" i="1"/>
  <c r="T359" i="1"/>
  <c r="U359" i="1"/>
  <c r="AD359" i="1"/>
  <c r="AE359" i="1"/>
  <c r="AF359" i="1"/>
  <c r="AG359" i="1"/>
  <c r="AH359" i="1"/>
  <c r="AI359" i="1"/>
  <c r="AJ359" i="1"/>
  <c r="AK359" i="1"/>
  <c r="AT359" i="1"/>
  <c r="AU359" i="1"/>
  <c r="AV359" i="1"/>
  <c r="AW359" i="1"/>
  <c r="AX359" i="1"/>
  <c r="AY359" i="1"/>
  <c r="AZ359" i="1"/>
  <c r="BA359" i="1"/>
  <c r="N360" i="1"/>
  <c r="O360" i="1"/>
  <c r="P360" i="1"/>
  <c r="Q360" i="1"/>
  <c r="R360" i="1"/>
  <c r="S360" i="1"/>
  <c r="T360" i="1"/>
  <c r="U360" i="1"/>
  <c r="AD360" i="1"/>
  <c r="AE360" i="1"/>
  <c r="AF360" i="1"/>
  <c r="AG360" i="1"/>
  <c r="AH360" i="1"/>
  <c r="AI360" i="1"/>
  <c r="AJ360" i="1"/>
  <c r="AK360" i="1"/>
  <c r="AT360" i="1"/>
  <c r="AU360" i="1"/>
  <c r="AV360" i="1"/>
  <c r="AW360" i="1"/>
  <c r="AX360" i="1"/>
  <c r="AY360" i="1"/>
  <c r="AZ360" i="1"/>
  <c r="BA360" i="1"/>
  <c r="N361" i="1"/>
  <c r="O361" i="1"/>
  <c r="P361" i="1"/>
  <c r="Q361" i="1"/>
  <c r="R361" i="1"/>
  <c r="S361" i="1"/>
  <c r="T361" i="1"/>
  <c r="U361" i="1"/>
  <c r="AD361" i="1"/>
  <c r="AE361" i="1"/>
  <c r="AF361" i="1"/>
  <c r="AG361" i="1"/>
  <c r="AH361" i="1"/>
  <c r="AI361" i="1"/>
  <c r="AJ361" i="1"/>
  <c r="AK361" i="1"/>
  <c r="AT361" i="1"/>
  <c r="AU361" i="1"/>
  <c r="AV361" i="1"/>
  <c r="AW361" i="1"/>
  <c r="AX361" i="1"/>
  <c r="AY361" i="1"/>
  <c r="AZ361" i="1"/>
  <c r="BA361" i="1"/>
  <c r="N362" i="1"/>
  <c r="O362" i="1"/>
  <c r="P362" i="1"/>
  <c r="Q362" i="1"/>
  <c r="R362" i="1"/>
  <c r="S362" i="1"/>
  <c r="T362" i="1"/>
  <c r="U362" i="1"/>
  <c r="AD362" i="1"/>
  <c r="AE362" i="1"/>
  <c r="AF362" i="1"/>
  <c r="AG362" i="1"/>
  <c r="AH362" i="1"/>
  <c r="AI362" i="1"/>
  <c r="AJ362" i="1"/>
  <c r="AK362" i="1"/>
  <c r="AT362" i="1"/>
  <c r="AU362" i="1"/>
  <c r="AV362" i="1"/>
  <c r="AW362" i="1"/>
  <c r="AX362" i="1"/>
  <c r="AY362" i="1"/>
  <c r="AZ362" i="1"/>
  <c r="BA362" i="1"/>
  <c r="N363" i="1"/>
  <c r="O363" i="1"/>
  <c r="P363" i="1"/>
  <c r="Q363" i="1"/>
  <c r="R363" i="1"/>
  <c r="S363" i="1"/>
  <c r="T363" i="1"/>
  <c r="U363" i="1"/>
  <c r="AD363" i="1"/>
  <c r="AE363" i="1"/>
  <c r="AF363" i="1"/>
  <c r="AG363" i="1"/>
  <c r="AH363" i="1"/>
  <c r="AI363" i="1"/>
  <c r="AJ363" i="1"/>
  <c r="AK363" i="1"/>
  <c r="AT363" i="1"/>
  <c r="AU363" i="1"/>
  <c r="AV363" i="1"/>
  <c r="AW363" i="1"/>
  <c r="AX363" i="1"/>
  <c r="AY363" i="1"/>
  <c r="AZ363" i="1"/>
  <c r="BA363" i="1"/>
  <c r="N364" i="1"/>
  <c r="O364" i="1"/>
  <c r="P364" i="1"/>
  <c r="Q364" i="1"/>
  <c r="R364" i="1"/>
  <c r="S364" i="1"/>
  <c r="T364" i="1"/>
  <c r="U364" i="1"/>
  <c r="AD364" i="1"/>
  <c r="AE364" i="1"/>
  <c r="AF364" i="1"/>
  <c r="AG364" i="1"/>
  <c r="AH364" i="1"/>
  <c r="AI364" i="1"/>
  <c r="AJ364" i="1"/>
  <c r="AK364" i="1"/>
  <c r="AT364" i="1"/>
  <c r="AU364" i="1"/>
  <c r="AV364" i="1"/>
  <c r="AW364" i="1"/>
  <c r="AX364" i="1"/>
  <c r="AY364" i="1"/>
  <c r="AZ364" i="1"/>
  <c r="BA364" i="1"/>
  <c r="N365" i="1"/>
  <c r="O365" i="1"/>
  <c r="P365" i="1"/>
  <c r="Q365" i="1"/>
  <c r="R365" i="1"/>
  <c r="S365" i="1"/>
  <c r="T365" i="1"/>
  <c r="U365" i="1"/>
  <c r="AD365" i="1"/>
  <c r="AE365" i="1"/>
  <c r="AF365" i="1"/>
  <c r="AG365" i="1"/>
  <c r="AH365" i="1"/>
  <c r="AI365" i="1"/>
  <c r="AJ365" i="1"/>
  <c r="AK365" i="1"/>
  <c r="AT365" i="1"/>
  <c r="AU365" i="1"/>
  <c r="AV365" i="1"/>
  <c r="AW365" i="1"/>
  <c r="AX365" i="1"/>
  <c r="AY365" i="1"/>
  <c r="AZ365" i="1"/>
  <c r="BA365" i="1"/>
  <c r="N366" i="1"/>
  <c r="O366" i="1"/>
  <c r="P366" i="1"/>
  <c r="Q366" i="1"/>
  <c r="R366" i="1"/>
  <c r="S366" i="1"/>
  <c r="T366" i="1"/>
  <c r="U366" i="1"/>
  <c r="AD366" i="1"/>
  <c r="AE366" i="1"/>
  <c r="AF366" i="1"/>
  <c r="AG366" i="1"/>
  <c r="AH366" i="1"/>
  <c r="AI366" i="1"/>
  <c r="AJ366" i="1"/>
  <c r="AK366" i="1"/>
  <c r="AT366" i="1"/>
  <c r="AU366" i="1"/>
  <c r="AV366" i="1"/>
  <c r="AW366" i="1"/>
  <c r="AX366" i="1"/>
  <c r="AY366" i="1"/>
  <c r="AZ366" i="1"/>
  <c r="BA366" i="1"/>
  <c r="N367" i="1"/>
  <c r="O367" i="1"/>
  <c r="P367" i="1"/>
  <c r="Q367" i="1"/>
  <c r="R367" i="1"/>
  <c r="S367" i="1"/>
  <c r="T367" i="1"/>
  <c r="U367" i="1"/>
  <c r="AD367" i="1"/>
  <c r="AE367" i="1"/>
  <c r="AF367" i="1"/>
  <c r="AG367" i="1"/>
  <c r="AH367" i="1"/>
  <c r="AI367" i="1"/>
  <c r="AJ367" i="1"/>
  <c r="AK367" i="1"/>
  <c r="AT367" i="1"/>
  <c r="AU367" i="1"/>
  <c r="AV367" i="1"/>
  <c r="AW367" i="1"/>
  <c r="AX367" i="1"/>
  <c r="AY367" i="1"/>
  <c r="AZ367" i="1"/>
  <c r="BA367" i="1"/>
  <c r="N368" i="1"/>
  <c r="O368" i="1"/>
  <c r="P368" i="1"/>
  <c r="Q368" i="1"/>
  <c r="R368" i="1"/>
  <c r="S368" i="1"/>
  <c r="T368" i="1"/>
  <c r="U368" i="1"/>
  <c r="AD368" i="1"/>
  <c r="AE368" i="1"/>
  <c r="AF368" i="1"/>
  <c r="AG368" i="1"/>
  <c r="AH368" i="1"/>
  <c r="AI368" i="1"/>
  <c r="AJ368" i="1"/>
  <c r="AK368" i="1"/>
  <c r="AT368" i="1"/>
  <c r="AU368" i="1"/>
  <c r="AV368" i="1"/>
  <c r="AW368" i="1"/>
  <c r="AX368" i="1"/>
  <c r="AY368" i="1"/>
  <c r="AZ368" i="1"/>
  <c r="BA368" i="1"/>
  <c r="N369" i="1"/>
  <c r="O369" i="1"/>
  <c r="P369" i="1"/>
  <c r="Q369" i="1"/>
  <c r="R369" i="1"/>
  <c r="S369" i="1"/>
  <c r="T369" i="1"/>
  <c r="U369" i="1"/>
  <c r="AD369" i="1"/>
  <c r="AE369" i="1"/>
  <c r="AF369" i="1"/>
  <c r="AG369" i="1"/>
  <c r="AH369" i="1"/>
  <c r="AI369" i="1"/>
  <c r="AJ369" i="1"/>
  <c r="AK369" i="1"/>
  <c r="AT369" i="1"/>
  <c r="AU369" i="1"/>
  <c r="AV369" i="1"/>
  <c r="AW369" i="1"/>
  <c r="AX369" i="1"/>
  <c r="AY369" i="1"/>
  <c r="AZ369" i="1"/>
  <c r="BA369" i="1"/>
  <c r="N370" i="1"/>
  <c r="O370" i="1"/>
  <c r="P370" i="1"/>
  <c r="Q370" i="1"/>
  <c r="R370" i="1"/>
  <c r="S370" i="1"/>
  <c r="T370" i="1"/>
  <c r="U370" i="1"/>
  <c r="AD370" i="1"/>
  <c r="AE370" i="1"/>
  <c r="AF370" i="1"/>
  <c r="AG370" i="1"/>
  <c r="AH370" i="1"/>
  <c r="AI370" i="1"/>
  <c r="AJ370" i="1"/>
  <c r="AK370" i="1"/>
  <c r="AT370" i="1"/>
  <c r="AU370" i="1"/>
  <c r="AV370" i="1"/>
  <c r="AW370" i="1"/>
  <c r="AX370" i="1"/>
  <c r="AY370" i="1"/>
  <c r="AZ370" i="1"/>
  <c r="BA370" i="1"/>
  <c r="N371" i="1"/>
  <c r="O371" i="1"/>
  <c r="P371" i="1"/>
  <c r="Q371" i="1"/>
  <c r="R371" i="1"/>
  <c r="S371" i="1"/>
  <c r="T371" i="1"/>
  <c r="U371" i="1"/>
  <c r="AD371" i="1"/>
  <c r="AE371" i="1"/>
  <c r="AF371" i="1"/>
  <c r="AG371" i="1"/>
  <c r="AH371" i="1"/>
  <c r="AI371" i="1"/>
  <c r="AJ371" i="1"/>
  <c r="AK371" i="1"/>
  <c r="AT371" i="1"/>
  <c r="AU371" i="1"/>
  <c r="AV371" i="1"/>
  <c r="AW371" i="1"/>
  <c r="AX371" i="1"/>
  <c r="AY371" i="1"/>
  <c r="AZ371" i="1"/>
  <c r="BA371" i="1"/>
  <c r="N372" i="1"/>
  <c r="O372" i="1"/>
  <c r="P372" i="1"/>
  <c r="Q372" i="1"/>
  <c r="R372" i="1"/>
  <c r="S372" i="1"/>
  <c r="T372" i="1"/>
  <c r="U372" i="1"/>
  <c r="AD372" i="1"/>
  <c r="AE372" i="1"/>
  <c r="AF372" i="1"/>
  <c r="AG372" i="1"/>
  <c r="AH372" i="1"/>
  <c r="AI372" i="1"/>
  <c r="AJ372" i="1"/>
  <c r="AK372" i="1"/>
  <c r="AT372" i="1"/>
  <c r="AU372" i="1"/>
  <c r="AV372" i="1"/>
  <c r="AW372" i="1"/>
  <c r="AX372" i="1"/>
  <c r="AY372" i="1"/>
  <c r="AZ372" i="1"/>
  <c r="BA372" i="1"/>
  <c r="N373" i="1"/>
  <c r="O373" i="1"/>
  <c r="P373" i="1"/>
  <c r="Q373" i="1"/>
  <c r="R373" i="1"/>
  <c r="S373" i="1"/>
  <c r="T373" i="1"/>
  <c r="U373" i="1"/>
  <c r="AD373" i="1"/>
  <c r="AE373" i="1"/>
  <c r="AF373" i="1"/>
  <c r="AG373" i="1"/>
  <c r="AH373" i="1"/>
  <c r="AI373" i="1"/>
  <c r="AJ373" i="1"/>
  <c r="AK373" i="1"/>
  <c r="AT373" i="1"/>
  <c r="AU373" i="1"/>
  <c r="AV373" i="1"/>
  <c r="AW373" i="1"/>
  <c r="AX373" i="1"/>
  <c r="AY373" i="1"/>
  <c r="AZ373" i="1"/>
  <c r="BA373" i="1"/>
  <c r="N374" i="1"/>
  <c r="O374" i="1"/>
  <c r="P374" i="1"/>
  <c r="Q374" i="1"/>
  <c r="R374" i="1"/>
  <c r="S374" i="1"/>
  <c r="T374" i="1"/>
  <c r="U374" i="1"/>
  <c r="AD374" i="1"/>
  <c r="AE374" i="1"/>
  <c r="AF374" i="1"/>
  <c r="AG374" i="1"/>
  <c r="AH374" i="1"/>
  <c r="AI374" i="1"/>
  <c r="AJ374" i="1"/>
  <c r="AK374" i="1"/>
  <c r="AT374" i="1"/>
  <c r="AU374" i="1"/>
  <c r="AV374" i="1"/>
  <c r="AW374" i="1"/>
  <c r="AX374" i="1"/>
  <c r="AY374" i="1"/>
  <c r="AZ374" i="1"/>
  <c r="BA374" i="1"/>
  <c r="N375" i="1"/>
  <c r="O375" i="1"/>
  <c r="P375" i="1"/>
  <c r="Q375" i="1"/>
  <c r="R375" i="1"/>
  <c r="S375" i="1"/>
  <c r="T375" i="1"/>
  <c r="U375" i="1"/>
  <c r="AD375" i="1"/>
  <c r="AE375" i="1"/>
  <c r="AF375" i="1"/>
  <c r="AG375" i="1"/>
  <c r="AH375" i="1"/>
  <c r="AI375" i="1"/>
  <c r="AJ375" i="1"/>
  <c r="AK375" i="1"/>
  <c r="AT375" i="1"/>
  <c r="AU375" i="1"/>
  <c r="AV375" i="1"/>
  <c r="AW375" i="1"/>
  <c r="AX375" i="1"/>
  <c r="AY375" i="1"/>
  <c r="AZ375" i="1"/>
  <c r="BA375" i="1"/>
  <c r="N376" i="1"/>
  <c r="O376" i="1"/>
  <c r="P376" i="1"/>
  <c r="Q376" i="1"/>
  <c r="R376" i="1"/>
  <c r="S376" i="1"/>
  <c r="T376" i="1"/>
  <c r="U376" i="1"/>
  <c r="AD376" i="1"/>
  <c r="AE376" i="1"/>
  <c r="AF376" i="1"/>
  <c r="AG376" i="1"/>
  <c r="AH376" i="1"/>
  <c r="AI376" i="1"/>
  <c r="AJ376" i="1"/>
  <c r="AK376" i="1"/>
  <c r="AT376" i="1"/>
  <c r="AU376" i="1"/>
  <c r="AV376" i="1"/>
  <c r="AW376" i="1"/>
  <c r="AX376" i="1"/>
  <c r="AY376" i="1"/>
  <c r="AZ376" i="1"/>
  <c r="BA376" i="1"/>
  <c r="N377" i="1"/>
  <c r="O377" i="1"/>
  <c r="P377" i="1"/>
  <c r="Q377" i="1"/>
  <c r="R377" i="1"/>
  <c r="S377" i="1"/>
  <c r="T377" i="1"/>
  <c r="U377" i="1"/>
  <c r="AD377" i="1"/>
  <c r="AE377" i="1"/>
  <c r="AF377" i="1"/>
  <c r="AG377" i="1"/>
  <c r="AH377" i="1"/>
  <c r="AI377" i="1"/>
  <c r="AJ377" i="1"/>
  <c r="AK377" i="1"/>
  <c r="AT377" i="1"/>
  <c r="AU377" i="1"/>
  <c r="AV377" i="1"/>
  <c r="AW377" i="1"/>
  <c r="AX377" i="1"/>
  <c r="AY377" i="1"/>
  <c r="AZ377" i="1"/>
  <c r="BA377" i="1"/>
  <c r="N378" i="1"/>
  <c r="O378" i="1"/>
  <c r="P378" i="1"/>
  <c r="Q378" i="1"/>
  <c r="R378" i="1"/>
  <c r="S378" i="1"/>
  <c r="T378" i="1"/>
  <c r="U378" i="1"/>
  <c r="AD378" i="1"/>
  <c r="AE378" i="1"/>
  <c r="AF378" i="1"/>
  <c r="AG378" i="1"/>
  <c r="AH378" i="1"/>
  <c r="AI378" i="1"/>
  <c r="AJ378" i="1"/>
  <c r="AK378" i="1"/>
  <c r="AT378" i="1"/>
  <c r="AU378" i="1"/>
  <c r="AV378" i="1"/>
  <c r="AW378" i="1"/>
  <c r="AX378" i="1"/>
  <c r="AY378" i="1"/>
  <c r="AZ378" i="1"/>
  <c r="BA378" i="1"/>
  <c r="N379" i="1"/>
  <c r="O379" i="1"/>
  <c r="P379" i="1"/>
  <c r="Q379" i="1"/>
  <c r="R379" i="1"/>
  <c r="S379" i="1"/>
  <c r="T379" i="1"/>
  <c r="U379" i="1"/>
  <c r="AD379" i="1"/>
  <c r="AE379" i="1"/>
  <c r="AF379" i="1"/>
  <c r="AG379" i="1"/>
  <c r="AH379" i="1"/>
  <c r="AI379" i="1"/>
  <c r="AJ379" i="1"/>
  <c r="AK379" i="1"/>
  <c r="AT379" i="1"/>
  <c r="AU379" i="1"/>
  <c r="AV379" i="1"/>
  <c r="AW379" i="1"/>
  <c r="AX379" i="1"/>
  <c r="AY379" i="1"/>
  <c r="AZ379" i="1"/>
  <c r="BA379" i="1"/>
  <c r="N380" i="1"/>
  <c r="O380" i="1"/>
  <c r="P380" i="1"/>
  <c r="Q380" i="1"/>
  <c r="R380" i="1"/>
  <c r="S380" i="1"/>
  <c r="T380" i="1"/>
  <c r="U380" i="1"/>
  <c r="AD380" i="1"/>
  <c r="AE380" i="1"/>
  <c r="AF380" i="1"/>
  <c r="AG380" i="1"/>
  <c r="AH380" i="1"/>
  <c r="AI380" i="1"/>
  <c r="AJ380" i="1"/>
  <c r="AK380" i="1"/>
  <c r="AT380" i="1"/>
  <c r="AU380" i="1"/>
  <c r="AV380" i="1"/>
  <c r="AW380" i="1"/>
  <c r="AX380" i="1"/>
  <c r="AY380" i="1"/>
  <c r="AZ380" i="1"/>
  <c r="BA380" i="1"/>
  <c r="N381" i="1"/>
  <c r="O381" i="1"/>
  <c r="P381" i="1"/>
  <c r="Q381" i="1"/>
  <c r="R381" i="1"/>
  <c r="S381" i="1"/>
  <c r="T381" i="1"/>
  <c r="U381" i="1"/>
  <c r="AD381" i="1"/>
  <c r="AE381" i="1"/>
  <c r="AF381" i="1"/>
  <c r="AG381" i="1"/>
  <c r="AH381" i="1"/>
  <c r="AI381" i="1"/>
  <c r="AJ381" i="1"/>
  <c r="AK381" i="1"/>
  <c r="AT381" i="1"/>
  <c r="AU381" i="1"/>
  <c r="AV381" i="1"/>
  <c r="AW381" i="1"/>
  <c r="AX381" i="1"/>
  <c r="AY381" i="1"/>
  <c r="AZ381" i="1"/>
  <c r="BA381" i="1"/>
  <c r="N382" i="1"/>
  <c r="O382" i="1"/>
  <c r="P382" i="1"/>
  <c r="Q382" i="1"/>
  <c r="R382" i="1"/>
  <c r="S382" i="1"/>
  <c r="T382" i="1"/>
  <c r="U382" i="1"/>
  <c r="AD382" i="1"/>
  <c r="AE382" i="1"/>
  <c r="AF382" i="1"/>
  <c r="AG382" i="1"/>
  <c r="AH382" i="1"/>
  <c r="AI382" i="1"/>
  <c r="AJ382" i="1"/>
  <c r="AK382" i="1"/>
  <c r="AT382" i="1"/>
  <c r="AU382" i="1"/>
  <c r="AV382" i="1"/>
  <c r="AW382" i="1"/>
  <c r="AX382" i="1"/>
  <c r="AY382" i="1"/>
  <c r="AZ382" i="1"/>
  <c r="BA382" i="1"/>
  <c r="N383" i="1"/>
  <c r="O383" i="1"/>
  <c r="P383" i="1"/>
  <c r="Q383" i="1"/>
  <c r="R383" i="1"/>
  <c r="S383" i="1"/>
  <c r="T383" i="1"/>
  <c r="U383" i="1"/>
  <c r="AD383" i="1"/>
  <c r="AE383" i="1"/>
  <c r="AF383" i="1"/>
  <c r="AG383" i="1"/>
  <c r="AH383" i="1"/>
  <c r="AI383" i="1"/>
  <c r="AJ383" i="1"/>
  <c r="AK383" i="1"/>
  <c r="AT383" i="1"/>
  <c r="AU383" i="1"/>
  <c r="AV383" i="1"/>
  <c r="AW383" i="1"/>
  <c r="AX383" i="1"/>
  <c r="AY383" i="1"/>
  <c r="AZ383" i="1"/>
  <c r="BA383" i="1"/>
  <c r="N384" i="1"/>
  <c r="O384" i="1"/>
  <c r="P384" i="1"/>
  <c r="Q384" i="1"/>
  <c r="R384" i="1"/>
  <c r="S384" i="1"/>
  <c r="T384" i="1"/>
  <c r="U384" i="1"/>
  <c r="AD384" i="1"/>
  <c r="AE384" i="1"/>
  <c r="AF384" i="1"/>
  <c r="AG384" i="1"/>
  <c r="AH384" i="1"/>
  <c r="AI384" i="1"/>
  <c r="AJ384" i="1"/>
  <c r="AK384" i="1"/>
  <c r="AT384" i="1"/>
  <c r="AU384" i="1"/>
  <c r="AV384" i="1"/>
  <c r="AW384" i="1"/>
  <c r="AX384" i="1"/>
  <c r="AY384" i="1"/>
  <c r="AZ384" i="1"/>
  <c r="BA384" i="1"/>
  <c r="N385" i="1"/>
  <c r="O385" i="1"/>
  <c r="P385" i="1"/>
  <c r="Q385" i="1"/>
  <c r="R385" i="1"/>
  <c r="S385" i="1"/>
  <c r="T385" i="1"/>
  <c r="U385" i="1"/>
  <c r="AD385" i="1"/>
  <c r="AE385" i="1"/>
  <c r="AF385" i="1"/>
  <c r="AG385" i="1"/>
  <c r="AH385" i="1"/>
  <c r="AI385" i="1"/>
  <c r="AJ385" i="1"/>
  <c r="AK385" i="1"/>
  <c r="AT385" i="1"/>
  <c r="AU385" i="1"/>
  <c r="AV385" i="1"/>
  <c r="AW385" i="1"/>
  <c r="AX385" i="1"/>
  <c r="AY385" i="1"/>
  <c r="AZ385" i="1"/>
  <c r="BA385" i="1"/>
  <c r="N386" i="1"/>
  <c r="O386" i="1"/>
  <c r="P386" i="1"/>
  <c r="Q386" i="1"/>
  <c r="R386" i="1"/>
  <c r="S386" i="1"/>
  <c r="T386" i="1"/>
  <c r="U386" i="1"/>
  <c r="AD386" i="1"/>
  <c r="AE386" i="1"/>
  <c r="AF386" i="1"/>
  <c r="AG386" i="1"/>
  <c r="AH386" i="1"/>
  <c r="AI386" i="1"/>
  <c r="AJ386" i="1"/>
  <c r="AK386" i="1"/>
  <c r="AT386" i="1"/>
  <c r="AU386" i="1"/>
  <c r="AV386" i="1"/>
  <c r="AW386" i="1"/>
  <c r="AX386" i="1"/>
  <c r="AY386" i="1"/>
  <c r="AZ386" i="1"/>
  <c r="BA386" i="1"/>
  <c r="N387" i="1"/>
  <c r="O387" i="1"/>
  <c r="P387" i="1"/>
  <c r="Q387" i="1"/>
  <c r="R387" i="1"/>
  <c r="S387" i="1"/>
  <c r="T387" i="1"/>
  <c r="U387" i="1"/>
  <c r="AD387" i="1"/>
  <c r="AE387" i="1"/>
  <c r="AF387" i="1"/>
  <c r="AG387" i="1"/>
  <c r="AH387" i="1"/>
  <c r="AI387" i="1"/>
  <c r="AJ387" i="1"/>
  <c r="AK387" i="1"/>
  <c r="AT387" i="1"/>
  <c r="AU387" i="1"/>
  <c r="AV387" i="1"/>
  <c r="AW387" i="1"/>
  <c r="AX387" i="1"/>
  <c r="AY387" i="1"/>
  <c r="AZ387" i="1"/>
  <c r="BA387" i="1"/>
  <c r="N388" i="1"/>
  <c r="O388" i="1"/>
  <c r="P388" i="1"/>
  <c r="Q388" i="1"/>
  <c r="R388" i="1"/>
  <c r="S388" i="1"/>
  <c r="T388" i="1"/>
  <c r="U388" i="1"/>
  <c r="AD388" i="1"/>
  <c r="AE388" i="1"/>
  <c r="AF388" i="1"/>
  <c r="AG388" i="1"/>
  <c r="AH388" i="1"/>
  <c r="AI388" i="1"/>
  <c r="AJ388" i="1"/>
  <c r="AK388" i="1"/>
  <c r="AT388" i="1"/>
  <c r="AU388" i="1"/>
  <c r="AV388" i="1"/>
  <c r="AW388" i="1"/>
  <c r="AX388" i="1"/>
  <c r="AY388" i="1"/>
  <c r="AZ388" i="1"/>
  <c r="BA388" i="1"/>
  <c r="N389" i="1"/>
  <c r="O389" i="1"/>
  <c r="P389" i="1"/>
  <c r="Q389" i="1"/>
  <c r="R389" i="1"/>
  <c r="S389" i="1"/>
  <c r="T389" i="1"/>
  <c r="U389" i="1"/>
  <c r="AD389" i="1"/>
  <c r="AE389" i="1"/>
  <c r="AF389" i="1"/>
  <c r="AG389" i="1"/>
  <c r="AH389" i="1"/>
  <c r="AI389" i="1"/>
  <c r="AJ389" i="1"/>
  <c r="AK389" i="1"/>
  <c r="AT389" i="1"/>
  <c r="AU389" i="1"/>
  <c r="AV389" i="1"/>
  <c r="AW389" i="1"/>
  <c r="AX389" i="1"/>
  <c r="AY389" i="1"/>
  <c r="AZ389" i="1"/>
  <c r="BA389" i="1"/>
  <c r="N390" i="1"/>
  <c r="O390" i="1"/>
  <c r="P390" i="1"/>
  <c r="Q390" i="1"/>
  <c r="R390" i="1"/>
  <c r="S390" i="1"/>
  <c r="T390" i="1"/>
  <c r="U390" i="1"/>
  <c r="AD390" i="1"/>
  <c r="AE390" i="1"/>
  <c r="AF390" i="1"/>
  <c r="AG390" i="1"/>
  <c r="AH390" i="1"/>
  <c r="AI390" i="1"/>
  <c r="AJ390" i="1"/>
  <c r="AK390" i="1"/>
  <c r="AT390" i="1"/>
  <c r="AU390" i="1"/>
  <c r="AV390" i="1"/>
  <c r="AW390" i="1"/>
  <c r="AX390" i="1"/>
  <c r="AY390" i="1"/>
  <c r="AZ390" i="1"/>
  <c r="BA390" i="1"/>
  <c r="N391" i="1"/>
  <c r="O391" i="1"/>
  <c r="P391" i="1"/>
  <c r="Q391" i="1"/>
  <c r="R391" i="1"/>
  <c r="S391" i="1"/>
  <c r="T391" i="1"/>
  <c r="U391" i="1"/>
  <c r="AD391" i="1"/>
  <c r="AE391" i="1"/>
  <c r="AF391" i="1"/>
  <c r="AG391" i="1"/>
  <c r="AH391" i="1"/>
  <c r="AI391" i="1"/>
  <c r="AJ391" i="1"/>
  <c r="AK391" i="1"/>
  <c r="AT391" i="1"/>
  <c r="AU391" i="1"/>
  <c r="AV391" i="1"/>
  <c r="AW391" i="1"/>
  <c r="AX391" i="1"/>
  <c r="AY391" i="1"/>
  <c r="AZ391" i="1"/>
  <c r="BA391" i="1"/>
  <c r="N392" i="1"/>
  <c r="O392" i="1"/>
  <c r="P392" i="1"/>
  <c r="Q392" i="1"/>
  <c r="R392" i="1"/>
  <c r="S392" i="1"/>
  <c r="T392" i="1"/>
  <c r="U392" i="1"/>
  <c r="AD392" i="1"/>
  <c r="AE392" i="1"/>
  <c r="AF392" i="1"/>
  <c r="AG392" i="1"/>
  <c r="AH392" i="1"/>
  <c r="AI392" i="1"/>
  <c r="AJ392" i="1"/>
  <c r="AK392" i="1"/>
  <c r="AT392" i="1"/>
  <c r="AU392" i="1"/>
  <c r="AV392" i="1"/>
  <c r="AW392" i="1"/>
  <c r="AX392" i="1"/>
  <c r="AY392" i="1"/>
  <c r="AZ392" i="1"/>
  <c r="BA392" i="1"/>
  <c r="N393" i="1"/>
  <c r="O393" i="1"/>
  <c r="P393" i="1"/>
  <c r="Q393" i="1"/>
  <c r="R393" i="1"/>
  <c r="S393" i="1"/>
  <c r="T393" i="1"/>
  <c r="U393" i="1"/>
  <c r="AD393" i="1"/>
  <c r="AE393" i="1"/>
  <c r="AF393" i="1"/>
  <c r="AG393" i="1"/>
  <c r="AH393" i="1"/>
  <c r="AI393" i="1"/>
  <c r="AJ393" i="1"/>
  <c r="AK393" i="1"/>
  <c r="AT393" i="1"/>
  <c r="AU393" i="1"/>
  <c r="AV393" i="1"/>
  <c r="AW393" i="1"/>
  <c r="AX393" i="1"/>
  <c r="AY393" i="1"/>
  <c r="AZ393" i="1"/>
  <c r="BA393" i="1"/>
  <c r="N394" i="1"/>
  <c r="O394" i="1"/>
  <c r="P394" i="1"/>
  <c r="Q394" i="1"/>
  <c r="R394" i="1"/>
  <c r="S394" i="1"/>
  <c r="T394" i="1"/>
  <c r="U394" i="1"/>
  <c r="AD394" i="1"/>
  <c r="AE394" i="1"/>
  <c r="AF394" i="1"/>
  <c r="AG394" i="1"/>
  <c r="AH394" i="1"/>
  <c r="AI394" i="1"/>
  <c r="AJ394" i="1"/>
  <c r="AK394" i="1"/>
  <c r="AT394" i="1"/>
  <c r="AU394" i="1"/>
  <c r="AV394" i="1"/>
  <c r="AW394" i="1"/>
  <c r="AX394" i="1"/>
  <c r="AY394" i="1"/>
  <c r="AZ394" i="1"/>
  <c r="BA394" i="1"/>
  <c r="N395" i="1"/>
  <c r="O395" i="1"/>
  <c r="P395" i="1"/>
  <c r="Q395" i="1"/>
  <c r="R395" i="1"/>
  <c r="S395" i="1"/>
  <c r="T395" i="1"/>
  <c r="U395" i="1"/>
  <c r="AD395" i="1"/>
  <c r="AE395" i="1"/>
  <c r="AF395" i="1"/>
  <c r="AG395" i="1"/>
  <c r="AH395" i="1"/>
  <c r="AI395" i="1"/>
  <c r="AJ395" i="1"/>
  <c r="AK395" i="1"/>
  <c r="AT395" i="1"/>
  <c r="AU395" i="1"/>
  <c r="AV395" i="1"/>
  <c r="AW395" i="1"/>
  <c r="AX395" i="1"/>
  <c r="AY395" i="1"/>
  <c r="AZ395" i="1"/>
  <c r="BA395" i="1"/>
  <c r="N396" i="1"/>
  <c r="O396" i="1"/>
  <c r="P396" i="1"/>
  <c r="Q396" i="1"/>
  <c r="R396" i="1"/>
  <c r="S396" i="1"/>
  <c r="T396" i="1"/>
  <c r="U396" i="1"/>
  <c r="AD396" i="1"/>
  <c r="AE396" i="1"/>
  <c r="AF396" i="1"/>
  <c r="AG396" i="1"/>
  <c r="AH396" i="1"/>
  <c r="AI396" i="1"/>
  <c r="AJ396" i="1"/>
  <c r="AK396" i="1"/>
  <c r="AT396" i="1"/>
  <c r="AU396" i="1"/>
  <c r="AV396" i="1"/>
  <c r="AW396" i="1"/>
  <c r="AX396" i="1"/>
  <c r="AY396" i="1"/>
  <c r="AZ396" i="1"/>
  <c r="BA396" i="1"/>
  <c r="N397" i="1"/>
  <c r="O397" i="1"/>
  <c r="P397" i="1"/>
  <c r="Q397" i="1"/>
  <c r="R397" i="1"/>
  <c r="S397" i="1"/>
  <c r="T397" i="1"/>
  <c r="U397" i="1"/>
  <c r="AD397" i="1"/>
  <c r="AE397" i="1"/>
  <c r="AF397" i="1"/>
  <c r="AG397" i="1"/>
  <c r="AH397" i="1"/>
  <c r="AI397" i="1"/>
  <c r="AJ397" i="1"/>
  <c r="AK397" i="1"/>
  <c r="AT397" i="1"/>
  <c r="AU397" i="1"/>
  <c r="AV397" i="1"/>
  <c r="AW397" i="1"/>
  <c r="AX397" i="1"/>
  <c r="AY397" i="1"/>
  <c r="AZ397" i="1"/>
  <c r="BA397" i="1"/>
  <c r="N398" i="1"/>
  <c r="O398" i="1"/>
  <c r="P398" i="1"/>
  <c r="Q398" i="1"/>
  <c r="R398" i="1"/>
  <c r="S398" i="1"/>
  <c r="T398" i="1"/>
  <c r="U398" i="1"/>
  <c r="AD398" i="1"/>
  <c r="AE398" i="1"/>
  <c r="AF398" i="1"/>
  <c r="AG398" i="1"/>
  <c r="AH398" i="1"/>
  <c r="AI398" i="1"/>
  <c r="AJ398" i="1"/>
  <c r="AK398" i="1"/>
  <c r="AT398" i="1"/>
  <c r="AU398" i="1"/>
  <c r="AV398" i="1"/>
  <c r="AW398" i="1"/>
  <c r="AX398" i="1"/>
  <c r="AY398" i="1"/>
  <c r="AZ398" i="1"/>
  <c r="BA398" i="1"/>
  <c r="N399" i="1"/>
  <c r="O399" i="1"/>
  <c r="P399" i="1"/>
  <c r="Q399" i="1"/>
  <c r="R399" i="1"/>
  <c r="S399" i="1"/>
  <c r="T399" i="1"/>
  <c r="U399" i="1"/>
  <c r="AD399" i="1"/>
  <c r="AE399" i="1"/>
  <c r="AF399" i="1"/>
  <c r="AG399" i="1"/>
  <c r="AH399" i="1"/>
  <c r="AI399" i="1"/>
  <c r="AJ399" i="1"/>
  <c r="AK399" i="1"/>
  <c r="AT399" i="1"/>
  <c r="AU399" i="1"/>
  <c r="AV399" i="1"/>
  <c r="AW399" i="1"/>
  <c r="AX399" i="1"/>
  <c r="AY399" i="1"/>
  <c r="AZ399" i="1"/>
  <c r="BA399" i="1"/>
  <c r="N400" i="1"/>
  <c r="O400" i="1"/>
  <c r="P400" i="1"/>
  <c r="Q400" i="1"/>
  <c r="R400" i="1"/>
  <c r="S400" i="1"/>
  <c r="T400" i="1"/>
  <c r="U400" i="1"/>
  <c r="AD400" i="1"/>
  <c r="AE400" i="1"/>
  <c r="AF400" i="1"/>
  <c r="AG400" i="1"/>
  <c r="AH400" i="1"/>
  <c r="AI400" i="1"/>
  <c r="AJ400" i="1"/>
  <c r="AK400" i="1"/>
  <c r="AT400" i="1"/>
  <c r="AU400" i="1"/>
  <c r="AV400" i="1"/>
  <c r="AW400" i="1"/>
  <c r="AX400" i="1"/>
  <c r="AY400" i="1"/>
  <c r="AZ400" i="1"/>
  <c r="BA400" i="1"/>
  <c r="N401" i="1"/>
  <c r="O401" i="1"/>
  <c r="P401" i="1"/>
  <c r="Q401" i="1"/>
  <c r="R401" i="1"/>
  <c r="S401" i="1"/>
  <c r="T401" i="1"/>
  <c r="U401" i="1"/>
  <c r="AD401" i="1"/>
  <c r="AE401" i="1"/>
  <c r="AF401" i="1"/>
  <c r="AG401" i="1"/>
  <c r="AH401" i="1"/>
  <c r="AI401" i="1"/>
  <c r="AJ401" i="1"/>
  <c r="AK401" i="1"/>
  <c r="AT401" i="1"/>
  <c r="AU401" i="1"/>
  <c r="AV401" i="1"/>
  <c r="AW401" i="1"/>
  <c r="AX401" i="1"/>
  <c r="AY401" i="1"/>
  <c r="AZ401" i="1"/>
  <c r="BA401" i="1"/>
  <c r="N402" i="1"/>
  <c r="O402" i="1"/>
  <c r="P402" i="1"/>
  <c r="Q402" i="1"/>
  <c r="R402" i="1"/>
  <c r="S402" i="1"/>
  <c r="T402" i="1"/>
  <c r="U402" i="1"/>
  <c r="AD402" i="1"/>
  <c r="AE402" i="1"/>
  <c r="AF402" i="1"/>
  <c r="AG402" i="1"/>
  <c r="AH402" i="1"/>
  <c r="AI402" i="1"/>
  <c r="AJ402" i="1"/>
  <c r="AK402" i="1"/>
  <c r="AT402" i="1"/>
  <c r="AU402" i="1"/>
  <c r="AV402" i="1"/>
  <c r="AW402" i="1"/>
  <c r="AX402" i="1"/>
  <c r="AY402" i="1"/>
  <c r="AZ402" i="1"/>
  <c r="BA402" i="1"/>
  <c r="N403" i="1"/>
  <c r="O403" i="1"/>
  <c r="P403" i="1"/>
  <c r="Q403" i="1"/>
  <c r="R403" i="1"/>
  <c r="S403" i="1"/>
  <c r="T403" i="1"/>
  <c r="U403" i="1"/>
  <c r="AD403" i="1"/>
  <c r="AE403" i="1"/>
  <c r="AF403" i="1"/>
  <c r="AG403" i="1"/>
  <c r="AH403" i="1"/>
  <c r="AI403" i="1"/>
  <c r="AJ403" i="1"/>
  <c r="AK403" i="1"/>
  <c r="AT403" i="1"/>
  <c r="AU403" i="1"/>
  <c r="AV403" i="1"/>
  <c r="AW403" i="1"/>
  <c r="AX403" i="1"/>
  <c r="AY403" i="1"/>
  <c r="AZ403" i="1"/>
  <c r="BA403" i="1"/>
  <c r="N404" i="1"/>
  <c r="O404" i="1"/>
  <c r="P404" i="1"/>
  <c r="Q404" i="1"/>
  <c r="R404" i="1"/>
  <c r="S404" i="1"/>
  <c r="T404" i="1"/>
  <c r="U404" i="1"/>
  <c r="AD404" i="1"/>
  <c r="AE404" i="1"/>
  <c r="AF404" i="1"/>
  <c r="AG404" i="1"/>
  <c r="AH404" i="1"/>
  <c r="AI404" i="1"/>
  <c r="AJ404" i="1"/>
  <c r="AK404" i="1"/>
  <c r="AT404" i="1"/>
  <c r="AU404" i="1"/>
  <c r="AV404" i="1"/>
  <c r="AW404" i="1"/>
  <c r="AX404" i="1"/>
  <c r="AY404" i="1"/>
  <c r="AZ404" i="1"/>
  <c r="BA404" i="1"/>
  <c r="N405" i="1"/>
  <c r="O405" i="1"/>
  <c r="P405" i="1"/>
  <c r="Q405" i="1"/>
  <c r="R405" i="1"/>
  <c r="S405" i="1"/>
  <c r="T405" i="1"/>
  <c r="U405" i="1"/>
  <c r="AD405" i="1"/>
  <c r="AE405" i="1"/>
  <c r="AF405" i="1"/>
  <c r="AG405" i="1"/>
  <c r="AH405" i="1"/>
  <c r="AI405" i="1"/>
  <c r="AJ405" i="1"/>
  <c r="AK405" i="1"/>
  <c r="AT405" i="1"/>
  <c r="AU405" i="1"/>
  <c r="AV405" i="1"/>
  <c r="AW405" i="1"/>
  <c r="AX405" i="1"/>
  <c r="AY405" i="1"/>
  <c r="AZ405" i="1"/>
  <c r="BA405" i="1"/>
  <c r="N406" i="1"/>
  <c r="O406" i="1"/>
  <c r="P406" i="1"/>
  <c r="Q406" i="1"/>
  <c r="R406" i="1"/>
  <c r="S406" i="1"/>
  <c r="T406" i="1"/>
  <c r="U406" i="1"/>
  <c r="AD406" i="1"/>
  <c r="AE406" i="1"/>
  <c r="AF406" i="1"/>
  <c r="AG406" i="1"/>
  <c r="AH406" i="1"/>
  <c r="AI406" i="1"/>
  <c r="AJ406" i="1"/>
  <c r="AK406" i="1"/>
  <c r="AT406" i="1"/>
  <c r="AU406" i="1"/>
  <c r="AV406" i="1"/>
  <c r="AW406" i="1"/>
  <c r="AX406" i="1"/>
  <c r="AY406" i="1"/>
  <c r="AZ406" i="1"/>
  <c r="BA406" i="1"/>
  <c r="N407" i="1"/>
  <c r="O407" i="1"/>
  <c r="P407" i="1"/>
  <c r="Q407" i="1"/>
  <c r="R407" i="1"/>
  <c r="S407" i="1"/>
  <c r="T407" i="1"/>
  <c r="U407" i="1"/>
  <c r="AD407" i="1"/>
  <c r="AE407" i="1"/>
  <c r="AF407" i="1"/>
  <c r="AG407" i="1"/>
  <c r="AH407" i="1"/>
  <c r="AI407" i="1"/>
  <c r="AJ407" i="1"/>
  <c r="AK407" i="1"/>
  <c r="AT407" i="1"/>
  <c r="AU407" i="1"/>
  <c r="AV407" i="1"/>
  <c r="AW407" i="1"/>
  <c r="AX407" i="1"/>
  <c r="AY407" i="1"/>
  <c r="AZ407" i="1"/>
  <c r="BA407" i="1"/>
  <c r="N408" i="1"/>
  <c r="O408" i="1"/>
  <c r="P408" i="1"/>
  <c r="Q408" i="1"/>
  <c r="R408" i="1"/>
  <c r="S408" i="1"/>
  <c r="T408" i="1"/>
  <c r="U408" i="1"/>
  <c r="AD408" i="1"/>
  <c r="AE408" i="1"/>
  <c r="AF408" i="1"/>
  <c r="AG408" i="1"/>
  <c r="AH408" i="1"/>
  <c r="AI408" i="1"/>
  <c r="AJ408" i="1"/>
  <c r="AK408" i="1"/>
  <c r="AT408" i="1"/>
  <c r="AU408" i="1"/>
  <c r="AV408" i="1"/>
  <c r="AW408" i="1"/>
  <c r="AX408" i="1"/>
  <c r="AY408" i="1"/>
  <c r="AZ408" i="1"/>
  <c r="BA408" i="1"/>
  <c r="N409" i="1"/>
  <c r="O409" i="1"/>
  <c r="P409" i="1"/>
  <c r="Q409" i="1"/>
  <c r="R409" i="1"/>
  <c r="S409" i="1"/>
  <c r="T409" i="1"/>
  <c r="U409" i="1"/>
  <c r="AD409" i="1"/>
  <c r="AE409" i="1"/>
  <c r="AF409" i="1"/>
  <c r="AG409" i="1"/>
  <c r="AH409" i="1"/>
  <c r="AI409" i="1"/>
  <c r="AJ409" i="1"/>
  <c r="AK409" i="1"/>
  <c r="AT409" i="1"/>
  <c r="AU409" i="1"/>
  <c r="AV409" i="1"/>
  <c r="AW409" i="1"/>
  <c r="AX409" i="1"/>
  <c r="AY409" i="1"/>
  <c r="AZ409" i="1"/>
  <c r="BA409" i="1"/>
  <c r="N410" i="1"/>
  <c r="O410" i="1"/>
  <c r="P410" i="1"/>
  <c r="Q410" i="1"/>
  <c r="R410" i="1"/>
  <c r="S410" i="1"/>
  <c r="T410" i="1"/>
  <c r="U410" i="1"/>
  <c r="AD410" i="1"/>
  <c r="AE410" i="1"/>
  <c r="AF410" i="1"/>
  <c r="AG410" i="1"/>
  <c r="AH410" i="1"/>
  <c r="AI410" i="1"/>
  <c r="AJ410" i="1"/>
  <c r="AK410" i="1"/>
  <c r="AT410" i="1"/>
  <c r="AU410" i="1"/>
  <c r="AV410" i="1"/>
  <c r="AW410" i="1"/>
  <c r="AX410" i="1"/>
  <c r="AY410" i="1"/>
  <c r="AZ410" i="1"/>
  <c r="BA410" i="1"/>
  <c r="N411" i="1"/>
  <c r="O411" i="1"/>
  <c r="P411" i="1"/>
  <c r="Q411" i="1"/>
  <c r="R411" i="1"/>
  <c r="S411" i="1"/>
  <c r="T411" i="1"/>
  <c r="U411" i="1"/>
  <c r="AD411" i="1"/>
  <c r="AE411" i="1"/>
  <c r="AF411" i="1"/>
  <c r="AG411" i="1"/>
  <c r="AH411" i="1"/>
  <c r="AI411" i="1"/>
  <c r="AJ411" i="1"/>
  <c r="AK411" i="1"/>
  <c r="AT411" i="1"/>
  <c r="AU411" i="1"/>
  <c r="AV411" i="1"/>
  <c r="AW411" i="1"/>
  <c r="AX411" i="1"/>
  <c r="AY411" i="1"/>
  <c r="AZ411" i="1"/>
  <c r="BA411" i="1"/>
  <c r="N412" i="1"/>
  <c r="O412" i="1"/>
  <c r="P412" i="1"/>
  <c r="Q412" i="1"/>
  <c r="R412" i="1"/>
  <c r="S412" i="1"/>
  <c r="T412" i="1"/>
  <c r="U412" i="1"/>
  <c r="AD412" i="1"/>
  <c r="AE412" i="1"/>
  <c r="AF412" i="1"/>
  <c r="AG412" i="1"/>
  <c r="AH412" i="1"/>
  <c r="AI412" i="1"/>
  <c r="AJ412" i="1"/>
  <c r="AK412" i="1"/>
  <c r="AT412" i="1"/>
  <c r="AU412" i="1"/>
  <c r="AV412" i="1"/>
  <c r="AW412" i="1"/>
  <c r="AX412" i="1"/>
  <c r="AY412" i="1"/>
  <c r="AZ412" i="1"/>
  <c r="BA412" i="1"/>
  <c r="N413" i="1"/>
  <c r="O413" i="1"/>
  <c r="P413" i="1"/>
  <c r="Q413" i="1"/>
  <c r="R413" i="1"/>
  <c r="S413" i="1"/>
  <c r="T413" i="1"/>
  <c r="U413" i="1"/>
  <c r="AD413" i="1"/>
  <c r="AE413" i="1"/>
  <c r="AF413" i="1"/>
  <c r="AG413" i="1"/>
  <c r="AH413" i="1"/>
  <c r="AI413" i="1"/>
  <c r="AJ413" i="1"/>
  <c r="AK413" i="1"/>
  <c r="AT413" i="1"/>
  <c r="AU413" i="1"/>
  <c r="AV413" i="1"/>
  <c r="AW413" i="1"/>
  <c r="AX413" i="1"/>
  <c r="AY413" i="1"/>
  <c r="AZ413" i="1"/>
  <c r="BA413" i="1"/>
  <c r="N414" i="1"/>
  <c r="O414" i="1"/>
  <c r="P414" i="1"/>
  <c r="Q414" i="1"/>
  <c r="R414" i="1"/>
  <c r="S414" i="1"/>
  <c r="T414" i="1"/>
  <c r="U414" i="1"/>
  <c r="AD414" i="1"/>
  <c r="AE414" i="1"/>
  <c r="AF414" i="1"/>
  <c r="AG414" i="1"/>
  <c r="AH414" i="1"/>
  <c r="AI414" i="1"/>
  <c r="AJ414" i="1"/>
  <c r="AK414" i="1"/>
  <c r="AT414" i="1"/>
  <c r="AU414" i="1"/>
  <c r="AV414" i="1"/>
  <c r="AW414" i="1"/>
  <c r="AX414" i="1"/>
  <c r="AY414" i="1"/>
  <c r="AZ414" i="1"/>
  <c r="BA414" i="1"/>
  <c r="N415" i="1"/>
  <c r="O415" i="1"/>
  <c r="P415" i="1"/>
  <c r="Q415" i="1"/>
  <c r="R415" i="1"/>
  <c r="S415" i="1"/>
  <c r="T415" i="1"/>
  <c r="U415" i="1"/>
  <c r="AD415" i="1"/>
  <c r="AE415" i="1"/>
  <c r="AF415" i="1"/>
  <c r="AG415" i="1"/>
  <c r="AH415" i="1"/>
  <c r="AI415" i="1"/>
  <c r="AJ415" i="1"/>
  <c r="AK415" i="1"/>
  <c r="AT415" i="1"/>
  <c r="AU415" i="1"/>
  <c r="AV415" i="1"/>
  <c r="AW415" i="1"/>
  <c r="AX415" i="1"/>
  <c r="AY415" i="1"/>
  <c r="AZ415" i="1"/>
  <c r="BA415" i="1"/>
  <c r="N416" i="1"/>
  <c r="O416" i="1"/>
  <c r="P416" i="1"/>
  <c r="Q416" i="1"/>
  <c r="R416" i="1"/>
  <c r="S416" i="1"/>
  <c r="T416" i="1"/>
  <c r="U416" i="1"/>
  <c r="AD416" i="1"/>
  <c r="AE416" i="1"/>
  <c r="AF416" i="1"/>
  <c r="AG416" i="1"/>
  <c r="AH416" i="1"/>
  <c r="AI416" i="1"/>
  <c r="AJ416" i="1"/>
  <c r="AK416" i="1"/>
  <c r="AT416" i="1"/>
  <c r="AU416" i="1"/>
  <c r="AV416" i="1"/>
  <c r="AW416" i="1"/>
  <c r="AX416" i="1"/>
  <c r="AY416" i="1"/>
  <c r="AZ416" i="1"/>
  <c r="BA416" i="1"/>
  <c r="N417" i="1"/>
  <c r="O417" i="1"/>
  <c r="P417" i="1"/>
  <c r="Q417" i="1"/>
  <c r="R417" i="1"/>
  <c r="S417" i="1"/>
  <c r="T417" i="1"/>
  <c r="U417" i="1"/>
  <c r="AD417" i="1"/>
  <c r="AE417" i="1"/>
  <c r="AF417" i="1"/>
  <c r="AG417" i="1"/>
  <c r="AH417" i="1"/>
  <c r="AI417" i="1"/>
  <c r="AJ417" i="1"/>
  <c r="AK417" i="1"/>
  <c r="AT417" i="1"/>
  <c r="AU417" i="1"/>
  <c r="AV417" i="1"/>
  <c r="AW417" i="1"/>
  <c r="AX417" i="1"/>
  <c r="AY417" i="1"/>
  <c r="AZ417" i="1"/>
  <c r="BA417" i="1"/>
  <c r="N418" i="1"/>
  <c r="O418" i="1"/>
  <c r="P418" i="1"/>
  <c r="Q418" i="1"/>
  <c r="R418" i="1"/>
  <c r="S418" i="1"/>
  <c r="T418" i="1"/>
  <c r="U418" i="1"/>
  <c r="AD418" i="1"/>
  <c r="AE418" i="1"/>
  <c r="AF418" i="1"/>
  <c r="AG418" i="1"/>
  <c r="AH418" i="1"/>
  <c r="AI418" i="1"/>
  <c r="AJ418" i="1"/>
  <c r="AK418" i="1"/>
  <c r="AT418" i="1"/>
  <c r="AU418" i="1"/>
  <c r="AV418" i="1"/>
  <c r="AW418" i="1"/>
  <c r="AX418" i="1"/>
  <c r="AY418" i="1"/>
  <c r="AZ418" i="1"/>
  <c r="BA418" i="1"/>
  <c r="N419" i="1"/>
  <c r="O419" i="1"/>
  <c r="P419" i="1"/>
  <c r="Q419" i="1"/>
  <c r="R419" i="1"/>
  <c r="S419" i="1"/>
  <c r="T419" i="1"/>
  <c r="U419" i="1"/>
  <c r="AD419" i="1"/>
  <c r="AE419" i="1"/>
  <c r="AF419" i="1"/>
  <c r="AG419" i="1"/>
  <c r="AH419" i="1"/>
  <c r="AI419" i="1"/>
  <c r="AJ419" i="1"/>
  <c r="AK419" i="1"/>
  <c r="AT419" i="1"/>
  <c r="AU419" i="1"/>
  <c r="AV419" i="1"/>
  <c r="AW419" i="1"/>
  <c r="AX419" i="1"/>
  <c r="AY419" i="1"/>
  <c r="AZ419" i="1"/>
  <c r="BA419" i="1"/>
  <c r="N420" i="1"/>
  <c r="O420" i="1"/>
  <c r="P420" i="1"/>
  <c r="Q420" i="1"/>
  <c r="R420" i="1"/>
  <c r="S420" i="1"/>
  <c r="T420" i="1"/>
  <c r="U420" i="1"/>
  <c r="AD420" i="1"/>
  <c r="AE420" i="1"/>
  <c r="AF420" i="1"/>
  <c r="AG420" i="1"/>
  <c r="AH420" i="1"/>
  <c r="AI420" i="1"/>
  <c r="AJ420" i="1"/>
  <c r="AK420" i="1"/>
  <c r="AT420" i="1"/>
  <c r="AU420" i="1"/>
  <c r="AV420" i="1"/>
  <c r="AW420" i="1"/>
  <c r="AX420" i="1"/>
  <c r="AY420" i="1"/>
  <c r="AZ420" i="1"/>
  <c r="BA420" i="1"/>
  <c r="N421" i="1"/>
  <c r="O421" i="1"/>
  <c r="P421" i="1"/>
  <c r="Q421" i="1"/>
  <c r="R421" i="1"/>
  <c r="S421" i="1"/>
  <c r="T421" i="1"/>
  <c r="U421" i="1"/>
  <c r="AD421" i="1"/>
  <c r="AE421" i="1"/>
  <c r="AF421" i="1"/>
  <c r="AG421" i="1"/>
  <c r="AH421" i="1"/>
  <c r="AI421" i="1"/>
  <c r="AJ421" i="1"/>
  <c r="AK421" i="1"/>
  <c r="AT421" i="1"/>
  <c r="AU421" i="1"/>
  <c r="AV421" i="1"/>
  <c r="AW421" i="1"/>
  <c r="AX421" i="1"/>
  <c r="AY421" i="1"/>
  <c r="AZ421" i="1"/>
  <c r="BA421" i="1"/>
  <c r="N422" i="1"/>
  <c r="O422" i="1"/>
  <c r="P422" i="1"/>
  <c r="Q422" i="1"/>
  <c r="R422" i="1"/>
  <c r="S422" i="1"/>
  <c r="T422" i="1"/>
  <c r="U422" i="1"/>
  <c r="AD422" i="1"/>
  <c r="AE422" i="1"/>
  <c r="AF422" i="1"/>
  <c r="AG422" i="1"/>
  <c r="AH422" i="1"/>
  <c r="AI422" i="1"/>
  <c r="AJ422" i="1"/>
  <c r="AK422" i="1"/>
  <c r="AT422" i="1"/>
  <c r="AU422" i="1"/>
  <c r="AV422" i="1"/>
  <c r="AW422" i="1"/>
  <c r="AX422" i="1"/>
  <c r="AY422" i="1"/>
  <c r="AZ422" i="1"/>
  <c r="BA422" i="1"/>
  <c r="N423" i="1"/>
  <c r="O423" i="1"/>
  <c r="P423" i="1"/>
  <c r="Q423" i="1"/>
  <c r="R423" i="1"/>
  <c r="S423" i="1"/>
  <c r="T423" i="1"/>
  <c r="U423" i="1"/>
  <c r="AD423" i="1"/>
  <c r="AE423" i="1"/>
  <c r="AF423" i="1"/>
  <c r="AG423" i="1"/>
  <c r="AH423" i="1"/>
  <c r="AI423" i="1"/>
  <c r="AJ423" i="1"/>
  <c r="AK423" i="1"/>
  <c r="AT423" i="1"/>
  <c r="AU423" i="1"/>
  <c r="AV423" i="1"/>
  <c r="AW423" i="1"/>
  <c r="AX423" i="1"/>
  <c r="AY423" i="1"/>
  <c r="AZ423" i="1"/>
  <c r="BA423" i="1"/>
  <c r="N424" i="1"/>
  <c r="O424" i="1"/>
  <c r="P424" i="1"/>
  <c r="Q424" i="1"/>
  <c r="R424" i="1"/>
  <c r="S424" i="1"/>
  <c r="T424" i="1"/>
  <c r="U424" i="1"/>
  <c r="AD424" i="1"/>
  <c r="AE424" i="1"/>
  <c r="AF424" i="1"/>
  <c r="AG424" i="1"/>
  <c r="AH424" i="1"/>
  <c r="AI424" i="1"/>
  <c r="AJ424" i="1"/>
  <c r="AK424" i="1"/>
  <c r="AT424" i="1"/>
  <c r="AU424" i="1"/>
  <c r="AV424" i="1"/>
  <c r="AW424" i="1"/>
  <c r="AX424" i="1"/>
  <c r="AY424" i="1"/>
  <c r="AZ424" i="1"/>
  <c r="BA424" i="1"/>
  <c r="N425" i="1"/>
  <c r="O425" i="1"/>
  <c r="P425" i="1"/>
  <c r="Q425" i="1"/>
  <c r="R425" i="1"/>
  <c r="S425" i="1"/>
  <c r="T425" i="1"/>
  <c r="U425" i="1"/>
  <c r="AD425" i="1"/>
  <c r="AE425" i="1"/>
  <c r="AF425" i="1"/>
  <c r="AG425" i="1"/>
  <c r="AH425" i="1"/>
  <c r="AI425" i="1"/>
  <c r="AJ425" i="1"/>
  <c r="AK425" i="1"/>
  <c r="AT425" i="1"/>
  <c r="AU425" i="1"/>
  <c r="AV425" i="1"/>
  <c r="AW425" i="1"/>
  <c r="AX425" i="1"/>
  <c r="AY425" i="1"/>
  <c r="AZ425" i="1"/>
  <c r="BA425" i="1"/>
  <c r="N426" i="1"/>
  <c r="O426" i="1"/>
  <c r="P426" i="1"/>
  <c r="Q426" i="1"/>
  <c r="R426" i="1"/>
  <c r="S426" i="1"/>
  <c r="T426" i="1"/>
  <c r="U426" i="1"/>
  <c r="AD426" i="1"/>
  <c r="AE426" i="1"/>
  <c r="AF426" i="1"/>
  <c r="AG426" i="1"/>
  <c r="AH426" i="1"/>
  <c r="AI426" i="1"/>
  <c r="AJ426" i="1"/>
  <c r="AK426" i="1"/>
  <c r="AT426" i="1"/>
  <c r="AU426" i="1"/>
  <c r="AV426" i="1"/>
  <c r="AW426" i="1"/>
  <c r="AX426" i="1"/>
  <c r="AY426" i="1"/>
  <c r="AZ426" i="1"/>
  <c r="BA426" i="1"/>
  <c r="N427" i="1"/>
  <c r="O427" i="1"/>
  <c r="P427" i="1"/>
  <c r="Q427" i="1"/>
  <c r="R427" i="1"/>
  <c r="S427" i="1"/>
  <c r="T427" i="1"/>
  <c r="U427" i="1"/>
  <c r="AD427" i="1"/>
  <c r="AE427" i="1"/>
  <c r="AF427" i="1"/>
  <c r="AG427" i="1"/>
  <c r="AH427" i="1"/>
  <c r="AI427" i="1"/>
  <c r="AJ427" i="1"/>
  <c r="AK427" i="1"/>
  <c r="AT427" i="1"/>
  <c r="AU427" i="1"/>
  <c r="AV427" i="1"/>
  <c r="AW427" i="1"/>
  <c r="AX427" i="1"/>
  <c r="AY427" i="1"/>
  <c r="AZ427" i="1"/>
  <c r="BA427" i="1"/>
  <c r="N428" i="1"/>
  <c r="O428" i="1"/>
  <c r="P428" i="1"/>
  <c r="Q428" i="1"/>
  <c r="R428" i="1"/>
  <c r="S428" i="1"/>
  <c r="T428" i="1"/>
  <c r="U428" i="1"/>
  <c r="AD428" i="1"/>
  <c r="AE428" i="1"/>
  <c r="AF428" i="1"/>
  <c r="AG428" i="1"/>
  <c r="AH428" i="1"/>
  <c r="AI428" i="1"/>
  <c r="AJ428" i="1"/>
  <c r="AK428" i="1"/>
  <c r="AT428" i="1"/>
  <c r="AU428" i="1"/>
  <c r="AV428" i="1"/>
  <c r="AW428" i="1"/>
  <c r="AX428" i="1"/>
  <c r="AY428" i="1"/>
  <c r="AZ428" i="1"/>
  <c r="BA428" i="1"/>
  <c r="N429" i="1"/>
  <c r="O429" i="1"/>
  <c r="P429" i="1"/>
  <c r="Q429" i="1"/>
  <c r="R429" i="1"/>
  <c r="S429" i="1"/>
  <c r="T429" i="1"/>
  <c r="U429" i="1"/>
  <c r="AD429" i="1"/>
  <c r="AE429" i="1"/>
  <c r="AF429" i="1"/>
  <c r="AG429" i="1"/>
  <c r="AH429" i="1"/>
  <c r="AI429" i="1"/>
  <c r="AJ429" i="1"/>
  <c r="AK429" i="1"/>
  <c r="AT429" i="1"/>
  <c r="AU429" i="1"/>
  <c r="AV429" i="1"/>
  <c r="AW429" i="1"/>
  <c r="AX429" i="1"/>
  <c r="AY429" i="1"/>
  <c r="AZ429" i="1"/>
  <c r="BA429" i="1"/>
  <c r="N430" i="1"/>
  <c r="O430" i="1"/>
  <c r="P430" i="1"/>
  <c r="Q430" i="1"/>
  <c r="R430" i="1"/>
  <c r="S430" i="1"/>
  <c r="T430" i="1"/>
  <c r="U430" i="1"/>
  <c r="AD430" i="1"/>
  <c r="AE430" i="1"/>
  <c r="AF430" i="1"/>
  <c r="AG430" i="1"/>
  <c r="AH430" i="1"/>
  <c r="AI430" i="1"/>
  <c r="AJ430" i="1"/>
  <c r="AK430" i="1"/>
  <c r="AT430" i="1"/>
  <c r="AU430" i="1"/>
  <c r="AV430" i="1"/>
  <c r="AW430" i="1"/>
  <c r="AX430" i="1"/>
  <c r="AY430" i="1"/>
  <c r="AZ430" i="1"/>
  <c r="BA430" i="1"/>
  <c r="N431" i="1"/>
  <c r="O431" i="1"/>
  <c r="P431" i="1"/>
  <c r="Q431" i="1"/>
  <c r="R431" i="1"/>
  <c r="S431" i="1"/>
  <c r="T431" i="1"/>
  <c r="U431" i="1"/>
  <c r="AD431" i="1"/>
  <c r="AE431" i="1"/>
  <c r="AF431" i="1"/>
  <c r="AG431" i="1"/>
  <c r="AH431" i="1"/>
  <c r="AI431" i="1"/>
  <c r="AJ431" i="1"/>
  <c r="AK431" i="1"/>
  <c r="AT431" i="1"/>
  <c r="AU431" i="1"/>
  <c r="AV431" i="1"/>
  <c r="AW431" i="1"/>
  <c r="AX431" i="1"/>
  <c r="AY431" i="1"/>
  <c r="AZ431" i="1"/>
  <c r="BA431" i="1"/>
  <c r="N432" i="1"/>
  <c r="O432" i="1"/>
  <c r="P432" i="1"/>
  <c r="Q432" i="1"/>
  <c r="R432" i="1"/>
  <c r="S432" i="1"/>
  <c r="T432" i="1"/>
  <c r="U432" i="1"/>
  <c r="AD432" i="1"/>
  <c r="AE432" i="1"/>
  <c r="AF432" i="1"/>
  <c r="AG432" i="1"/>
  <c r="AH432" i="1"/>
  <c r="AI432" i="1"/>
  <c r="AJ432" i="1"/>
  <c r="AK432" i="1"/>
  <c r="AT432" i="1"/>
  <c r="AU432" i="1"/>
  <c r="AV432" i="1"/>
  <c r="AW432" i="1"/>
  <c r="AX432" i="1"/>
  <c r="AY432" i="1"/>
  <c r="AZ432" i="1"/>
  <c r="BA432" i="1"/>
  <c r="N433" i="1"/>
  <c r="O433" i="1"/>
  <c r="P433" i="1"/>
  <c r="Q433" i="1"/>
  <c r="R433" i="1"/>
  <c r="S433" i="1"/>
  <c r="T433" i="1"/>
  <c r="U433" i="1"/>
  <c r="AD433" i="1"/>
  <c r="AE433" i="1"/>
  <c r="AF433" i="1"/>
  <c r="AG433" i="1"/>
  <c r="AH433" i="1"/>
  <c r="AI433" i="1"/>
  <c r="AJ433" i="1"/>
  <c r="AK433" i="1"/>
  <c r="AT433" i="1"/>
  <c r="AU433" i="1"/>
  <c r="AV433" i="1"/>
  <c r="AW433" i="1"/>
  <c r="AX433" i="1"/>
  <c r="AY433" i="1"/>
  <c r="AZ433" i="1"/>
  <c r="BA433" i="1"/>
  <c r="N434" i="1"/>
  <c r="O434" i="1"/>
  <c r="P434" i="1"/>
  <c r="Q434" i="1"/>
  <c r="R434" i="1"/>
  <c r="S434" i="1"/>
  <c r="T434" i="1"/>
  <c r="U434" i="1"/>
  <c r="AD434" i="1"/>
  <c r="AE434" i="1"/>
  <c r="AF434" i="1"/>
  <c r="AG434" i="1"/>
  <c r="AH434" i="1"/>
  <c r="AI434" i="1"/>
  <c r="AJ434" i="1"/>
  <c r="AK434" i="1"/>
  <c r="AT434" i="1"/>
  <c r="AU434" i="1"/>
  <c r="AV434" i="1"/>
  <c r="AW434" i="1"/>
  <c r="AX434" i="1"/>
  <c r="AY434" i="1"/>
  <c r="AZ434" i="1"/>
  <c r="BA434" i="1"/>
  <c r="N435" i="1"/>
  <c r="O435" i="1"/>
  <c r="P435" i="1"/>
  <c r="Q435" i="1"/>
  <c r="R435" i="1"/>
  <c r="S435" i="1"/>
  <c r="T435" i="1"/>
  <c r="U435" i="1"/>
  <c r="AD435" i="1"/>
  <c r="AE435" i="1"/>
  <c r="AF435" i="1"/>
  <c r="AG435" i="1"/>
  <c r="AH435" i="1"/>
  <c r="AI435" i="1"/>
  <c r="AJ435" i="1"/>
  <c r="AK435" i="1"/>
  <c r="AT435" i="1"/>
  <c r="AU435" i="1"/>
  <c r="AV435" i="1"/>
  <c r="AW435" i="1"/>
  <c r="AX435" i="1"/>
  <c r="AY435" i="1"/>
  <c r="AZ435" i="1"/>
  <c r="BA435" i="1"/>
  <c r="N436" i="1"/>
  <c r="O436" i="1"/>
  <c r="P436" i="1"/>
  <c r="Q436" i="1"/>
  <c r="R436" i="1"/>
  <c r="S436" i="1"/>
  <c r="T436" i="1"/>
  <c r="U436" i="1"/>
  <c r="AD436" i="1"/>
  <c r="AE436" i="1"/>
  <c r="AF436" i="1"/>
  <c r="AG436" i="1"/>
  <c r="AH436" i="1"/>
  <c r="AI436" i="1"/>
  <c r="AJ436" i="1"/>
  <c r="AK436" i="1"/>
  <c r="AT436" i="1"/>
  <c r="AU436" i="1"/>
  <c r="AV436" i="1"/>
  <c r="AW436" i="1"/>
  <c r="AX436" i="1"/>
  <c r="AY436" i="1"/>
  <c r="AZ436" i="1"/>
  <c r="BA436" i="1"/>
  <c r="N437" i="1"/>
  <c r="O437" i="1"/>
  <c r="P437" i="1"/>
  <c r="Q437" i="1"/>
  <c r="R437" i="1"/>
  <c r="S437" i="1"/>
  <c r="T437" i="1"/>
  <c r="U437" i="1"/>
  <c r="AD437" i="1"/>
  <c r="AE437" i="1"/>
  <c r="AF437" i="1"/>
  <c r="AG437" i="1"/>
  <c r="AH437" i="1"/>
  <c r="AI437" i="1"/>
  <c r="AJ437" i="1"/>
  <c r="AK437" i="1"/>
  <c r="AT437" i="1"/>
  <c r="AU437" i="1"/>
  <c r="AV437" i="1"/>
  <c r="AW437" i="1"/>
  <c r="AX437" i="1"/>
  <c r="AY437" i="1"/>
  <c r="AZ437" i="1"/>
  <c r="BA437" i="1"/>
  <c r="N438" i="1"/>
  <c r="O438" i="1"/>
  <c r="P438" i="1"/>
  <c r="Q438" i="1"/>
  <c r="R438" i="1"/>
  <c r="S438" i="1"/>
  <c r="T438" i="1"/>
  <c r="U438" i="1"/>
  <c r="AD438" i="1"/>
  <c r="AE438" i="1"/>
  <c r="AF438" i="1"/>
  <c r="AG438" i="1"/>
  <c r="AH438" i="1"/>
  <c r="AI438" i="1"/>
  <c r="AJ438" i="1"/>
  <c r="AK438" i="1"/>
  <c r="AT438" i="1"/>
  <c r="AU438" i="1"/>
  <c r="AV438" i="1"/>
  <c r="AW438" i="1"/>
  <c r="AX438" i="1"/>
  <c r="AY438" i="1"/>
  <c r="AZ438" i="1"/>
  <c r="BA438" i="1"/>
  <c r="N439" i="1"/>
  <c r="O439" i="1"/>
  <c r="P439" i="1"/>
  <c r="Q439" i="1"/>
  <c r="R439" i="1"/>
  <c r="S439" i="1"/>
  <c r="T439" i="1"/>
  <c r="U439" i="1"/>
  <c r="AD439" i="1"/>
  <c r="AE439" i="1"/>
  <c r="AF439" i="1"/>
  <c r="AG439" i="1"/>
  <c r="AH439" i="1"/>
  <c r="AI439" i="1"/>
  <c r="AJ439" i="1"/>
  <c r="AK439" i="1"/>
  <c r="AT439" i="1"/>
  <c r="AU439" i="1"/>
  <c r="AV439" i="1"/>
  <c r="AW439" i="1"/>
  <c r="AX439" i="1"/>
  <c r="AY439" i="1"/>
  <c r="AZ439" i="1"/>
  <c r="BA439" i="1"/>
  <c r="N440" i="1"/>
  <c r="O440" i="1"/>
  <c r="P440" i="1"/>
  <c r="Q440" i="1"/>
  <c r="R440" i="1"/>
  <c r="S440" i="1"/>
  <c r="T440" i="1"/>
  <c r="U440" i="1"/>
  <c r="AD440" i="1"/>
  <c r="AE440" i="1"/>
  <c r="AF440" i="1"/>
  <c r="AG440" i="1"/>
  <c r="AH440" i="1"/>
  <c r="AI440" i="1"/>
  <c r="AJ440" i="1"/>
  <c r="AK440" i="1"/>
  <c r="AT440" i="1"/>
  <c r="AU440" i="1"/>
  <c r="AV440" i="1"/>
  <c r="AW440" i="1"/>
  <c r="AX440" i="1"/>
  <c r="AY440" i="1"/>
  <c r="AZ440" i="1"/>
  <c r="BA440" i="1"/>
  <c r="N441" i="1"/>
  <c r="O441" i="1"/>
  <c r="P441" i="1"/>
  <c r="Q441" i="1"/>
  <c r="R441" i="1"/>
  <c r="S441" i="1"/>
  <c r="T441" i="1"/>
  <c r="U441" i="1"/>
  <c r="AD441" i="1"/>
  <c r="AE441" i="1"/>
  <c r="AF441" i="1"/>
  <c r="AG441" i="1"/>
  <c r="AH441" i="1"/>
  <c r="AI441" i="1"/>
  <c r="AJ441" i="1"/>
  <c r="AK441" i="1"/>
  <c r="AT441" i="1"/>
  <c r="AU441" i="1"/>
  <c r="AV441" i="1"/>
  <c r="AW441" i="1"/>
  <c r="AX441" i="1"/>
  <c r="AY441" i="1"/>
  <c r="AZ441" i="1"/>
  <c r="BA441" i="1"/>
  <c r="N442" i="1"/>
  <c r="O442" i="1"/>
  <c r="P442" i="1"/>
  <c r="Q442" i="1"/>
  <c r="R442" i="1"/>
  <c r="S442" i="1"/>
  <c r="T442" i="1"/>
  <c r="U442" i="1"/>
  <c r="AD442" i="1"/>
  <c r="AE442" i="1"/>
  <c r="AF442" i="1"/>
  <c r="AG442" i="1"/>
  <c r="AH442" i="1"/>
  <c r="AI442" i="1"/>
  <c r="AJ442" i="1"/>
  <c r="AK442" i="1"/>
  <c r="AT442" i="1"/>
  <c r="AU442" i="1"/>
  <c r="AV442" i="1"/>
  <c r="AW442" i="1"/>
  <c r="AX442" i="1"/>
  <c r="AY442" i="1"/>
  <c r="AZ442" i="1"/>
  <c r="BA442" i="1"/>
  <c r="N443" i="1"/>
  <c r="O443" i="1"/>
  <c r="P443" i="1"/>
  <c r="Q443" i="1"/>
  <c r="R443" i="1"/>
  <c r="S443" i="1"/>
  <c r="T443" i="1"/>
  <c r="U443" i="1"/>
  <c r="AD443" i="1"/>
  <c r="AE443" i="1"/>
  <c r="AF443" i="1"/>
  <c r="AG443" i="1"/>
  <c r="AH443" i="1"/>
  <c r="AI443" i="1"/>
  <c r="AJ443" i="1"/>
  <c r="AK443" i="1"/>
  <c r="AT443" i="1"/>
  <c r="AU443" i="1"/>
  <c r="AV443" i="1"/>
  <c r="AW443" i="1"/>
  <c r="AX443" i="1"/>
  <c r="AY443" i="1"/>
  <c r="AZ443" i="1"/>
  <c r="BA443" i="1"/>
  <c r="N444" i="1"/>
  <c r="O444" i="1"/>
  <c r="P444" i="1"/>
  <c r="Q444" i="1"/>
  <c r="R444" i="1"/>
  <c r="S444" i="1"/>
  <c r="T444" i="1"/>
  <c r="U444" i="1"/>
  <c r="AD444" i="1"/>
  <c r="AE444" i="1"/>
  <c r="AF444" i="1"/>
  <c r="AG444" i="1"/>
  <c r="AH444" i="1"/>
  <c r="AI444" i="1"/>
  <c r="AJ444" i="1"/>
  <c r="AK444" i="1"/>
  <c r="AT444" i="1"/>
  <c r="AU444" i="1"/>
  <c r="AV444" i="1"/>
  <c r="AW444" i="1"/>
  <c r="AX444" i="1"/>
  <c r="AY444" i="1"/>
  <c r="AZ444" i="1"/>
  <c r="BA444" i="1"/>
  <c r="N445" i="1"/>
  <c r="O445" i="1"/>
  <c r="P445" i="1"/>
  <c r="Q445" i="1"/>
  <c r="R445" i="1"/>
  <c r="S445" i="1"/>
  <c r="T445" i="1"/>
  <c r="U445" i="1"/>
  <c r="AD445" i="1"/>
  <c r="AE445" i="1"/>
  <c r="AF445" i="1"/>
  <c r="AG445" i="1"/>
  <c r="AH445" i="1"/>
  <c r="AI445" i="1"/>
  <c r="AJ445" i="1"/>
  <c r="AK445" i="1"/>
  <c r="AT445" i="1"/>
  <c r="AU445" i="1"/>
  <c r="AV445" i="1"/>
  <c r="AW445" i="1"/>
  <c r="AX445" i="1"/>
  <c r="AY445" i="1"/>
  <c r="AZ445" i="1"/>
  <c r="BA445" i="1"/>
  <c r="N446" i="1"/>
  <c r="O446" i="1"/>
  <c r="P446" i="1"/>
  <c r="Q446" i="1"/>
  <c r="R446" i="1"/>
  <c r="S446" i="1"/>
  <c r="T446" i="1"/>
  <c r="U446" i="1"/>
  <c r="AD446" i="1"/>
  <c r="AE446" i="1"/>
  <c r="AF446" i="1"/>
  <c r="AG446" i="1"/>
  <c r="AH446" i="1"/>
  <c r="AI446" i="1"/>
  <c r="AJ446" i="1"/>
  <c r="AK446" i="1"/>
  <c r="AT446" i="1"/>
  <c r="AU446" i="1"/>
  <c r="AV446" i="1"/>
  <c r="AW446" i="1"/>
  <c r="AX446" i="1"/>
  <c r="AY446" i="1"/>
  <c r="AZ446" i="1"/>
  <c r="BA446" i="1"/>
  <c r="N447" i="1"/>
  <c r="O447" i="1"/>
  <c r="P447" i="1"/>
  <c r="Q447" i="1"/>
  <c r="R447" i="1"/>
  <c r="S447" i="1"/>
  <c r="T447" i="1"/>
  <c r="U447" i="1"/>
  <c r="AD447" i="1"/>
  <c r="AE447" i="1"/>
  <c r="AF447" i="1"/>
  <c r="AG447" i="1"/>
  <c r="AH447" i="1"/>
  <c r="AI447" i="1"/>
  <c r="AJ447" i="1"/>
  <c r="AK447" i="1"/>
  <c r="AT447" i="1"/>
  <c r="AU447" i="1"/>
  <c r="AV447" i="1"/>
  <c r="AW447" i="1"/>
  <c r="AX447" i="1"/>
  <c r="AY447" i="1"/>
  <c r="AZ447" i="1"/>
  <c r="BA447" i="1"/>
  <c r="N448" i="1"/>
  <c r="O448" i="1"/>
  <c r="P448" i="1"/>
  <c r="Q448" i="1"/>
  <c r="R448" i="1"/>
  <c r="S448" i="1"/>
  <c r="T448" i="1"/>
  <c r="U448" i="1"/>
  <c r="AD448" i="1"/>
  <c r="AE448" i="1"/>
  <c r="AF448" i="1"/>
  <c r="AG448" i="1"/>
  <c r="AH448" i="1"/>
  <c r="AI448" i="1"/>
  <c r="AJ448" i="1"/>
  <c r="AK448" i="1"/>
  <c r="AT448" i="1"/>
  <c r="AU448" i="1"/>
  <c r="AV448" i="1"/>
  <c r="AW448" i="1"/>
  <c r="AX448" i="1"/>
  <c r="AY448" i="1"/>
  <c r="AZ448" i="1"/>
  <c r="BA448" i="1"/>
  <c r="N449" i="1"/>
  <c r="O449" i="1"/>
  <c r="P449" i="1"/>
  <c r="Q449" i="1"/>
  <c r="R449" i="1"/>
  <c r="S449" i="1"/>
  <c r="T449" i="1"/>
  <c r="U449" i="1"/>
  <c r="AD449" i="1"/>
  <c r="AE449" i="1"/>
  <c r="AF449" i="1"/>
  <c r="AG449" i="1"/>
  <c r="AH449" i="1"/>
  <c r="AI449" i="1"/>
  <c r="AJ449" i="1"/>
  <c r="AK449" i="1"/>
  <c r="AT449" i="1"/>
  <c r="AU449" i="1"/>
  <c r="AV449" i="1"/>
  <c r="AW449" i="1"/>
  <c r="AX449" i="1"/>
  <c r="AY449" i="1"/>
  <c r="AZ449" i="1"/>
  <c r="BA449" i="1"/>
  <c r="N450" i="1"/>
  <c r="O450" i="1"/>
  <c r="P450" i="1"/>
  <c r="Q450" i="1"/>
  <c r="R450" i="1"/>
  <c r="S450" i="1"/>
  <c r="T450" i="1"/>
  <c r="U450" i="1"/>
  <c r="AD450" i="1"/>
  <c r="AE450" i="1"/>
  <c r="AF450" i="1"/>
  <c r="AG450" i="1"/>
  <c r="AH450" i="1"/>
  <c r="AI450" i="1"/>
  <c r="AJ450" i="1"/>
  <c r="AK450" i="1"/>
  <c r="AT450" i="1"/>
  <c r="AU450" i="1"/>
  <c r="AV450" i="1"/>
  <c r="AW450" i="1"/>
  <c r="AX450" i="1"/>
  <c r="AY450" i="1"/>
  <c r="AZ450" i="1"/>
  <c r="BA450" i="1"/>
  <c r="N451" i="1"/>
  <c r="O451" i="1"/>
  <c r="P451" i="1"/>
  <c r="Q451" i="1"/>
  <c r="R451" i="1"/>
  <c r="S451" i="1"/>
  <c r="T451" i="1"/>
  <c r="U451" i="1"/>
  <c r="AD451" i="1"/>
  <c r="AE451" i="1"/>
  <c r="AF451" i="1"/>
  <c r="AG451" i="1"/>
  <c r="AH451" i="1"/>
  <c r="AI451" i="1"/>
  <c r="AJ451" i="1"/>
  <c r="AK451" i="1"/>
  <c r="AT451" i="1"/>
  <c r="AU451" i="1"/>
  <c r="AV451" i="1"/>
  <c r="AW451" i="1"/>
  <c r="AX451" i="1"/>
  <c r="AY451" i="1"/>
  <c r="AZ451" i="1"/>
  <c r="BA451" i="1"/>
  <c r="N452" i="1"/>
  <c r="O452" i="1"/>
  <c r="P452" i="1"/>
  <c r="Q452" i="1"/>
  <c r="R452" i="1"/>
  <c r="S452" i="1"/>
  <c r="T452" i="1"/>
  <c r="U452" i="1"/>
  <c r="AD452" i="1"/>
  <c r="AE452" i="1"/>
  <c r="AF452" i="1"/>
  <c r="AG452" i="1"/>
  <c r="AH452" i="1"/>
  <c r="AI452" i="1"/>
  <c r="AJ452" i="1"/>
  <c r="AK452" i="1"/>
  <c r="AT452" i="1"/>
  <c r="AU452" i="1"/>
  <c r="AV452" i="1"/>
  <c r="AW452" i="1"/>
  <c r="AX452" i="1"/>
  <c r="AY452" i="1"/>
  <c r="AZ452" i="1"/>
  <c r="BA452" i="1"/>
  <c r="N453" i="1"/>
  <c r="O453" i="1"/>
  <c r="P453" i="1"/>
  <c r="Q453" i="1"/>
  <c r="R453" i="1"/>
  <c r="S453" i="1"/>
  <c r="T453" i="1"/>
  <c r="U453" i="1"/>
  <c r="AD453" i="1"/>
  <c r="AE453" i="1"/>
  <c r="AF453" i="1"/>
  <c r="AG453" i="1"/>
  <c r="AH453" i="1"/>
  <c r="AI453" i="1"/>
  <c r="AJ453" i="1"/>
  <c r="AK453" i="1"/>
  <c r="AT453" i="1"/>
  <c r="AU453" i="1"/>
  <c r="AV453" i="1"/>
  <c r="AW453" i="1"/>
  <c r="AX453" i="1"/>
  <c r="AY453" i="1"/>
  <c r="AZ453" i="1"/>
  <c r="BA453" i="1"/>
  <c r="N454" i="1"/>
  <c r="O454" i="1"/>
  <c r="P454" i="1"/>
  <c r="Q454" i="1"/>
  <c r="R454" i="1"/>
  <c r="S454" i="1"/>
  <c r="T454" i="1"/>
  <c r="U454" i="1"/>
  <c r="AD454" i="1"/>
  <c r="AE454" i="1"/>
  <c r="AF454" i="1"/>
  <c r="AG454" i="1"/>
  <c r="AH454" i="1"/>
  <c r="AI454" i="1"/>
  <c r="AJ454" i="1"/>
  <c r="AK454" i="1"/>
  <c r="AT454" i="1"/>
  <c r="AU454" i="1"/>
  <c r="AV454" i="1"/>
  <c r="AW454" i="1"/>
  <c r="AX454" i="1"/>
  <c r="AY454" i="1"/>
  <c r="AZ454" i="1"/>
  <c r="BA454" i="1"/>
  <c r="N455" i="1"/>
  <c r="O455" i="1"/>
  <c r="P455" i="1"/>
  <c r="Q455" i="1"/>
  <c r="R455" i="1"/>
  <c r="S455" i="1"/>
  <c r="T455" i="1"/>
  <c r="U455" i="1"/>
  <c r="AD455" i="1"/>
  <c r="AE455" i="1"/>
  <c r="AF455" i="1"/>
  <c r="AG455" i="1"/>
  <c r="AH455" i="1"/>
  <c r="AI455" i="1"/>
  <c r="AJ455" i="1"/>
  <c r="AK455" i="1"/>
  <c r="AT455" i="1"/>
  <c r="AU455" i="1"/>
  <c r="AV455" i="1"/>
  <c r="AW455" i="1"/>
  <c r="AX455" i="1"/>
  <c r="AY455" i="1"/>
  <c r="AZ455" i="1"/>
  <c r="BA455" i="1"/>
  <c r="N456" i="1"/>
  <c r="O456" i="1"/>
  <c r="P456" i="1"/>
  <c r="Q456" i="1"/>
  <c r="R456" i="1"/>
  <c r="S456" i="1"/>
  <c r="T456" i="1"/>
  <c r="U456" i="1"/>
  <c r="AD456" i="1"/>
  <c r="AE456" i="1"/>
  <c r="AF456" i="1"/>
  <c r="AG456" i="1"/>
  <c r="AH456" i="1"/>
  <c r="AI456" i="1"/>
  <c r="AJ456" i="1"/>
  <c r="AK456" i="1"/>
  <c r="AT456" i="1"/>
  <c r="AU456" i="1"/>
  <c r="AV456" i="1"/>
  <c r="AW456" i="1"/>
  <c r="AX456" i="1"/>
  <c r="AY456" i="1"/>
  <c r="AZ456" i="1"/>
  <c r="BA456" i="1"/>
  <c r="N457" i="1"/>
  <c r="O457" i="1"/>
  <c r="P457" i="1"/>
  <c r="Q457" i="1"/>
  <c r="R457" i="1"/>
  <c r="S457" i="1"/>
  <c r="T457" i="1"/>
  <c r="U457" i="1"/>
  <c r="AD457" i="1"/>
  <c r="AE457" i="1"/>
  <c r="AF457" i="1"/>
  <c r="AG457" i="1"/>
  <c r="AH457" i="1"/>
  <c r="AI457" i="1"/>
  <c r="AJ457" i="1"/>
  <c r="AK457" i="1"/>
  <c r="AT457" i="1"/>
  <c r="AU457" i="1"/>
  <c r="AV457" i="1"/>
  <c r="AW457" i="1"/>
  <c r="AX457" i="1"/>
  <c r="AY457" i="1"/>
  <c r="AZ457" i="1"/>
  <c r="BA457" i="1"/>
  <c r="N458" i="1"/>
  <c r="O458" i="1"/>
  <c r="P458" i="1"/>
  <c r="Q458" i="1"/>
  <c r="R458" i="1"/>
  <c r="S458" i="1"/>
  <c r="T458" i="1"/>
  <c r="U458" i="1"/>
  <c r="AD458" i="1"/>
  <c r="AE458" i="1"/>
  <c r="AF458" i="1"/>
  <c r="AG458" i="1"/>
  <c r="AH458" i="1"/>
  <c r="AI458" i="1"/>
  <c r="AJ458" i="1"/>
  <c r="AK458" i="1"/>
  <c r="AT458" i="1"/>
  <c r="AU458" i="1"/>
  <c r="AV458" i="1"/>
  <c r="AW458" i="1"/>
  <c r="AX458" i="1"/>
  <c r="AY458" i="1"/>
  <c r="AZ458" i="1"/>
  <c r="BA458" i="1"/>
  <c r="N459" i="1"/>
  <c r="O459" i="1"/>
  <c r="P459" i="1"/>
  <c r="Q459" i="1"/>
  <c r="R459" i="1"/>
  <c r="S459" i="1"/>
  <c r="T459" i="1"/>
  <c r="U459" i="1"/>
  <c r="AD459" i="1"/>
  <c r="AE459" i="1"/>
  <c r="AF459" i="1"/>
  <c r="AG459" i="1"/>
  <c r="AH459" i="1"/>
  <c r="AI459" i="1"/>
  <c r="AJ459" i="1"/>
  <c r="AK459" i="1"/>
  <c r="AT459" i="1"/>
  <c r="AU459" i="1"/>
  <c r="AV459" i="1"/>
  <c r="AW459" i="1"/>
  <c r="AX459" i="1"/>
  <c r="AY459" i="1"/>
  <c r="AZ459" i="1"/>
  <c r="BA459" i="1"/>
  <c r="N460" i="1"/>
  <c r="O460" i="1"/>
  <c r="P460" i="1"/>
  <c r="Q460" i="1"/>
  <c r="R460" i="1"/>
  <c r="S460" i="1"/>
  <c r="T460" i="1"/>
  <c r="U460" i="1"/>
  <c r="AD460" i="1"/>
  <c r="AE460" i="1"/>
  <c r="AF460" i="1"/>
  <c r="AG460" i="1"/>
  <c r="AH460" i="1"/>
  <c r="AI460" i="1"/>
  <c r="AJ460" i="1"/>
  <c r="AK460" i="1"/>
  <c r="AT460" i="1"/>
  <c r="AU460" i="1"/>
  <c r="AV460" i="1"/>
  <c r="AW460" i="1"/>
  <c r="AX460" i="1"/>
  <c r="AY460" i="1"/>
  <c r="AZ460" i="1"/>
  <c r="BA460" i="1"/>
  <c r="N461" i="1"/>
  <c r="O461" i="1"/>
  <c r="P461" i="1"/>
  <c r="Q461" i="1"/>
  <c r="R461" i="1"/>
  <c r="S461" i="1"/>
  <c r="T461" i="1"/>
  <c r="U461" i="1"/>
  <c r="AD461" i="1"/>
  <c r="AE461" i="1"/>
  <c r="AF461" i="1"/>
  <c r="AG461" i="1"/>
  <c r="AH461" i="1"/>
  <c r="AI461" i="1"/>
  <c r="AJ461" i="1"/>
  <c r="AK461" i="1"/>
  <c r="AT461" i="1"/>
  <c r="AU461" i="1"/>
  <c r="AV461" i="1"/>
  <c r="AW461" i="1"/>
  <c r="AX461" i="1"/>
  <c r="AY461" i="1"/>
  <c r="AZ461" i="1"/>
  <c r="BA461" i="1"/>
  <c r="N462" i="1"/>
  <c r="O462" i="1"/>
  <c r="P462" i="1"/>
  <c r="Q462" i="1"/>
  <c r="R462" i="1"/>
  <c r="S462" i="1"/>
  <c r="T462" i="1"/>
  <c r="U462" i="1"/>
  <c r="AD462" i="1"/>
  <c r="AE462" i="1"/>
  <c r="AF462" i="1"/>
  <c r="AG462" i="1"/>
  <c r="AH462" i="1"/>
  <c r="AI462" i="1"/>
  <c r="AJ462" i="1"/>
  <c r="AK462" i="1"/>
  <c r="AT462" i="1"/>
  <c r="AU462" i="1"/>
  <c r="AV462" i="1"/>
  <c r="AW462" i="1"/>
  <c r="AX462" i="1"/>
  <c r="AY462" i="1"/>
  <c r="AZ462" i="1"/>
  <c r="BA462" i="1"/>
  <c r="N463" i="1"/>
  <c r="O463" i="1"/>
  <c r="P463" i="1"/>
  <c r="Q463" i="1"/>
  <c r="R463" i="1"/>
  <c r="S463" i="1"/>
  <c r="T463" i="1"/>
  <c r="U463" i="1"/>
  <c r="AD463" i="1"/>
  <c r="AE463" i="1"/>
  <c r="AF463" i="1"/>
  <c r="AG463" i="1"/>
  <c r="AH463" i="1"/>
  <c r="AI463" i="1"/>
  <c r="AJ463" i="1"/>
  <c r="AK463" i="1"/>
  <c r="AT463" i="1"/>
  <c r="AU463" i="1"/>
  <c r="AV463" i="1"/>
  <c r="AW463" i="1"/>
  <c r="AX463" i="1"/>
  <c r="AY463" i="1"/>
  <c r="AZ463" i="1"/>
  <c r="BA463" i="1"/>
  <c r="N464" i="1"/>
  <c r="O464" i="1"/>
  <c r="P464" i="1"/>
  <c r="Q464" i="1"/>
  <c r="R464" i="1"/>
  <c r="S464" i="1"/>
  <c r="T464" i="1"/>
  <c r="U464" i="1"/>
  <c r="AD464" i="1"/>
  <c r="AE464" i="1"/>
  <c r="AF464" i="1"/>
  <c r="AG464" i="1"/>
  <c r="AH464" i="1"/>
  <c r="AI464" i="1"/>
  <c r="AJ464" i="1"/>
  <c r="AK464" i="1"/>
  <c r="AT464" i="1"/>
  <c r="AU464" i="1"/>
  <c r="AV464" i="1"/>
  <c r="AW464" i="1"/>
  <c r="AX464" i="1"/>
  <c r="AY464" i="1"/>
  <c r="AZ464" i="1"/>
  <c r="BA464" i="1"/>
  <c r="N465" i="1"/>
  <c r="O465" i="1"/>
  <c r="P465" i="1"/>
  <c r="Q465" i="1"/>
  <c r="R465" i="1"/>
  <c r="S465" i="1"/>
  <c r="T465" i="1"/>
  <c r="U465" i="1"/>
  <c r="AD465" i="1"/>
  <c r="AE465" i="1"/>
  <c r="AF465" i="1"/>
  <c r="AG465" i="1"/>
  <c r="AH465" i="1"/>
  <c r="AI465" i="1"/>
  <c r="AJ465" i="1"/>
  <c r="AK465" i="1"/>
  <c r="AT465" i="1"/>
  <c r="AU465" i="1"/>
  <c r="AV465" i="1"/>
  <c r="AW465" i="1"/>
  <c r="AX465" i="1"/>
  <c r="AY465" i="1"/>
  <c r="AZ465" i="1"/>
  <c r="BA465" i="1"/>
  <c r="N466" i="1"/>
  <c r="O466" i="1"/>
  <c r="P466" i="1"/>
  <c r="Q466" i="1"/>
  <c r="R466" i="1"/>
  <c r="S466" i="1"/>
  <c r="T466" i="1"/>
  <c r="U466" i="1"/>
  <c r="AD466" i="1"/>
  <c r="AE466" i="1"/>
  <c r="AF466" i="1"/>
  <c r="AG466" i="1"/>
  <c r="AH466" i="1"/>
  <c r="AI466" i="1"/>
  <c r="AJ466" i="1"/>
  <c r="AK466" i="1"/>
  <c r="AT466" i="1"/>
  <c r="AU466" i="1"/>
  <c r="AV466" i="1"/>
  <c r="AW466" i="1"/>
  <c r="AX466" i="1"/>
  <c r="AY466" i="1"/>
  <c r="AZ466" i="1"/>
  <c r="BA466" i="1"/>
  <c r="N467" i="1"/>
  <c r="O467" i="1"/>
  <c r="P467" i="1"/>
  <c r="Q467" i="1"/>
  <c r="R467" i="1"/>
  <c r="S467" i="1"/>
  <c r="T467" i="1"/>
  <c r="U467" i="1"/>
  <c r="AD467" i="1"/>
  <c r="AE467" i="1"/>
  <c r="AF467" i="1"/>
  <c r="AG467" i="1"/>
  <c r="AH467" i="1"/>
  <c r="AI467" i="1"/>
  <c r="AJ467" i="1"/>
  <c r="AK467" i="1"/>
  <c r="AT467" i="1"/>
  <c r="AU467" i="1"/>
  <c r="AV467" i="1"/>
  <c r="AW467" i="1"/>
  <c r="AX467" i="1"/>
  <c r="AY467" i="1"/>
  <c r="AZ467" i="1"/>
  <c r="BA467" i="1"/>
  <c r="N468" i="1"/>
  <c r="O468" i="1"/>
  <c r="P468" i="1"/>
  <c r="Q468" i="1"/>
  <c r="R468" i="1"/>
  <c r="S468" i="1"/>
  <c r="T468" i="1"/>
  <c r="U468" i="1"/>
  <c r="AD468" i="1"/>
  <c r="AE468" i="1"/>
  <c r="AF468" i="1"/>
  <c r="AG468" i="1"/>
  <c r="AH468" i="1"/>
  <c r="AI468" i="1"/>
  <c r="AJ468" i="1"/>
  <c r="AK468" i="1"/>
  <c r="AT468" i="1"/>
  <c r="AU468" i="1"/>
  <c r="AV468" i="1"/>
  <c r="AW468" i="1"/>
  <c r="AX468" i="1"/>
  <c r="AY468" i="1"/>
  <c r="AZ468" i="1"/>
  <c r="BA468" i="1"/>
  <c r="N469" i="1"/>
  <c r="O469" i="1"/>
  <c r="P469" i="1"/>
  <c r="Q469" i="1"/>
  <c r="R469" i="1"/>
  <c r="S469" i="1"/>
  <c r="T469" i="1"/>
  <c r="U469" i="1"/>
  <c r="AD469" i="1"/>
  <c r="AE469" i="1"/>
  <c r="AF469" i="1"/>
  <c r="AG469" i="1"/>
  <c r="AH469" i="1"/>
  <c r="AI469" i="1"/>
  <c r="AJ469" i="1"/>
  <c r="AK469" i="1"/>
  <c r="AT469" i="1"/>
  <c r="AU469" i="1"/>
  <c r="AV469" i="1"/>
  <c r="AW469" i="1"/>
  <c r="AX469" i="1"/>
  <c r="AY469" i="1"/>
  <c r="AZ469" i="1"/>
  <c r="BA469" i="1"/>
  <c r="N470" i="1"/>
  <c r="O470" i="1"/>
  <c r="P470" i="1"/>
  <c r="Q470" i="1"/>
  <c r="R470" i="1"/>
  <c r="S470" i="1"/>
  <c r="T470" i="1"/>
  <c r="U470" i="1"/>
  <c r="AD470" i="1"/>
  <c r="AE470" i="1"/>
  <c r="AF470" i="1"/>
  <c r="AG470" i="1"/>
  <c r="AH470" i="1"/>
  <c r="AI470" i="1"/>
  <c r="AJ470" i="1"/>
  <c r="AK470" i="1"/>
  <c r="AT470" i="1"/>
  <c r="AU470" i="1"/>
  <c r="AV470" i="1"/>
  <c r="AW470" i="1"/>
  <c r="AX470" i="1"/>
  <c r="AY470" i="1"/>
  <c r="AZ470" i="1"/>
  <c r="BA470" i="1"/>
  <c r="N471" i="1"/>
  <c r="O471" i="1"/>
  <c r="P471" i="1"/>
  <c r="Q471" i="1"/>
  <c r="R471" i="1"/>
  <c r="S471" i="1"/>
  <c r="T471" i="1"/>
  <c r="U471" i="1"/>
  <c r="AD471" i="1"/>
  <c r="AE471" i="1"/>
  <c r="AF471" i="1"/>
  <c r="AG471" i="1"/>
  <c r="AH471" i="1"/>
  <c r="AI471" i="1"/>
  <c r="AJ471" i="1"/>
  <c r="AK471" i="1"/>
  <c r="AT471" i="1"/>
  <c r="AU471" i="1"/>
  <c r="AV471" i="1"/>
  <c r="AW471" i="1"/>
  <c r="AX471" i="1"/>
  <c r="AY471" i="1"/>
  <c r="AZ471" i="1"/>
  <c r="BA471" i="1"/>
  <c r="N472" i="1"/>
  <c r="O472" i="1"/>
  <c r="P472" i="1"/>
  <c r="Q472" i="1"/>
  <c r="R472" i="1"/>
  <c r="S472" i="1"/>
  <c r="T472" i="1"/>
  <c r="U472" i="1"/>
  <c r="AD472" i="1"/>
  <c r="AE472" i="1"/>
  <c r="AF472" i="1"/>
  <c r="AG472" i="1"/>
  <c r="AH472" i="1"/>
  <c r="AI472" i="1"/>
  <c r="AJ472" i="1"/>
  <c r="AK472" i="1"/>
  <c r="AT472" i="1"/>
  <c r="AU472" i="1"/>
  <c r="AV472" i="1"/>
  <c r="AW472" i="1"/>
  <c r="AX472" i="1"/>
  <c r="AY472" i="1"/>
  <c r="AZ472" i="1"/>
  <c r="BA472" i="1"/>
  <c r="N473" i="1"/>
  <c r="O473" i="1"/>
  <c r="P473" i="1"/>
  <c r="Q473" i="1"/>
  <c r="R473" i="1"/>
  <c r="S473" i="1"/>
  <c r="T473" i="1"/>
  <c r="U473" i="1"/>
  <c r="AD473" i="1"/>
  <c r="AE473" i="1"/>
  <c r="AF473" i="1"/>
  <c r="AG473" i="1"/>
  <c r="AH473" i="1"/>
  <c r="AI473" i="1"/>
  <c r="AJ473" i="1"/>
  <c r="AK473" i="1"/>
  <c r="AT473" i="1"/>
  <c r="AU473" i="1"/>
  <c r="AV473" i="1"/>
  <c r="AW473" i="1"/>
  <c r="AX473" i="1"/>
  <c r="AY473" i="1"/>
  <c r="AZ473" i="1"/>
  <c r="BA473" i="1"/>
  <c r="N474" i="1"/>
  <c r="O474" i="1"/>
  <c r="P474" i="1"/>
  <c r="Q474" i="1"/>
  <c r="R474" i="1"/>
  <c r="S474" i="1"/>
  <c r="T474" i="1"/>
  <c r="U474" i="1"/>
  <c r="AD474" i="1"/>
  <c r="AE474" i="1"/>
  <c r="AF474" i="1"/>
  <c r="AG474" i="1"/>
  <c r="AH474" i="1"/>
  <c r="AI474" i="1"/>
  <c r="AJ474" i="1"/>
  <c r="AK474" i="1"/>
  <c r="AT474" i="1"/>
  <c r="AU474" i="1"/>
  <c r="AV474" i="1"/>
  <c r="AW474" i="1"/>
  <c r="AX474" i="1"/>
  <c r="AY474" i="1"/>
  <c r="AZ474" i="1"/>
  <c r="BA474" i="1"/>
  <c r="N475" i="1"/>
  <c r="O475" i="1"/>
  <c r="P475" i="1"/>
  <c r="Q475" i="1"/>
  <c r="R475" i="1"/>
  <c r="S475" i="1"/>
  <c r="T475" i="1"/>
  <c r="U475" i="1"/>
  <c r="AD475" i="1"/>
  <c r="AE475" i="1"/>
  <c r="AF475" i="1"/>
  <c r="AG475" i="1"/>
  <c r="AH475" i="1"/>
  <c r="AI475" i="1"/>
  <c r="AJ475" i="1"/>
  <c r="AK475" i="1"/>
  <c r="AT475" i="1"/>
  <c r="AU475" i="1"/>
  <c r="AV475" i="1"/>
  <c r="AW475" i="1"/>
  <c r="AX475" i="1"/>
  <c r="AY475" i="1"/>
  <c r="AZ475" i="1"/>
  <c r="BA475" i="1"/>
  <c r="N476" i="1"/>
  <c r="O476" i="1"/>
  <c r="P476" i="1"/>
  <c r="Q476" i="1"/>
  <c r="R476" i="1"/>
  <c r="S476" i="1"/>
  <c r="T476" i="1"/>
  <c r="U476" i="1"/>
  <c r="AD476" i="1"/>
  <c r="AE476" i="1"/>
  <c r="AF476" i="1"/>
  <c r="AG476" i="1"/>
  <c r="AH476" i="1"/>
  <c r="AI476" i="1"/>
  <c r="AJ476" i="1"/>
  <c r="AK476" i="1"/>
  <c r="AT476" i="1"/>
  <c r="AU476" i="1"/>
  <c r="AV476" i="1"/>
  <c r="AW476" i="1"/>
  <c r="AX476" i="1"/>
  <c r="AY476" i="1"/>
  <c r="AZ476" i="1"/>
  <c r="BA476" i="1"/>
  <c r="N477" i="1"/>
  <c r="O477" i="1"/>
  <c r="P477" i="1"/>
  <c r="Q477" i="1"/>
  <c r="R477" i="1"/>
  <c r="S477" i="1"/>
  <c r="T477" i="1"/>
  <c r="U477" i="1"/>
  <c r="AD477" i="1"/>
  <c r="AE477" i="1"/>
  <c r="AF477" i="1"/>
  <c r="AG477" i="1"/>
  <c r="AH477" i="1"/>
  <c r="AI477" i="1"/>
  <c r="AJ477" i="1"/>
  <c r="AK477" i="1"/>
  <c r="AT477" i="1"/>
  <c r="AU477" i="1"/>
  <c r="AV477" i="1"/>
  <c r="AW477" i="1"/>
  <c r="AX477" i="1"/>
  <c r="AY477" i="1"/>
  <c r="AZ477" i="1"/>
  <c r="BA477" i="1"/>
  <c r="N478" i="1"/>
  <c r="O478" i="1"/>
  <c r="P478" i="1"/>
  <c r="Q478" i="1"/>
  <c r="R478" i="1"/>
  <c r="S478" i="1"/>
  <c r="T478" i="1"/>
  <c r="U478" i="1"/>
  <c r="AD478" i="1"/>
  <c r="AE478" i="1"/>
  <c r="AF478" i="1"/>
  <c r="AG478" i="1"/>
  <c r="AH478" i="1"/>
  <c r="AI478" i="1"/>
  <c r="AJ478" i="1"/>
  <c r="AK478" i="1"/>
  <c r="AT478" i="1"/>
  <c r="AU478" i="1"/>
  <c r="AV478" i="1"/>
  <c r="AW478" i="1"/>
  <c r="AX478" i="1"/>
  <c r="AY478" i="1"/>
  <c r="AZ478" i="1"/>
  <c r="BA478" i="1"/>
  <c r="N479" i="1"/>
  <c r="O479" i="1"/>
  <c r="P479" i="1"/>
  <c r="Q479" i="1"/>
  <c r="R479" i="1"/>
  <c r="S479" i="1"/>
  <c r="T479" i="1"/>
  <c r="U479" i="1"/>
  <c r="AD479" i="1"/>
  <c r="AE479" i="1"/>
  <c r="AF479" i="1"/>
  <c r="AG479" i="1"/>
  <c r="AH479" i="1"/>
  <c r="AI479" i="1"/>
  <c r="AJ479" i="1"/>
  <c r="AK479" i="1"/>
  <c r="AT479" i="1"/>
  <c r="AU479" i="1"/>
  <c r="AV479" i="1"/>
  <c r="AW479" i="1"/>
  <c r="AX479" i="1"/>
  <c r="AY479" i="1"/>
  <c r="AZ479" i="1"/>
  <c r="BA479" i="1"/>
  <c r="N480" i="1"/>
  <c r="O480" i="1"/>
  <c r="P480" i="1"/>
  <c r="Q480" i="1"/>
  <c r="R480" i="1"/>
  <c r="S480" i="1"/>
  <c r="T480" i="1"/>
  <c r="U480" i="1"/>
  <c r="AD480" i="1"/>
  <c r="AE480" i="1"/>
  <c r="AF480" i="1"/>
  <c r="AG480" i="1"/>
  <c r="AH480" i="1"/>
  <c r="AI480" i="1"/>
  <c r="AJ480" i="1"/>
  <c r="AK480" i="1"/>
  <c r="AT480" i="1"/>
  <c r="AU480" i="1"/>
  <c r="AV480" i="1"/>
  <c r="AW480" i="1"/>
  <c r="AX480" i="1"/>
  <c r="AY480" i="1"/>
  <c r="AZ480" i="1"/>
  <c r="BA480" i="1"/>
  <c r="N481" i="1"/>
  <c r="O481" i="1"/>
  <c r="P481" i="1"/>
  <c r="Q481" i="1"/>
  <c r="R481" i="1"/>
  <c r="S481" i="1"/>
  <c r="T481" i="1"/>
  <c r="U481" i="1"/>
  <c r="AD481" i="1"/>
  <c r="AE481" i="1"/>
  <c r="AF481" i="1"/>
  <c r="AG481" i="1"/>
  <c r="AH481" i="1"/>
  <c r="AI481" i="1"/>
  <c r="AJ481" i="1"/>
  <c r="AK481" i="1"/>
  <c r="AT481" i="1"/>
  <c r="AU481" i="1"/>
  <c r="AV481" i="1"/>
  <c r="AW481" i="1"/>
  <c r="AX481" i="1"/>
  <c r="AY481" i="1"/>
  <c r="AZ481" i="1"/>
  <c r="BA481" i="1"/>
  <c r="N482" i="1"/>
  <c r="O482" i="1"/>
  <c r="P482" i="1"/>
  <c r="Q482" i="1"/>
  <c r="R482" i="1"/>
  <c r="S482" i="1"/>
  <c r="T482" i="1"/>
  <c r="U482" i="1"/>
  <c r="AD482" i="1"/>
  <c r="AE482" i="1"/>
  <c r="AF482" i="1"/>
  <c r="AG482" i="1"/>
  <c r="AH482" i="1"/>
  <c r="AI482" i="1"/>
  <c r="AJ482" i="1"/>
  <c r="AK482" i="1"/>
  <c r="AT482" i="1"/>
  <c r="AU482" i="1"/>
  <c r="AV482" i="1"/>
  <c r="AW482" i="1"/>
  <c r="AX482" i="1"/>
  <c r="AY482" i="1"/>
  <c r="AZ482" i="1"/>
  <c r="BA482" i="1"/>
  <c r="N483" i="1"/>
  <c r="O483" i="1"/>
  <c r="P483" i="1"/>
  <c r="Q483" i="1"/>
  <c r="R483" i="1"/>
  <c r="S483" i="1"/>
  <c r="T483" i="1"/>
  <c r="U483" i="1"/>
  <c r="AD483" i="1"/>
  <c r="AE483" i="1"/>
  <c r="AF483" i="1"/>
  <c r="AG483" i="1"/>
  <c r="AH483" i="1"/>
  <c r="AI483" i="1"/>
  <c r="AJ483" i="1"/>
  <c r="AK483" i="1"/>
  <c r="AT483" i="1"/>
  <c r="AU483" i="1"/>
  <c r="AV483" i="1"/>
  <c r="AW483" i="1"/>
  <c r="AX483" i="1"/>
  <c r="AY483" i="1"/>
  <c r="AZ483" i="1"/>
  <c r="BA483" i="1"/>
  <c r="N484" i="1"/>
  <c r="O484" i="1"/>
  <c r="P484" i="1"/>
  <c r="Q484" i="1"/>
  <c r="R484" i="1"/>
  <c r="S484" i="1"/>
  <c r="T484" i="1"/>
  <c r="U484" i="1"/>
  <c r="AD484" i="1"/>
  <c r="AE484" i="1"/>
  <c r="AF484" i="1"/>
  <c r="AG484" i="1"/>
  <c r="AH484" i="1"/>
  <c r="AI484" i="1"/>
  <c r="AJ484" i="1"/>
  <c r="AK484" i="1"/>
  <c r="AT484" i="1"/>
  <c r="AU484" i="1"/>
  <c r="AV484" i="1"/>
  <c r="AW484" i="1"/>
  <c r="AX484" i="1"/>
  <c r="AY484" i="1"/>
  <c r="AZ484" i="1"/>
  <c r="BA484" i="1"/>
  <c r="N485" i="1"/>
  <c r="O485" i="1"/>
  <c r="P485" i="1"/>
  <c r="Q485" i="1"/>
  <c r="R485" i="1"/>
  <c r="S485" i="1"/>
  <c r="T485" i="1"/>
  <c r="U485" i="1"/>
  <c r="AD485" i="1"/>
  <c r="AE485" i="1"/>
  <c r="AF485" i="1"/>
  <c r="AG485" i="1"/>
  <c r="AH485" i="1"/>
  <c r="AI485" i="1"/>
  <c r="AJ485" i="1"/>
  <c r="AK485" i="1"/>
  <c r="AT485" i="1"/>
  <c r="AU485" i="1"/>
  <c r="AV485" i="1"/>
  <c r="AW485" i="1"/>
  <c r="AX485" i="1"/>
  <c r="AY485" i="1"/>
  <c r="AZ485" i="1"/>
  <c r="BA485" i="1"/>
  <c r="N486" i="1"/>
  <c r="O486" i="1"/>
  <c r="P486" i="1"/>
  <c r="Q486" i="1"/>
  <c r="R486" i="1"/>
  <c r="S486" i="1"/>
  <c r="T486" i="1"/>
  <c r="U486" i="1"/>
  <c r="AD486" i="1"/>
  <c r="AE486" i="1"/>
  <c r="AF486" i="1"/>
  <c r="AG486" i="1"/>
  <c r="AH486" i="1"/>
  <c r="AI486" i="1"/>
  <c r="AJ486" i="1"/>
  <c r="AK486" i="1"/>
  <c r="AT486" i="1"/>
  <c r="AU486" i="1"/>
  <c r="AV486" i="1"/>
  <c r="AW486" i="1"/>
  <c r="AX486" i="1"/>
  <c r="AY486" i="1"/>
  <c r="AZ486" i="1"/>
  <c r="BA486" i="1"/>
  <c r="N487" i="1"/>
  <c r="O487" i="1"/>
  <c r="P487" i="1"/>
  <c r="Q487" i="1"/>
  <c r="R487" i="1"/>
  <c r="S487" i="1"/>
  <c r="T487" i="1"/>
  <c r="U487" i="1"/>
  <c r="AD487" i="1"/>
  <c r="AE487" i="1"/>
  <c r="AF487" i="1"/>
  <c r="AG487" i="1"/>
  <c r="AH487" i="1"/>
  <c r="AI487" i="1"/>
  <c r="AJ487" i="1"/>
  <c r="AK487" i="1"/>
  <c r="AT487" i="1"/>
  <c r="AU487" i="1"/>
  <c r="AV487" i="1"/>
  <c r="AW487" i="1"/>
  <c r="AX487" i="1"/>
  <c r="AY487" i="1"/>
  <c r="AZ487" i="1"/>
  <c r="BA487" i="1"/>
  <c r="N488" i="1"/>
  <c r="O488" i="1"/>
  <c r="P488" i="1"/>
  <c r="Q488" i="1"/>
  <c r="R488" i="1"/>
  <c r="S488" i="1"/>
  <c r="T488" i="1"/>
  <c r="U488" i="1"/>
  <c r="AD488" i="1"/>
  <c r="AE488" i="1"/>
  <c r="AF488" i="1"/>
  <c r="AG488" i="1"/>
  <c r="AH488" i="1"/>
  <c r="AI488" i="1"/>
  <c r="AJ488" i="1"/>
  <c r="AK488" i="1"/>
  <c r="AT488" i="1"/>
  <c r="AU488" i="1"/>
  <c r="AV488" i="1"/>
  <c r="AW488" i="1"/>
  <c r="AX488" i="1"/>
  <c r="AY488" i="1"/>
  <c r="AZ488" i="1"/>
  <c r="BA488" i="1"/>
  <c r="N489" i="1"/>
  <c r="O489" i="1"/>
  <c r="P489" i="1"/>
  <c r="Q489" i="1"/>
  <c r="R489" i="1"/>
  <c r="S489" i="1"/>
  <c r="T489" i="1"/>
  <c r="U489" i="1"/>
  <c r="AD489" i="1"/>
  <c r="AE489" i="1"/>
  <c r="AF489" i="1"/>
  <c r="AG489" i="1"/>
  <c r="AH489" i="1"/>
  <c r="AI489" i="1"/>
  <c r="AJ489" i="1"/>
  <c r="AK489" i="1"/>
  <c r="AT489" i="1"/>
  <c r="AU489" i="1"/>
  <c r="AV489" i="1"/>
  <c r="AW489" i="1"/>
  <c r="AX489" i="1"/>
  <c r="AY489" i="1"/>
  <c r="AZ489" i="1"/>
  <c r="BA489" i="1"/>
  <c r="N490" i="1"/>
  <c r="O490" i="1"/>
  <c r="P490" i="1"/>
  <c r="Q490" i="1"/>
  <c r="R490" i="1"/>
  <c r="S490" i="1"/>
  <c r="T490" i="1"/>
  <c r="U490" i="1"/>
  <c r="AD490" i="1"/>
  <c r="AE490" i="1"/>
  <c r="AF490" i="1"/>
  <c r="AG490" i="1"/>
  <c r="AH490" i="1"/>
  <c r="AI490" i="1"/>
  <c r="AJ490" i="1"/>
  <c r="AK490" i="1"/>
  <c r="AT490" i="1"/>
  <c r="AU490" i="1"/>
  <c r="AV490" i="1"/>
  <c r="AW490" i="1"/>
  <c r="AX490" i="1"/>
  <c r="AY490" i="1"/>
  <c r="AZ490" i="1"/>
  <c r="BA490" i="1"/>
  <c r="N491" i="1"/>
  <c r="O491" i="1"/>
  <c r="P491" i="1"/>
  <c r="Q491" i="1"/>
  <c r="R491" i="1"/>
  <c r="S491" i="1"/>
  <c r="T491" i="1"/>
  <c r="U491" i="1"/>
  <c r="AD491" i="1"/>
  <c r="AE491" i="1"/>
  <c r="AF491" i="1"/>
  <c r="AG491" i="1"/>
  <c r="AH491" i="1"/>
  <c r="AI491" i="1"/>
  <c r="AJ491" i="1"/>
  <c r="AK491" i="1"/>
  <c r="AT491" i="1"/>
  <c r="AU491" i="1"/>
  <c r="AV491" i="1"/>
  <c r="AW491" i="1"/>
  <c r="AX491" i="1"/>
  <c r="AY491" i="1"/>
  <c r="AZ491" i="1"/>
  <c r="BA491" i="1"/>
  <c r="N492" i="1"/>
  <c r="O492" i="1"/>
  <c r="P492" i="1"/>
  <c r="Q492" i="1"/>
  <c r="R492" i="1"/>
  <c r="S492" i="1"/>
  <c r="T492" i="1"/>
  <c r="U492" i="1"/>
  <c r="AD492" i="1"/>
  <c r="AE492" i="1"/>
  <c r="AF492" i="1"/>
  <c r="AG492" i="1"/>
  <c r="AH492" i="1"/>
  <c r="AI492" i="1"/>
  <c r="AJ492" i="1"/>
  <c r="AK492" i="1"/>
  <c r="AT492" i="1"/>
  <c r="AU492" i="1"/>
  <c r="AV492" i="1"/>
  <c r="AW492" i="1"/>
  <c r="AX492" i="1"/>
  <c r="AY492" i="1"/>
  <c r="AZ492" i="1"/>
  <c r="BA492" i="1"/>
  <c r="N493" i="1"/>
  <c r="O493" i="1"/>
  <c r="P493" i="1"/>
  <c r="Q493" i="1"/>
  <c r="R493" i="1"/>
  <c r="S493" i="1"/>
  <c r="T493" i="1"/>
  <c r="U493" i="1"/>
  <c r="AD493" i="1"/>
  <c r="AE493" i="1"/>
  <c r="AF493" i="1"/>
  <c r="AG493" i="1"/>
  <c r="AH493" i="1"/>
  <c r="AI493" i="1"/>
  <c r="AJ493" i="1"/>
  <c r="AK493" i="1"/>
  <c r="AT493" i="1"/>
  <c r="AU493" i="1"/>
  <c r="AV493" i="1"/>
  <c r="AW493" i="1"/>
  <c r="AX493" i="1"/>
  <c r="AY493" i="1"/>
  <c r="AZ493" i="1"/>
  <c r="BA493" i="1"/>
  <c r="N494" i="1"/>
  <c r="O494" i="1"/>
  <c r="P494" i="1"/>
  <c r="Q494" i="1"/>
  <c r="R494" i="1"/>
  <c r="S494" i="1"/>
  <c r="T494" i="1"/>
  <c r="U494" i="1"/>
  <c r="AD494" i="1"/>
  <c r="AE494" i="1"/>
  <c r="AF494" i="1"/>
  <c r="AG494" i="1"/>
  <c r="AH494" i="1"/>
  <c r="AI494" i="1"/>
  <c r="AJ494" i="1"/>
  <c r="AK494" i="1"/>
  <c r="AT494" i="1"/>
  <c r="AU494" i="1"/>
  <c r="AV494" i="1"/>
  <c r="AW494" i="1"/>
  <c r="AX494" i="1"/>
  <c r="AY494" i="1"/>
  <c r="AZ494" i="1"/>
  <c r="BA494" i="1"/>
  <c r="N495" i="1"/>
  <c r="O495" i="1"/>
  <c r="P495" i="1"/>
  <c r="Q495" i="1"/>
  <c r="R495" i="1"/>
  <c r="S495" i="1"/>
  <c r="T495" i="1"/>
  <c r="U495" i="1"/>
  <c r="AD495" i="1"/>
  <c r="AE495" i="1"/>
  <c r="AF495" i="1"/>
  <c r="AG495" i="1"/>
  <c r="AH495" i="1"/>
  <c r="AI495" i="1"/>
  <c r="AJ495" i="1"/>
  <c r="AK495" i="1"/>
  <c r="AT495" i="1"/>
  <c r="AU495" i="1"/>
  <c r="AV495" i="1"/>
  <c r="AW495" i="1"/>
  <c r="AX495" i="1"/>
  <c r="AY495" i="1"/>
  <c r="AZ495" i="1"/>
  <c r="BA495" i="1"/>
  <c r="N496" i="1"/>
  <c r="O496" i="1"/>
  <c r="P496" i="1"/>
  <c r="Q496" i="1"/>
  <c r="R496" i="1"/>
  <c r="S496" i="1"/>
  <c r="T496" i="1"/>
  <c r="U496" i="1"/>
  <c r="AD496" i="1"/>
  <c r="AE496" i="1"/>
  <c r="AF496" i="1"/>
  <c r="AG496" i="1"/>
  <c r="AH496" i="1"/>
  <c r="AI496" i="1"/>
  <c r="AJ496" i="1"/>
  <c r="AK496" i="1"/>
  <c r="AT496" i="1"/>
  <c r="AU496" i="1"/>
  <c r="AV496" i="1"/>
  <c r="AW496" i="1"/>
  <c r="AX496" i="1"/>
  <c r="AY496" i="1"/>
  <c r="AZ496" i="1"/>
  <c r="BA496" i="1"/>
  <c r="N497" i="1"/>
  <c r="O497" i="1"/>
  <c r="P497" i="1"/>
  <c r="Q497" i="1"/>
  <c r="R497" i="1"/>
  <c r="S497" i="1"/>
  <c r="T497" i="1"/>
  <c r="U497" i="1"/>
  <c r="AD497" i="1"/>
  <c r="AE497" i="1"/>
  <c r="AF497" i="1"/>
  <c r="AG497" i="1"/>
  <c r="AH497" i="1"/>
  <c r="AI497" i="1"/>
  <c r="AJ497" i="1"/>
  <c r="AK497" i="1"/>
  <c r="AT497" i="1"/>
  <c r="AU497" i="1"/>
  <c r="AV497" i="1"/>
  <c r="AW497" i="1"/>
  <c r="AX497" i="1"/>
  <c r="AY497" i="1"/>
  <c r="AZ497" i="1"/>
  <c r="BA497" i="1"/>
  <c r="N498" i="1"/>
  <c r="O498" i="1"/>
  <c r="P498" i="1"/>
  <c r="Q498" i="1"/>
  <c r="R498" i="1"/>
  <c r="S498" i="1"/>
  <c r="T498" i="1"/>
  <c r="U498" i="1"/>
  <c r="AD498" i="1"/>
  <c r="AE498" i="1"/>
  <c r="AF498" i="1"/>
  <c r="AG498" i="1"/>
  <c r="AH498" i="1"/>
  <c r="AI498" i="1"/>
  <c r="AJ498" i="1"/>
  <c r="AK498" i="1"/>
  <c r="AT498" i="1"/>
  <c r="AU498" i="1"/>
  <c r="AV498" i="1"/>
  <c r="AW498" i="1"/>
  <c r="AX498" i="1"/>
  <c r="AY498" i="1"/>
  <c r="AZ498" i="1"/>
  <c r="BA498" i="1"/>
  <c r="N499" i="1"/>
  <c r="O499" i="1"/>
  <c r="P499" i="1"/>
  <c r="Q499" i="1"/>
  <c r="R499" i="1"/>
  <c r="S499" i="1"/>
  <c r="T499" i="1"/>
  <c r="U499" i="1"/>
  <c r="AD499" i="1"/>
  <c r="AE499" i="1"/>
  <c r="AF499" i="1"/>
  <c r="AG499" i="1"/>
  <c r="AH499" i="1"/>
  <c r="AI499" i="1"/>
  <c r="AJ499" i="1"/>
  <c r="AK499" i="1"/>
  <c r="AT499" i="1"/>
  <c r="AU499" i="1"/>
  <c r="AV499" i="1"/>
  <c r="AW499" i="1"/>
  <c r="AX499" i="1"/>
  <c r="AY499" i="1"/>
  <c r="AZ499" i="1"/>
  <c r="BA499" i="1"/>
  <c r="N500" i="1"/>
  <c r="O500" i="1"/>
  <c r="P500" i="1"/>
  <c r="Q500" i="1"/>
  <c r="R500" i="1"/>
  <c r="S500" i="1"/>
  <c r="T500" i="1"/>
  <c r="U500" i="1"/>
  <c r="AD500" i="1"/>
  <c r="AE500" i="1"/>
  <c r="AF500" i="1"/>
  <c r="AG500" i="1"/>
  <c r="AH500" i="1"/>
  <c r="AI500" i="1"/>
  <c r="AJ500" i="1"/>
  <c r="AK500" i="1"/>
  <c r="AT500" i="1"/>
  <c r="AU500" i="1"/>
  <c r="AV500" i="1"/>
  <c r="AW500" i="1"/>
  <c r="AX500" i="1"/>
  <c r="AY500" i="1"/>
  <c r="AZ500" i="1"/>
  <c r="BA500" i="1"/>
  <c r="N501" i="1"/>
  <c r="O501" i="1"/>
  <c r="P501" i="1"/>
  <c r="Q501" i="1"/>
  <c r="R501" i="1"/>
  <c r="S501" i="1"/>
  <c r="T501" i="1"/>
  <c r="U501" i="1"/>
  <c r="AD501" i="1"/>
  <c r="AE501" i="1"/>
  <c r="AF501" i="1"/>
  <c r="AG501" i="1"/>
  <c r="AH501" i="1"/>
  <c r="AI501" i="1"/>
  <c r="AJ501" i="1"/>
  <c r="AK501" i="1"/>
  <c r="AT501" i="1"/>
  <c r="AU501" i="1"/>
  <c r="AV501" i="1"/>
  <c r="AW501" i="1"/>
  <c r="AX501" i="1"/>
  <c r="AY501" i="1"/>
  <c r="AZ501" i="1"/>
  <c r="BA501" i="1"/>
  <c r="N502" i="1"/>
  <c r="O502" i="1"/>
  <c r="P502" i="1"/>
  <c r="Q502" i="1"/>
  <c r="R502" i="1"/>
  <c r="S502" i="1"/>
  <c r="T502" i="1"/>
  <c r="U502" i="1"/>
  <c r="AD502" i="1"/>
  <c r="AE502" i="1"/>
  <c r="AF502" i="1"/>
  <c r="AG502" i="1"/>
  <c r="AH502" i="1"/>
  <c r="AI502" i="1"/>
  <c r="AJ502" i="1"/>
  <c r="AK502" i="1"/>
  <c r="AT502" i="1"/>
  <c r="AU502" i="1"/>
  <c r="AV502" i="1"/>
  <c r="AW502" i="1"/>
  <c r="AX502" i="1"/>
  <c r="AY502" i="1"/>
  <c r="AZ502" i="1"/>
  <c r="BA502" i="1"/>
  <c r="N503" i="1"/>
  <c r="O503" i="1"/>
  <c r="P503" i="1"/>
  <c r="Q503" i="1"/>
  <c r="R503" i="1"/>
  <c r="S503" i="1"/>
  <c r="T503" i="1"/>
  <c r="U503" i="1"/>
  <c r="AD503" i="1"/>
  <c r="AE503" i="1"/>
  <c r="AF503" i="1"/>
  <c r="AG503" i="1"/>
  <c r="AH503" i="1"/>
  <c r="AI503" i="1"/>
  <c r="AJ503" i="1"/>
  <c r="AK503" i="1"/>
  <c r="AT503" i="1"/>
  <c r="AU503" i="1"/>
  <c r="AV503" i="1"/>
  <c r="AW503" i="1"/>
  <c r="AX503" i="1"/>
  <c r="AY503" i="1"/>
  <c r="AZ503" i="1"/>
  <c r="BA503" i="1"/>
  <c r="N504" i="1"/>
  <c r="O504" i="1"/>
  <c r="P504" i="1"/>
  <c r="Q504" i="1"/>
  <c r="R504" i="1"/>
  <c r="S504" i="1"/>
  <c r="T504" i="1"/>
  <c r="U504" i="1"/>
  <c r="AD504" i="1"/>
  <c r="AE504" i="1"/>
  <c r="AF504" i="1"/>
  <c r="AG504" i="1"/>
  <c r="AH504" i="1"/>
  <c r="AI504" i="1"/>
  <c r="AJ504" i="1"/>
  <c r="AK504" i="1"/>
  <c r="AT504" i="1"/>
  <c r="AU504" i="1"/>
  <c r="AV504" i="1"/>
  <c r="AW504" i="1"/>
  <c r="AX504" i="1"/>
  <c r="AY504" i="1"/>
  <c r="AZ504" i="1"/>
  <c r="BA504" i="1"/>
  <c r="N505" i="1"/>
  <c r="O505" i="1"/>
  <c r="P505" i="1"/>
  <c r="Q505" i="1"/>
  <c r="R505" i="1"/>
  <c r="S505" i="1"/>
  <c r="T505" i="1"/>
  <c r="U505" i="1"/>
  <c r="AD505" i="1"/>
  <c r="AE505" i="1"/>
  <c r="AF505" i="1"/>
  <c r="AG505" i="1"/>
  <c r="AH505" i="1"/>
  <c r="AI505" i="1"/>
  <c r="AJ505" i="1"/>
  <c r="AK505" i="1"/>
  <c r="AT505" i="1"/>
  <c r="AU505" i="1"/>
  <c r="AV505" i="1"/>
  <c r="AW505" i="1"/>
  <c r="AX505" i="1"/>
  <c r="AY505" i="1"/>
  <c r="AZ505" i="1"/>
  <c r="BA505" i="1"/>
  <c r="N506" i="1"/>
  <c r="O506" i="1"/>
  <c r="P506" i="1"/>
  <c r="Q506" i="1"/>
  <c r="R506" i="1"/>
  <c r="S506" i="1"/>
  <c r="T506" i="1"/>
  <c r="U506" i="1"/>
  <c r="AD506" i="1"/>
  <c r="AE506" i="1"/>
  <c r="AF506" i="1"/>
  <c r="AG506" i="1"/>
  <c r="AH506" i="1"/>
  <c r="AI506" i="1"/>
  <c r="AJ506" i="1"/>
  <c r="AK506" i="1"/>
  <c r="AT506" i="1"/>
  <c r="AU506" i="1"/>
  <c r="AV506" i="1"/>
  <c r="AW506" i="1"/>
  <c r="AX506" i="1"/>
  <c r="AY506" i="1"/>
  <c r="AZ506" i="1"/>
  <c r="BA506" i="1"/>
  <c r="N507" i="1"/>
  <c r="O507" i="1"/>
  <c r="P507" i="1"/>
  <c r="Q507" i="1"/>
  <c r="R507" i="1"/>
  <c r="S507" i="1"/>
  <c r="T507" i="1"/>
  <c r="U507" i="1"/>
  <c r="AD507" i="1"/>
  <c r="AE507" i="1"/>
  <c r="AF507" i="1"/>
  <c r="AG507" i="1"/>
  <c r="AH507" i="1"/>
  <c r="AI507" i="1"/>
  <c r="AJ507" i="1"/>
  <c r="AK507" i="1"/>
  <c r="AT507" i="1"/>
  <c r="AU507" i="1"/>
  <c r="AV507" i="1"/>
  <c r="AW507" i="1"/>
  <c r="AX507" i="1"/>
  <c r="AY507" i="1"/>
  <c r="AZ507" i="1"/>
  <c r="BA507" i="1"/>
  <c r="N508" i="1"/>
  <c r="O508" i="1"/>
  <c r="P508" i="1"/>
  <c r="Q508" i="1"/>
  <c r="R508" i="1"/>
  <c r="S508" i="1"/>
  <c r="T508" i="1"/>
  <c r="U508" i="1"/>
  <c r="AD508" i="1"/>
  <c r="AE508" i="1"/>
  <c r="AF508" i="1"/>
  <c r="AG508" i="1"/>
  <c r="AH508" i="1"/>
  <c r="AI508" i="1"/>
  <c r="AJ508" i="1"/>
  <c r="AK508" i="1"/>
  <c r="AT508" i="1"/>
  <c r="AU508" i="1"/>
  <c r="AV508" i="1"/>
  <c r="AW508" i="1"/>
  <c r="AX508" i="1"/>
  <c r="AY508" i="1"/>
  <c r="AZ508" i="1"/>
  <c r="BA508" i="1"/>
  <c r="N509" i="1"/>
  <c r="O509" i="1"/>
  <c r="P509" i="1"/>
  <c r="Q509" i="1"/>
  <c r="R509" i="1"/>
  <c r="S509" i="1"/>
  <c r="T509" i="1"/>
  <c r="U509" i="1"/>
  <c r="AD509" i="1"/>
  <c r="AE509" i="1"/>
  <c r="AF509" i="1"/>
  <c r="AG509" i="1"/>
  <c r="AH509" i="1"/>
  <c r="AI509" i="1"/>
  <c r="AJ509" i="1"/>
  <c r="AK509" i="1"/>
  <c r="AT509" i="1"/>
  <c r="AU509" i="1"/>
  <c r="AV509" i="1"/>
  <c r="AW509" i="1"/>
  <c r="AX509" i="1"/>
  <c r="AY509" i="1"/>
  <c r="AZ509" i="1"/>
  <c r="BA509" i="1"/>
  <c r="N510" i="1"/>
  <c r="O510" i="1"/>
  <c r="P510" i="1"/>
  <c r="Q510" i="1"/>
  <c r="R510" i="1"/>
  <c r="S510" i="1"/>
  <c r="T510" i="1"/>
  <c r="U510" i="1"/>
  <c r="AD510" i="1"/>
  <c r="AE510" i="1"/>
  <c r="AF510" i="1"/>
  <c r="AG510" i="1"/>
  <c r="AH510" i="1"/>
  <c r="AI510" i="1"/>
  <c r="AJ510" i="1"/>
  <c r="AK510" i="1"/>
  <c r="AT510" i="1"/>
  <c r="AU510" i="1"/>
  <c r="AV510" i="1"/>
  <c r="AW510" i="1"/>
  <c r="AX510" i="1"/>
  <c r="AY510" i="1"/>
  <c r="AZ510" i="1"/>
  <c r="BA510" i="1"/>
  <c r="N511" i="1"/>
  <c r="O511" i="1"/>
  <c r="P511" i="1"/>
  <c r="Q511" i="1"/>
  <c r="R511" i="1"/>
  <c r="S511" i="1"/>
  <c r="T511" i="1"/>
  <c r="U511" i="1"/>
  <c r="AD511" i="1"/>
  <c r="AE511" i="1"/>
  <c r="AF511" i="1"/>
  <c r="AG511" i="1"/>
  <c r="AH511" i="1"/>
  <c r="AI511" i="1"/>
  <c r="AJ511" i="1"/>
  <c r="AK511" i="1"/>
  <c r="AT511" i="1"/>
  <c r="AU511" i="1"/>
  <c r="AV511" i="1"/>
  <c r="AW511" i="1"/>
  <c r="AX511" i="1"/>
  <c r="AY511" i="1"/>
  <c r="AZ511" i="1"/>
  <c r="BA511" i="1"/>
  <c r="N512" i="1"/>
  <c r="O512" i="1"/>
  <c r="P512" i="1"/>
  <c r="Q512" i="1"/>
  <c r="R512" i="1"/>
  <c r="S512" i="1"/>
  <c r="T512" i="1"/>
  <c r="U512" i="1"/>
  <c r="AD512" i="1"/>
  <c r="AE512" i="1"/>
  <c r="AF512" i="1"/>
  <c r="AG512" i="1"/>
  <c r="AH512" i="1"/>
  <c r="AI512" i="1"/>
  <c r="AJ512" i="1"/>
  <c r="AK512" i="1"/>
  <c r="AT512" i="1"/>
  <c r="AU512" i="1"/>
  <c r="AV512" i="1"/>
  <c r="AW512" i="1"/>
  <c r="AX512" i="1"/>
  <c r="AY512" i="1"/>
  <c r="AZ512" i="1"/>
  <c r="BA512" i="1"/>
  <c r="N513" i="1"/>
  <c r="O513" i="1"/>
  <c r="P513" i="1"/>
  <c r="Q513" i="1"/>
  <c r="R513" i="1"/>
  <c r="S513" i="1"/>
  <c r="T513" i="1"/>
  <c r="U513" i="1"/>
  <c r="AD513" i="1"/>
  <c r="AE513" i="1"/>
  <c r="AF513" i="1"/>
  <c r="AG513" i="1"/>
  <c r="AH513" i="1"/>
  <c r="AI513" i="1"/>
  <c r="AJ513" i="1"/>
  <c r="AK513" i="1"/>
  <c r="AT513" i="1"/>
  <c r="AU513" i="1"/>
  <c r="AV513" i="1"/>
  <c r="AW513" i="1"/>
  <c r="AX513" i="1"/>
  <c r="AY513" i="1"/>
  <c r="AZ513" i="1"/>
  <c r="BA513" i="1"/>
  <c r="N514" i="1"/>
  <c r="O514" i="1"/>
  <c r="P514" i="1"/>
  <c r="Q514" i="1"/>
  <c r="R514" i="1"/>
  <c r="S514" i="1"/>
  <c r="T514" i="1"/>
  <c r="U514" i="1"/>
  <c r="AD514" i="1"/>
  <c r="AE514" i="1"/>
  <c r="AF514" i="1"/>
  <c r="AG514" i="1"/>
  <c r="AH514" i="1"/>
  <c r="AI514" i="1"/>
  <c r="AJ514" i="1"/>
  <c r="AK514" i="1"/>
  <c r="AT514" i="1"/>
  <c r="AU514" i="1"/>
  <c r="AV514" i="1"/>
  <c r="AW514" i="1"/>
  <c r="AX514" i="1"/>
  <c r="AY514" i="1"/>
  <c r="AZ514" i="1"/>
  <c r="BA514" i="1"/>
  <c r="N515" i="1"/>
  <c r="O515" i="1"/>
  <c r="P515" i="1"/>
  <c r="Q515" i="1"/>
  <c r="R515" i="1"/>
  <c r="S515" i="1"/>
  <c r="T515" i="1"/>
  <c r="U515" i="1"/>
  <c r="AD515" i="1"/>
  <c r="AE515" i="1"/>
  <c r="AF515" i="1"/>
  <c r="AG515" i="1"/>
  <c r="AH515" i="1"/>
  <c r="AI515" i="1"/>
  <c r="AJ515" i="1"/>
  <c r="AK515" i="1"/>
  <c r="AT515" i="1"/>
  <c r="AU515" i="1"/>
  <c r="AV515" i="1"/>
  <c r="AW515" i="1"/>
  <c r="AX515" i="1"/>
  <c r="AY515" i="1"/>
  <c r="AZ515" i="1"/>
  <c r="BA515" i="1"/>
  <c r="N516" i="1"/>
  <c r="O516" i="1"/>
  <c r="P516" i="1"/>
  <c r="Q516" i="1"/>
  <c r="R516" i="1"/>
  <c r="S516" i="1"/>
  <c r="T516" i="1"/>
  <c r="U516" i="1"/>
  <c r="AD516" i="1"/>
  <c r="AE516" i="1"/>
  <c r="AF516" i="1"/>
  <c r="AG516" i="1"/>
  <c r="AH516" i="1"/>
  <c r="AI516" i="1"/>
  <c r="AJ516" i="1"/>
  <c r="AK516" i="1"/>
  <c r="AT516" i="1"/>
  <c r="AU516" i="1"/>
  <c r="AV516" i="1"/>
  <c r="AW516" i="1"/>
  <c r="AX516" i="1"/>
  <c r="AY516" i="1"/>
  <c r="AZ516" i="1"/>
  <c r="BA516" i="1"/>
  <c r="N517" i="1"/>
  <c r="O517" i="1"/>
  <c r="P517" i="1"/>
  <c r="Q517" i="1"/>
  <c r="R517" i="1"/>
  <c r="S517" i="1"/>
  <c r="T517" i="1"/>
  <c r="U517" i="1"/>
  <c r="AD517" i="1"/>
  <c r="AE517" i="1"/>
  <c r="AF517" i="1"/>
  <c r="AG517" i="1"/>
  <c r="AH517" i="1"/>
  <c r="AI517" i="1"/>
  <c r="AJ517" i="1"/>
  <c r="AK517" i="1"/>
  <c r="AT517" i="1"/>
  <c r="AU517" i="1"/>
  <c r="AV517" i="1"/>
  <c r="AW517" i="1"/>
  <c r="AX517" i="1"/>
  <c r="AY517" i="1"/>
  <c r="AZ517" i="1"/>
  <c r="BA517" i="1"/>
  <c r="N518" i="1"/>
  <c r="O518" i="1"/>
  <c r="P518" i="1"/>
  <c r="Q518" i="1"/>
  <c r="R518" i="1"/>
  <c r="S518" i="1"/>
  <c r="T518" i="1"/>
  <c r="U518" i="1"/>
  <c r="AD518" i="1"/>
  <c r="AE518" i="1"/>
  <c r="AF518" i="1"/>
  <c r="AG518" i="1"/>
  <c r="AH518" i="1"/>
  <c r="AI518" i="1"/>
  <c r="AJ518" i="1"/>
  <c r="AK518" i="1"/>
  <c r="AT518" i="1"/>
  <c r="AU518" i="1"/>
  <c r="AV518" i="1"/>
  <c r="AW518" i="1"/>
  <c r="AX518" i="1"/>
  <c r="AY518" i="1"/>
  <c r="AZ518" i="1"/>
  <c r="BA518" i="1"/>
  <c r="N519" i="1"/>
  <c r="O519" i="1"/>
  <c r="P519" i="1"/>
  <c r="Q519" i="1"/>
  <c r="R519" i="1"/>
  <c r="S519" i="1"/>
  <c r="T519" i="1"/>
  <c r="U519" i="1"/>
  <c r="AD519" i="1"/>
  <c r="AE519" i="1"/>
  <c r="AF519" i="1"/>
  <c r="AG519" i="1"/>
  <c r="AH519" i="1"/>
  <c r="AI519" i="1"/>
  <c r="AJ519" i="1"/>
  <c r="AK519" i="1"/>
  <c r="AT519" i="1"/>
  <c r="AU519" i="1"/>
  <c r="AV519" i="1"/>
  <c r="AW519" i="1"/>
  <c r="AX519" i="1"/>
  <c r="AY519" i="1"/>
  <c r="AZ519" i="1"/>
  <c r="BA519" i="1"/>
  <c r="N520" i="1"/>
  <c r="O520" i="1"/>
  <c r="P520" i="1"/>
  <c r="Q520" i="1"/>
  <c r="R520" i="1"/>
  <c r="S520" i="1"/>
  <c r="T520" i="1"/>
  <c r="U520" i="1"/>
  <c r="AD520" i="1"/>
  <c r="AE520" i="1"/>
  <c r="AF520" i="1"/>
  <c r="AG520" i="1"/>
  <c r="AH520" i="1"/>
  <c r="AI520" i="1"/>
  <c r="AJ520" i="1"/>
  <c r="AK520" i="1"/>
  <c r="AT520" i="1"/>
  <c r="AU520" i="1"/>
  <c r="AV520" i="1"/>
  <c r="AW520" i="1"/>
  <c r="AX520" i="1"/>
  <c r="AY520" i="1"/>
  <c r="AZ520" i="1"/>
  <c r="BA520" i="1"/>
  <c r="N521" i="1"/>
  <c r="O521" i="1"/>
  <c r="P521" i="1"/>
  <c r="Q521" i="1"/>
  <c r="R521" i="1"/>
  <c r="S521" i="1"/>
  <c r="T521" i="1"/>
  <c r="U521" i="1"/>
  <c r="AD521" i="1"/>
  <c r="AE521" i="1"/>
  <c r="AF521" i="1"/>
  <c r="AG521" i="1"/>
  <c r="AH521" i="1"/>
  <c r="AI521" i="1"/>
  <c r="AJ521" i="1"/>
  <c r="AK521" i="1"/>
  <c r="AT521" i="1"/>
  <c r="AU521" i="1"/>
  <c r="AV521" i="1"/>
  <c r="AW521" i="1"/>
  <c r="AX521" i="1"/>
  <c r="AY521" i="1"/>
  <c r="AZ521" i="1"/>
  <c r="BA521" i="1"/>
  <c r="N522" i="1"/>
  <c r="O522" i="1"/>
  <c r="P522" i="1"/>
  <c r="Q522" i="1"/>
  <c r="R522" i="1"/>
  <c r="S522" i="1"/>
  <c r="T522" i="1"/>
  <c r="U522" i="1"/>
  <c r="AD522" i="1"/>
  <c r="AE522" i="1"/>
  <c r="AF522" i="1"/>
  <c r="AG522" i="1"/>
  <c r="AH522" i="1"/>
  <c r="AI522" i="1"/>
  <c r="AJ522" i="1"/>
  <c r="AK522" i="1"/>
  <c r="AT522" i="1"/>
  <c r="AU522" i="1"/>
  <c r="AV522" i="1"/>
  <c r="AW522" i="1"/>
  <c r="AX522" i="1"/>
  <c r="AY522" i="1"/>
  <c r="AZ522" i="1"/>
  <c r="BA522" i="1"/>
  <c r="N523" i="1"/>
  <c r="O523" i="1"/>
  <c r="P523" i="1"/>
  <c r="Q523" i="1"/>
  <c r="R523" i="1"/>
  <c r="S523" i="1"/>
  <c r="T523" i="1"/>
  <c r="U523" i="1"/>
  <c r="AD523" i="1"/>
  <c r="AE523" i="1"/>
  <c r="AF523" i="1"/>
  <c r="AG523" i="1"/>
  <c r="AH523" i="1"/>
  <c r="AI523" i="1"/>
  <c r="AJ523" i="1"/>
  <c r="AK523" i="1"/>
  <c r="AT523" i="1"/>
  <c r="AU523" i="1"/>
  <c r="AV523" i="1"/>
  <c r="AW523" i="1"/>
  <c r="AX523" i="1"/>
  <c r="AY523" i="1"/>
  <c r="AZ523" i="1"/>
  <c r="BA523" i="1"/>
  <c r="N524" i="1"/>
  <c r="O524" i="1"/>
  <c r="P524" i="1"/>
  <c r="Q524" i="1"/>
  <c r="R524" i="1"/>
  <c r="S524" i="1"/>
  <c r="T524" i="1"/>
  <c r="U524" i="1"/>
  <c r="AD524" i="1"/>
  <c r="AE524" i="1"/>
  <c r="AF524" i="1"/>
  <c r="AG524" i="1"/>
  <c r="AH524" i="1"/>
  <c r="AI524" i="1"/>
  <c r="AJ524" i="1"/>
  <c r="AK524" i="1"/>
  <c r="AT524" i="1"/>
  <c r="AU524" i="1"/>
  <c r="AV524" i="1"/>
  <c r="AW524" i="1"/>
  <c r="AX524" i="1"/>
  <c r="AY524" i="1"/>
  <c r="AZ524" i="1"/>
  <c r="BA524" i="1"/>
  <c r="N525" i="1"/>
  <c r="O525" i="1"/>
  <c r="P525" i="1"/>
  <c r="Q525" i="1"/>
  <c r="R525" i="1"/>
  <c r="S525" i="1"/>
  <c r="T525" i="1"/>
  <c r="U525" i="1"/>
  <c r="AD525" i="1"/>
  <c r="AE525" i="1"/>
  <c r="AF525" i="1"/>
  <c r="AG525" i="1"/>
  <c r="AH525" i="1"/>
  <c r="AI525" i="1"/>
  <c r="AJ525" i="1"/>
  <c r="AK525" i="1"/>
  <c r="AT525" i="1"/>
  <c r="AU525" i="1"/>
  <c r="AV525" i="1"/>
  <c r="AW525" i="1"/>
  <c r="AX525" i="1"/>
  <c r="AY525" i="1"/>
  <c r="AZ525" i="1"/>
  <c r="BA525" i="1"/>
  <c r="N526" i="1"/>
  <c r="O526" i="1"/>
  <c r="P526" i="1"/>
  <c r="Q526" i="1"/>
  <c r="R526" i="1"/>
  <c r="S526" i="1"/>
  <c r="T526" i="1"/>
  <c r="U526" i="1"/>
  <c r="AD526" i="1"/>
  <c r="AE526" i="1"/>
  <c r="AF526" i="1"/>
  <c r="AG526" i="1"/>
  <c r="AH526" i="1"/>
  <c r="AI526" i="1"/>
  <c r="AJ526" i="1"/>
  <c r="AK526" i="1"/>
  <c r="AT526" i="1"/>
  <c r="AU526" i="1"/>
  <c r="AV526" i="1"/>
  <c r="AW526" i="1"/>
  <c r="AX526" i="1"/>
  <c r="AY526" i="1"/>
  <c r="AZ526" i="1"/>
  <c r="BA526" i="1"/>
  <c r="N527" i="1"/>
  <c r="O527" i="1"/>
  <c r="P527" i="1"/>
  <c r="Q527" i="1"/>
  <c r="R527" i="1"/>
  <c r="S527" i="1"/>
  <c r="T527" i="1"/>
  <c r="U527" i="1"/>
  <c r="AD527" i="1"/>
  <c r="AE527" i="1"/>
  <c r="AF527" i="1"/>
  <c r="AG527" i="1"/>
  <c r="AH527" i="1"/>
  <c r="AI527" i="1"/>
  <c r="AJ527" i="1"/>
  <c r="AK527" i="1"/>
  <c r="AT527" i="1"/>
  <c r="AU527" i="1"/>
  <c r="AV527" i="1"/>
  <c r="AW527" i="1"/>
  <c r="AX527" i="1"/>
  <c r="AY527" i="1"/>
  <c r="AZ527" i="1"/>
  <c r="BA527" i="1"/>
  <c r="N528" i="1"/>
  <c r="O528" i="1"/>
  <c r="P528" i="1"/>
  <c r="Q528" i="1"/>
  <c r="R528" i="1"/>
  <c r="S528" i="1"/>
  <c r="T528" i="1"/>
  <c r="U528" i="1"/>
  <c r="AD528" i="1"/>
  <c r="AE528" i="1"/>
  <c r="AF528" i="1"/>
  <c r="AG528" i="1"/>
  <c r="AH528" i="1"/>
  <c r="AI528" i="1"/>
  <c r="AJ528" i="1"/>
  <c r="AK528" i="1"/>
  <c r="AT528" i="1"/>
  <c r="AU528" i="1"/>
  <c r="AV528" i="1"/>
  <c r="AW528" i="1"/>
  <c r="AX528" i="1"/>
  <c r="AY528" i="1"/>
  <c r="AZ528" i="1"/>
  <c r="BA528" i="1"/>
  <c r="N529" i="1"/>
  <c r="O529" i="1"/>
  <c r="P529" i="1"/>
  <c r="Q529" i="1"/>
  <c r="R529" i="1"/>
  <c r="S529" i="1"/>
  <c r="T529" i="1"/>
  <c r="U529" i="1"/>
  <c r="AD529" i="1"/>
  <c r="AE529" i="1"/>
  <c r="AF529" i="1"/>
  <c r="AG529" i="1"/>
  <c r="AH529" i="1"/>
  <c r="AI529" i="1"/>
  <c r="AJ529" i="1"/>
  <c r="AK529" i="1"/>
  <c r="AT529" i="1"/>
  <c r="AU529" i="1"/>
  <c r="AV529" i="1"/>
  <c r="AW529" i="1"/>
  <c r="AX529" i="1"/>
  <c r="AY529" i="1"/>
  <c r="AZ529" i="1"/>
  <c r="BA529" i="1"/>
  <c r="N530" i="1"/>
  <c r="O530" i="1"/>
  <c r="P530" i="1"/>
  <c r="Q530" i="1"/>
  <c r="R530" i="1"/>
  <c r="S530" i="1"/>
  <c r="T530" i="1"/>
  <c r="U530" i="1"/>
  <c r="AD530" i="1"/>
  <c r="AE530" i="1"/>
  <c r="AF530" i="1"/>
  <c r="AG530" i="1"/>
  <c r="AH530" i="1"/>
  <c r="AI530" i="1"/>
  <c r="AJ530" i="1"/>
  <c r="AK530" i="1"/>
  <c r="AT530" i="1"/>
  <c r="AU530" i="1"/>
  <c r="AV530" i="1"/>
  <c r="AW530" i="1"/>
  <c r="AX530" i="1"/>
  <c r="AY530" i="1"/>
  <c r="AZ530" i="1"/>
  <c r="BA530" i="1"/>
  <c r="N531" i="1"/>
  <c r="O531" i="1"/>
  <c r="P531" i="1"/>
  <c r="Q531" i="1"/>
  <c r="R531" i="1"/>
  <c r="S531" i="1"/>
  <c r="T531" i="1"/>
  <c r="U531" i="1"/>
  <c r="AD531" i="1"/>
  <c r="AE531" i="1"/>
  <c r="AF531" i="1"/>
  <c r="AG531" i="1"/>
  <c r="AH531" i="1"/>
  <c r="AI531" i="1"/>
  <c r="AJ531" i="1"/>
  <c r="AK531" i="1"/>
  <c r="AT531" i="1"/>
  <c r="AU531" i="1"/>
  <c r="AV531" i="1"/>
  <c r="AW531" i="1"/>
  <c r="AX531" i="1"/>
  <c r="AY531" i="1"/>
  <c r="AZ531" i="1"/>
  <c r="BA531" i="1"/>
  <c r="N532" i="1"/>
  <c r="O532" i="1"/>
  <c r="P532" i="1"/>
  <c r="Q532" i="1"/>
  <c r="R532" i="1"/>
  <c r="S532" i="1"/>
  <c r="T532" i="1"/>
  <c r="U532" i="1"/>
  <c r="AD532" i="1"/>
  <c r="AE532" i="1"/>
  <c r="AF532" i="1"/>
  <c r="AG532" i="1"/>
  <c r="AH532" i="1"/>
  <c r="AI532" i="1"/>
  <c r="AJ532" i="1"/>
  <c r="AK532" i="1"/>
  <c r="AT532" i="1"/>
  <c r="AU532" i="1"/>
  <c r="AV532" i="1"/>
  <c r="AW532" i="1"/>
  <c r="AX532" i="1"/>
  <c r="AY532" i="1"/>
  <c r="AZ532" i="1"/>
  <c r="BA532" i="1"/>
  <c r="N533" i="1"/>
  <c r="O533" i="1"/>
  <c r="P533" i="1"/>
  <c r="Q533" i="1"/>
  <c r="R533" i="1"/>
  <c r="S533" i="1"/>
  <c r="T533" i="1"/>
  <c r="U533" i="1"/>
  <c r="AD533" i="1"/>
  <c r="AE533" i="1"/>
  <c r="AF533" i="1"/>
  <c r="AG533" i="1"/>
  <c r="AH533" i="1"/>
  <c r="AI533" i="1"/>
  <c r="AJ533" i="1"/>
  <c r="AK533" i="1"/>
  <c r="AT533" i="1"/>
  <c r="AU533" i="1"/>
  <c r="AV533" i="1"/>
  <c r="AW533" i="1"/>
  <c r="AX533" i="1"/>
  <c r="AY533" i="1"/>
  <c r="AZ533" i="1"/>
  <c r="BA533" i="1"/>
  <c r="N534" i="1"/>
  <c r="O534" i="1"/>
  <c r="P534" i="1"/>
  <c r="Q534" i="1"/>
  <c r="R534" i="1"/>
  <c r="S534" i="1"/>
  <c r="T534" i="1"/>
  <c r="U534" i="1"/>
  <c r="AD534" i="1"/>
  <c r="AE534" i="1"/>
  <c r="AF534" i="1"/>
  <c r="AG534" i="1"/>
  <c r="AH534" i="1"/>
  <c r="AI534" i="1"/>
  <c r="AJ534" i="1"/>
  <c r="AK534" i="1"/>
  <c r="AT534" i="1"/>
  <c r="AU534" i="1"/>
  <c r="AV534" i="1"/>
  <c r="AW534" i="1"/>
  <c r="AX534" i="1"/>
  <c r="AY534" i="1"/>
  <c r="AZ534" i="1"/>
  <c r="BA534" i="1"/>
  <c r="N535" i="1"/>
  <c r="O535" i="1"/>
  <c r="P535" i="1"/>
  <c r="Q535" i="1"/>
  <c r="R535" i="1"/>
  <c r="S535" i="1"/>
  <c r="T535" i="1"/>
  <c r="U535" i="1"/>
  <c r="AD535" i="1"/>
  <c r="AE535" i="1"/>
  <c r="AF535" i="1"/>
  <c r="AG535" i="1"/>
  <c r="AH535" i="1"/>
  <c r="AI535" i="1"/>
  <c r="AJ535" i="1"/>
  <c r="AK535" i="1"/>
  <c r="AT535" i="1"/>
  <c r="AU535" i="1"/>
  <c r="AV535" i="1"/>
  <c r="AW535" i="1"/>
  <c r="AX535" i="1"/>
  <c r="AY535" i="1"/>
  <c r="AZ535" i="1"/>
  <c r="BA535" i="1"/>
  <c r="N536" i="1"/>
  <c r="O536" i="1"/>
  <c r="P536" i="1"/>
  <c r="Q536" i="1"/>
  <c r="R536" i="1"/>
  <c r="S536" i="1"/>
  <c r="T536" i="1"/>
  <c r="U536" i="1"/>
  <c r="AD536" i="1"/>
  <c r="AE536" i="1"/>
  <c r="AF536" i="1"/>
  <c r="AG536" i="1"/>
  <c r="AH536" i="1"/>
  <c r="AI536" i="1"/>
  <c r="AJ536" i="1"/>
  <c r="AK536" i="1"/>
  <c r="AT536" i="1"/>
  <c r="AU536" i="1"/>
  <c r="AV536" i="1"/>
  <c r="AW536" i="1"/>
  <c r="AX536" i="1"/>
  <c r="AY536" i="1"/>
  <c r="AZ536" i="1"/>
  <c r="BA536" i="1"/>
  <c r="N537" i="1"/>
  <c r="O537" i="1"/>
  <c r="P537" i="1"/>
  <c r="Q537" i="1"/>
  <c r="R537" i="1"/>
  <c r="S537" i="1"/>
  <c r="T537" i="1"/>
  <c r="U537" i="1"/>
  <c r="AD537" i="1"/>
  <c r="AE537" i="1"/>
  <c r="AF537" i="1"/>
  <c r="AG537" i="1"/>
  <c r="AH537" i="1"/>
  <c r="AI537" i="1"/>
  <c r="AJ537" i="1"/>
  <c r="AK537" i="1"/>
  <c r="AT537" i="1"/>
  <c r="AU537" i="1"/>
  <c r="AV537" i="1"/>
  <c r="AW537" i="1"/>
  <c r="AX537" i="1"/>
  <c r="AY537" i="1"/>
  <c r="AZ537" i="1"/>
  <c r="BA537" i="1"/>
  <c r="N538" i="1"/>
  <c r="O538" i="1"/>
  <c r="P538" i="1"/>
  <c r="Q538" i="1"/>
  <c r="R538" i="1"/>
  <c r="S538" i="1"/>
  <c r="T538" i="1"/>
  <c r="U538" i="1"/>
  <c r="AD538" i="1"/>
  <c r="AE538" i="1"/>
  <c r="AF538" i="1"/>
  <c r="AG538" i="1"/>
  <c r="AH538" i="1"/>
  <c r="AI538" i="1"/>
  <c r="AJ538" i="1"/>
  <c r="AK538" i="1"/>
  <c r="AT538" i="1"/>
  <c r="AU538" i="1"/>
  <c r="AV538" i="1"/>
  <c r="AW538" i="1"/>
  <c r="AX538" i="1"/>
  <c r="AY538" i="1"/>
  <c r="AZ538" i="1"/>
  <c r="BA538" i="1"/>
  <c r="N539" i="1"/>
  <c r="O539" i="1"/>
  <c r="P539" i="1"/>
  <c r="Q539" i="1"/>
  <c r="R539" i="1"/>
  <c r="S539" i="1"/>
  <c r="T539" i="1"/>
  <c r="U539" i="1"/>
  <c r="AD539" i="1"/>
  <c r="AE539" i="1"/>
  <c r="AF539" i="1"/>
  <c r="AG539" i="1"/>
  <c r="AH539" i="1"/>
  <c r="AI539" i="1"/>
  <c r="AJ539" i="1"/>
  <c r="AK539" i="1"/>
  <c r="AT539" i="1"/>
  <c r="AU539" i="1"/>
  <c r="AV539" i="1"/>
  <c r="AW539" i="1"/>
  <c r="AX539" i="1"/>
  <c r="AY539" i="1"/>
  <c r="AZ539" i="1"/>
  <c r="BA539" i="1"/>
  <c r="N540" i="1"/>
  <c r="O540" i="1"/>
  <c r="P540" i="1"/>
  <c r="Q540" i="1"/>
  <c r="R540" i="1"/>
  <c r="S540" i="1"/>
  <c r="T540" i="1"/>
  <c r="U540" i="1"/>
  <c r="AD540" i="1"/>
  <c r="AE540" i="1"/>
  <c r="AF540" i="1"/>
  <c r="AG540" i="1"/>
  <c r="AH540" i="1"/>
  <c r="AI540" i="1"/>
  <c r="AJ540" i="1"/>
  <c r="AK540" i="1"/>
  <c r="AT540" i="1"/>
  <c r="AU540" i="1"/>
  <c r="AV540" i="1"/>
  <c r="AW540" i="1"/>
  <c r="AX540" i="1"/>
  <c r="AY540" i="1"/>
  <c r="AZ540" i="1"/>
  <c r="BA540" i="1"/>
  <c r="N541" i="1"/>
  <c r="O541" i="1"/>
  <c r="P541" i="1"/>
  <c r="Q541" i="1"/>
  <c r="R541" i="1"/>
  <c r="S541" i="1"/>
  <c r="T541" i="1"/>
  <c r="U541" i="1"/>
  <c r="AD541" i="1"/>
  <c r="AE541" i="1"/>
  <c r="AF541" i="1"/>
  <c r="AG541" i="1"/>
  <c r="AH541" i="1"/>
  <c r="AI541" i="1"/>
  <c r="AJ541" i="1"/>
  <c r="AK541" i="1"/>
  <c r="AT541" i="1"/>
  <c r="AU541" i="1"/>
  <c r="AV541" i="1"/>
  <c r="AW541" i="1"/>
  <c r="AX541" i="1"/>
  <c r="AY541" i="1"/>
  <c r="AZ541" i="1"/>
  <c r="BA541" i="1"/>
  <c r="N542" i="1"/>
  <c r="O542" i="1"/>
  <c r="P542" i="1"/>
  <c r="Q542" i="1"/>
  <c r="R542" i="1"/>
  <c r="S542" i="1"/>
  <c r="T542" i="1"/>
  <c r="U542" i="1"/>
  <c r="AD542" i="1"/>
  <c r="AE542" i="1"/>
  <c r="AF542" i="1"/>
  <c r="AG542" i="1"/>
  <c r="AH542" i="1"/>
  <c r="AI542" i="1"/>
  <c r="AJ542" i="1"/>
  <c r="AK542" i="1"/>
  <c r="AT542" i="1"/>
  <c r="AU542" i="1"/>
  <c r="AV542" i="1"/>
  <c r="AW542" i="1"/>
  <c r="AX542" i="1"/>
  <c r="AY542" i="1"/>
  <c r="AZ542" i="1"/>
  <c r="BA542" i="1"/>
  <c r="N543" i="1"/>
  <c r="O543" i="1"/>
  <c r="P543" i="1"/>
  <c r="Q543" i="1"/>
  <c r="R543" i="1"/>
  <c r="S543" i="1"/>
  <c r="T543" i="1"/>
  <c r="U543" i="1"/>
  <c r="AD543" i="1"/>
  <c r="AE543" i="1"/>
  <c r="AF543" i="1"/>
  <c r="AG543" i="1"/>
  <c r="AH543" i="1"/>
  <c r="AI543" i="1"/>
  <c r="AJ543" i="1"/>
  <c r="AK543" i="1"/>
  <c r="AT543" i="1"/>
  <c r="AU543" i="1"/>
  <c r="AV543" i="1"/>
  <c r="AW543" i="1"/>
  <c r="AX543" i="1"/>
  <c r="AY543" i="1"/>
  <c r="AZ543" i="1"/>
  <c r="BA543" i="1"/>
  <c r="N544" i="1"/>
  <c r="O544" i="1"/>
  <c r="P544" i="1"/>
  <c r="Q544" i="1"/>
  <c r="R544" i="1"/>
  <c r="S544" i="1"/>
  <c r="T544" i="1"/>
  <c r="U544" i="1"/>
  <c r="AD544" i="1"/>
  <c r="AE544" i="1"/>
  <c r="AF544" i="1"/>
  <c r="AG544" i="1"/>
  <c r="AH544" i="1"/>
  <c r="AI544" i="1"/>
  <c r="AJ544" i="1"/>
  <c r="AK544" i="1"/>
  <c r="AT544" i="1"/>
  <c r="AU544" i="1"/>
  <c r="AV544" i="1"/>
  <c r="AW544" i="1"/>
  <c r="AX544" i="1"/>
  <c r="AY544" i="1"/>
  <c r="AZ544" i="1"/>
  <c r="BA544" i="1"/>
  <c r="N545" i="1"/>
  <c r="O545" i="1"/>
  <c r="P545" i="1"/>
  <c r="Q545" i="1"/>
  <c r="R545" i="1"/>
  <c r="S545" i="1"/>
  <c r="T545" i="1"/>
  <c r="U545" i="1"/>
  <c r="AD545" i="1"/>
  <c r="AE545" i="1"/>
  <c r="AF545" i="1"/>
  <c r="AG545" i="1"/>
  <c r="AH545" i="1"/>
  <c r="AI545" i="1"/>
  <c r="AJ545" i="1"/>
  <c r="AK545" i="1"/>
  <c r="AT545" i="1"/>
  <c r="AU545" i="1"/>
  <c r="AV545" i="1"/>
  <c r="AW545" i="1"/>
  <c r="AX545" i="1"/>
  <c r="AY545" i="1"/>
  <c r="AZ545" i="1"/>
  <c r="BA545" i="1"/>
  <c r="N546" i="1"/>
  <c r="O546" i="1"/>
  <c r="P546" i="1"/>
  <c r="Q546" i="1"/>
  <c r="R546" i="1"/>
  <c r="S546" i="1"/>
  <c r="T546" i="1"/>
  <c r="U546" i="1"/>
  <c r="AD546" i="1"/>
  <c r="AE546" i="1"/>
  <c r="AF546" i="1"/>
  <c r="AG546" i="1"/>
  <c r="AH546" i="1"/>
  <c r="AI546" i="1"/>
  <c r="AJ546" i="1"/>
  <c r="AK546" i="1"/>
  <c r="AT546" i="1"/>
  <c r="AU546" i="1"/>
  <c r="AV546" i="1"/>
  <c r="AW546" i="1"/>
  <c r="AX546" i="1"/>
  <c r="AY546" i="1"/>
  <c r="AZ546" i="1"/>
  <c r="BA546" i="1"/>
  <c r="N547" i="1"/>
  <c r="O547" i="1"/>
  <c r="P547" i="1"/>
  <c r="Q547" i="1"/>
  <c r="R547" i="1"/>
  <c r="S547" i="1"/>
  <c r="T547" i="1"/>
  <c r="U547" i="1"/>
  <c r="AD547" i="1"/>
  <c r="AE547" i="1"/>
  <c r="AF547" i="1"/>
  <c r="AG547" i="1"/>
  <c r="AH547" i="1"/>
  <c r="AI547" i="1"/>
  <c r="AJ547" i="1"/>
  <c r="AK547" i="1"/>
  <c r="AT547" i="1"/>
  <c r="AU547" i="1"/>
  <c r="AV547" i="1"/>
  <c r="AW547" i="1"/>
  <c r="AX547" i="1"/>
  <c r="AY547" i="1"/>
  <c r="AZ547" i="1"/>
  <c r="BA547" i="1"/>
  <c r="N548" i="1"/>
  <c r="O548" i="1"/>
  <c r="P548" i="1"/>
  <c r="Q548" i="1"/>
  <c r="R548" i="1"/>
  <c r="S548" i="1"/>
  <c r="T548" i="1"/>
  <c r="U548" i="1"/>
  <c r="AD548" i="1"/>
  <c r="AE548" i="1"/>
  <c r="AF548" i="1"/>
  <c r="AG548" i="1"/>
  <c r="AH548" i="1"/>
  <c r="AI548" i="1"/>
  <c r="AJ548" i="1"/>
  <c r="AK548" i="1"/>
  <c r="AT548" i="1"/>
  <c r="AU548" i="1"/>
  <c r="AV548" i="1"/>
  <c r="AW548" i="1"/>
  <c r="AX548" i="1"/>
  <c r="AY548" i="1"/>
  <c r="AZ548" i="1"/>
  <c r="BA548" i="1"/>
  <c r="N549" i="1"/>
  <c r="O549" i="1"/>
  <c r="P549" i="1"/>
  <c r="Q549" i="1"/>
  <c r="R549" i="1"/>
  <c r="S549" i="1"/>
  <c r="T549" i="1"/>
  <c r="U549" i="1"/>
  <c r="AD549" i="1"/>
  <c r="AE549" i="1"/>
  <c r="AF549" i="1"/>
  <c r="AG549" i="1"/>
  <c r="AH549" i="1"/>
  <c r="AI549" i="1"/>
  <c r="AJ549" i="1"/>
  <c r="AK549" i="1"/>
  <c r="AT549" i="1"/>
  <c r="AU549" i="1"/>
  <c r="AV549" i="1"/>
  <c r="AW549" i="1"/>
  <c r="AX549" i="1"/>
  <c r="AY549" i="1"/>
  <c r="AZ549" i="1"/>
  <c r="BA549" i="1"/>
  <c r="N550" i="1"/>
  <c r="O550" i="1"/>
  <c r="P550" i="1"/>
  <c r="Q550" i="1"/>
  <c r="R550" i="1"/>
  <c r="S550" i="1"/>
  <c r="T550" i="1"/>
  <c r="U550" i="1"/>
  <c r="AD550" i="1"/>
  <c r="AE550" i="1"/>
  <c r="AF550" i="1"/>
  <c r="AG550" i="1"/>
  <c r="AH550" i="1"/>
  <c r="AI550" i="1"/>
  <c r="AJ550" i="1"/>
  <c r="AK550" i="1"/>
  <c r="AT550" i="1"/>
  <c r="AU550" i="1"/>
  <c r="AV550" i="1"/>
  <c r="AW550" i="1"/>
  <c r="AX550" i="1"/>
  <c r="AY550" i="1"/>
  <c r="AZ550" i="1"/>
  <c r="BA550" i="1"/>
  <c r="N551" i="1"/>
  <c r="O551" i="1"/>
  <c r="P551" i="1"/>
  <c r="Q551" i="1"/>
  <c r="R551" i="1"/>
  <c r="S551" i="1"/>
  <c r="T551" i="1"/>
  <c r="U551" i="1"/>
  <c r="AD551" i="1"/>
  <c r="AE551" i="1"/>
  <c r="AF551" i="1"/>
  <c r="AG551" i="1"/>
  <c r="AH551" i="1"/>
  <c r="AI551" i="1"/>
  <c r="AJ551" i="1"/>
  <c r="AK551" i="1"/>
  <c r="AT551" i="1"/>
  <c r="AU551" i="1"/>
  <c r="AV551" i="1"/>
  <c r="AW551" i="1"/>
  <c r="AX551" i="1"/>
  <c r="AY551" i="1"/>
  <c r="AZ551" i="1"/>
  <c r="BA551" i="1"/>
  <c r="N552" i="1"/>
  <c r="O552" i="1"/>
  <c r="P552" i="1"/>
  <c r="Q552" i="1"/>
  <c r="R552" i="1"/>
  <c r="S552" i="1"/>
  <c r="T552" i="1"/>
  <c r="U552" i="1"/>
  <c r="AD552" i="1"/>
  <c r="AE552" i="1"/>
  <c r="AF552" i="1"/>
  <c r="AG552" i="1"/>
  <c r="AH552" i="1"/>
  <c r="AI552" i="1"/>
  <c r="AJ552" i="1"/>
  <c r="AK552" i="1"/>
  <c r="AT552" i="1"/>
  <c r="AU552" i="1"/>
  <c r="AV552" i="1"/>
  <c r="AW552" i="1"/>
  <c r="AX552" i="1"/>
  <c r="AY552" i="1"/>
  <c r="AZ552" i="1"/>
  <c r="BA552" i="1"/>
  <c r="N553" i="1"/>
  <c r="O553" i="1"/>
  <c r="P553" i="1"/>
  <c r="Q553" i="1"/>
  <c r="R553" i="1"/>
  <c r="S553" i="1"/>
  <c r="T553" i="1"/>
  <c r="U553" i="1"/>
  <c r="AD553" i="1"/>
  <c r="AE553" i="1"/>
  <c r="AF553" i="1"/>
  <c r="AG553" i="1"/>
  <c r="AH553" i="1"/>
  <c r="AI553" i="1"/>
  <c r="AJ553" i="1"/>
  <c r="AK553" i="1"/>
  <c r="AT553" i="1"/>
  <c r="AU553" i="1"/>
  <c r="AV553" i="1"/>
  <c r="AW553" i="1"/>
  <c r="AX553" i="1"/>
  <c r="AY553" i="1"/>
  <c r="AZ553" i="1"/>
  <c r="BA553" i="1"/>
  <c r="N554" i="1"/>
  <c r="O554" i="1"/>
  <c r="P554" i="1"/>
  <c r="Q554" i="1"/>
  <c r="R554" i="1"/>
  <c r="S554" i="1"/>
  <c r="T554" i="1"/>
  <c r="U554" i="1"/>
  <c r="AD554" i="1"/>
  <c r="AE554" i="1"/>
  <c r="AF554" i="1"/>
  <c r="AG554" i="1"/>
  <c r="AH554" i="1"/>
  <c r="AI554" i="1"/>
  <c r="AJ554" i="1"/>
  <c r="AK554" i="1"/>
  <c r="AT554" i="1"/>
  <c r="AU554" i="1"/>
  <c r="AV554" i="1"/>
  <c r="AW554" i="1"/>
  <c r="AX554" i="1"/>
  <c r="AY554" i="1"/>
  <c r="AZ554" i="1"/>
  <c r="BA554" i="1"/>
  <c r="N555" i="1"/>
  <c r="O555" i="1"/>
  <c r="P555" i="1"/>
  <c r="Q555" i="1"/>
  <c r="R555" i="1"/>
  <c r="S555" i="1"/>
  <c r="T555" i="1"/>
  <c r="U555" i="1"/>
  <c r="AD555" i="1"/>
  <c r="AE555" i="1"/>
  <c r="AF555" i="1"/>
  <c r="AG555" i="1"/>
  <c r="AH555" i="1"/>
  <c r="AI555" i="1"/>
  <c r="AJ555" i="1"/>
  <c r="AK555" i="1"/>
  <c r="AT555" i="1"/>
  <c r="AU555" i="1"/>
  <c r="AV555" i="1"/>
  <c r="AW555" i="1"/>
  <c r="AX555" i="1"/>
  <c r="AY555" i="1"/>
  <c r="AZ555" i="1"/>
  <c r="BA555" i="1"/>
  <c r="N556" i="1"/>
  <c r="O556" i="1"/>
  <c r="P556" i="1"/>
  <c r="Q556" i="1"/>
  <c r="R556" i="1"/>
  <c r="S556" i="1"/>
  <c r="T556" i="1"/>
  <c r="U556" i="1"/>
  <c r="AD556" i="1"/>
  <c r="AE556" i="1"/>
  <c r="AF556" i="1"/>
  <c r="AG556" i="1"/>
  <c r="AH556" i="1"/>
  <c r="AI556" i="1"/>
  <c r="AJ556" i="1"/>
  <c r="AK556" i="1"/>
  <c r="AT556" i="1"/>
  <c r="AU556" i="1"/>
  <c r="AV556" i="1"/>
  <c r="AW556" i="1"/>
  <c r="AX556" i="1"/>
  <c r="AY556" i="1"/>
  <c r="AZ556" i="1"/>
  <c r="BA556" i="1"/>
  <c r="N557" i="1"/>
  <c r="O557" i="1"/>
  <c r="P557" i="1"/>
  <c r="Q557" i="1"/>
  <c r="R557" i="1"/>
  <c r="S557" i="1"/>
  <c r="T557" i="1"/>
  <c r="U557" i="1"/>
  <c r="AD557" i="1"/>
  <c r="AE557" i="1"/>
  <c r="AF557" i="1"/>
  <c r="AG557" i="1"/>
  <c r="AH557" i="1"/>
  <c r="AI557" i="1"/>
  <c r="AJ557" i="1"/>
  <c r="AK557" i="1"/>
  <c r="AT557" i="1"/>
  <c r="AU557" i="1"/>
  <c r="AV557" i="1"/>
  <c r="AW557" i="1"/>
  <c r="AX557" i="1"/>
  <c r="AY557" i="1"/>
  <c r="AZ557" i="1"/>
  <c r="BA557" i="1"/>
  <c r="N558" i="1"/>
  <c r="O558" i="1"/>
  <c r="P558" i="1"/>
  <c r="Q558" i="1"/>
  <c r="R558" i="1"/>
  <c r="S558" i="1"/>
  <c r="T558" i="1"/>
  <c r="U558" i="1"/>
  <c r="AD558" i="1"/>
  <c r="AE558" i="1"/>
  <c r="AF558" i="1"/>
  <c r="AG558" i="1"/>
  <c r="AH558" i="1"/>
  <c r="AI558" i="1"/>
  <c r="AJ558" i="1"/>
  <c r="AK558" i="1"/>
  <c r="AT558" i="1"/>
  <c r="AU558" i="1"/>
  <c r="AV558" i="1"/>
  <c r="AW558" i="1"/>
  <c r="AX558" i="1"/>
  <c r="AY558" i="1"/>
  <c r="AZ558" i="1"/>
  <c r="BA558" i="1"/>
  <c r="N559" i="1"/>
  <c r="O559" i="1"/>
  <c r="P559" i="1"/>
  <c r="Q559" i="1"/>
  <c r="R559" i="1"/>
  <c r="S559" i="1"/>
  <c r="T559" i="1"/>
  <c r="U559" i="1"/>
  <c r="AD559" i="1"/>
  <c r="AE559" i="1"/>
  <c r="AF559" i="1"/>
  <c r="AG559" i="1"/>
  <c r="AH559" i="1"/>
  <c r="AI559" i="1"/>
  <c r="AJ559" i="1"/>
  <c r="AK559" i="1"/>
  <c r="AT559" i="1"/>
  <c r="AU559" i="1"/>
  <c r="AV559" i="1"/>
  <c r="AW559" i="1"/>
  <c r="AX559" i="1"/>
  <c r="AY559" i="1"/>
  <c r="AZ559" i="1"/>
  <c r="BA559" i="1"/>
  <c r="N560" i="1"/>
  <c r="O560" i="1"/>
  <c r="P560" i="1"/>
  <c r="Q560" i="1"/>
  <c r="R560" i="1"/>
  <c r="S560" i="1"/>
  <c r="T560" i="1"/>
  <c r="U560" i="1"/>
  <c r="AD560" i="1"/>
  <c r="AE560" i="1"/>
  <c r="AF560" i="1"/>
  <c r="AG560" i="1"/>
  <c r="AH560" i="1"/>
  <c r="AI560" i="1"/>
  <c r="AJ560" i="1"/>
  <c r="AK560" i="1"/>
  <c r="AT560" i="1"/>
  <c r="AU560" i="1"/>
  <c r="AV560" i="1"/>
  <c r="AW560" i="1"/>
  <c r="AX560" i="1"/>
  <c r="AY560" i="1"/>
  <c r="AZ560" i="1"/>
  <c r="BA560" i="1"/>
  <c r="N561" i="1"/>
  <c r="O561" i="1"/>
  <c r="P561" i="1"/>
  <c r="Q561" i="1"/>
  <c r="R561" i="1"/>
  <c r="S561" i="1"/>
  <c r="T561" i="1"/>
  <c r="U561" i="1"/>
  <c r="AD561" i="1"/>
  <c r="AE561" i="1"/>
  <c r="AF561" i="1"/>
  <c r="AG561" i="1"/>
  <c r="AH561" i="1"/>
  <c r="AI561" i="1"/>
  <c r="AJ561" i="1"/>
  <c r="AK561" i="1"/>
  <c r="AT561" i="1"/>
  <c r="AU561" i="1"/>
  <c r="AV561" i="1"/>
  <c r="AW561" i="1"/>
  <c r="AX561" i="1"/>
  <c r="AY561" i="1"/>
  <c r="AZ561" i="1"/>
  <c r="BA561" i="1"/>
  <c r="N562" i="1"/>
  <c r="O562" i="1"/>
  <c r="P562" i="1"/>
  <c r="Q562" i="1"/>
  <c r="R562" i="1"/>
  <c r="S562" i="1"/>
  <c r="T562" i="1"/>
  <c r="U562" i="1"/>
  <c r="AD562" i="1"/>
  <c r="AE562" i="1"/>
  <c r="AF562" i="1"/>
  <c r="AG562" i="1"/>
  <c r="AH562" i="1"/>
  <c r="AI562" i="1"/>
  <c r="AJ562" i="1"/>
  <c r="AK562" i="1"/>
  <c r="AT562" i="1"/>
  <c r="AU562" i="1"/>
  <c r="AV562" i="1"/>
  <c r="AW562" i="1"/>
  <c r="AX562" i="1"/>
  <c r="AY562" i="1"/>
  <c r="AZ562" i="1"/>
  <c r="BA562" i="1"/>
  <c r="N563" i="1"/>
  <c r="O563" i="1"/>
  <c r="P563" i="1"/>
  <c r="Q563" i="1"/>
  <c r="R563" i="1"/>
  <c r="S563" i="1"/>
  <c r="T563" i="1"/>
  <c r="U563" i="1"/>
  <c r="AD563" i="1"/>
  <c r="AE563" i="1"/>
  <c r="AF563" i="1"/>
  <c r="AG563" i="1"/>
  <c r="AH563" i="1"/>
  <c r="AI563" i="1"/>
  <c r="AJ563" i="1"/>
  <c r="AK563" i="1"/>
  <c r="AT563" i="1"/>
  <c r="AU563" i="1"/>
  <c r="AV563" i="1"/>
  <c r="AW563" i="1"/>
  <c r="AX563" i="1"/>
  <c r="AY563" i="1"/>
  <c r="AZ563" i="1"/>
  <c r="BA563" i="1"/>
  <c r="N564" i="1"/>
  <c r="O564" i="1"/>
  <c r="P564" i="1"/>
  <c r="Q564" i="1"/>
  <c r="R564" i="1"/>
  <c r="S564" i="1"/>
  <c r="T564" i="1"/>
  <c r="U564" i="1"/>
  <c r="AD564" i="1"/>
  <c r="AE564" i="1"/>
  <c r="AF564" i="1"/>
  <c r="AG564" i="1"/>
  <c r="AH564" i="1"/>
  <c r="AI564" i="1"/>
  <c r="AJ564" i="1"/>
  <c r="AK564" i="1"/>
  <c r="AT564" i="1"/>
  <c r="AU564" i="1"/>
  <c r="AV564" i="1"/>
  <c r="AW564" i="1"/>
  <c r="AX564" i="1"/>
  <c r="AY564" i="1"/>
  <c r="AZ564" i="1"/>
  <c r="BA564" i="1"/>
  <c r="N565" i="1"/>
  <c r="O565" i="1"/>
  <c r="P565" i="1"/>
  <c r="Q565" i="1"/>
  <c r="R565" i="1"/>
  <c r="S565" i="1"/>
  <c r="T565" i="1"/>
  <c r="U565" i="1"/>
  <c r="AD565" i="1"/>
  <c r="AE565" i="1"/>
  <c r="AF565" i="1"/>
  <c r="AG565" i="1"/>
  <c r="AH565" i="1"/>
  <c r="AI565" i="1"/>
  <c r="AJ565" i="1"/>
  <c r="AK565" i="1"/>
  <c r="AT565" i="1"/>
  <c r="AU565" i="1"/>
  <c r="AV565" i="1"/>
  <c r="AW565" i="1"/>
  <c r="AX565" i="1"/>
  <c r="AY565" i="1"/>
  <c r="AZ565" i="1"/>
  <c r="BA565" i="1"/>
  <c r="N566" i="1"/>
  <c r="O566" i="1"/>
  <c r="P566" i="1"/>
  <c r="Q566" i="1"/>
  <c r="R566" i="1"/>
  <c r="S566" i="1"/>
  <c r="T566" i="1"/>
  <c r="U566" i="1"/>
  <c r="AD566" i="1"/>
  <c r="AE566" i="1"/>
  <c r="AF566" i="1"/>
  <c r="AG566" i="1"/>
  <c r="AH566" i="1"/>
  <c r="AI566" i="1"/>
  <c r="AJ566" i="1"/>
  <c r="AK566" i="1"/>
  <c r="AT566" i="1"/>
  <c r="AU566" i="1"/>
  <c r="AV566" i="1"/>
  <c r="AW566" i="1"/>
  <c r="AX566" i="1"/>
  <c r="AY566" i="1"/>
  <c r="AZ566" i="1"/>
  <c r="BA566" i="1"/>
  <c r="N567" i="1"/>
  <c r="O567" i="1"/>
  <c r="P567" i="1"/>
  <c r="Q567" i="1"/>
  <c r="R567" i="1"/>
  <c r="S567" i="1"/>
  <c r="T567" i="1"/>
  <c r="U567" i="1"/>
  <c r="AD567" i="1"/>
  <c r="AE567" i="1"/>
  <c r="AF567" i="1"/>
  <c r="AG567" i="1"/>
  <c r="AH567" i="1"/>
  <c r="AI567" i="1"/>
  <c r="AJ567" i="1"/>
  <c r="AK567" i="1"/>
  <c r="AT567" i="1"/>
  <c r="AU567" i="1"/>
  <c r="AV567" i="1"/>
  <c r="AW567" i="1"/>
  <c r="AX567" i="1"/>
  <c r="AY567" i="1"/>
  <c r="AZ567" i="1"/>
  <c r="BA567" i="1"/>
  <c r="N568" i="1"/>
  <c r="O568" i="1"/>
  <c r="P568" i="1"/>
  <c r="Q568" i="1"/>
  <c r="R568" i="1"/>
  <c r="S568" i="1"/>
  <c r="T568" i="1"/>
  <c r="U568" i="1"/>
  <c r="AD568" i="1"/>
  <c r="AE568" i="1"/>
  <c r="AF568" i="1"/>
  <c r="AG568" i="1"/>
  <c r="AH568" i="1"/>
  <c r="AI568" i="1"/>
  <c r="AJ568" i="1"/>
  <c r="AK568" i="1"/>
  <c r="AT568" i="1"/>
  <c r="AU568" i="1"/>
  <c r="AV568" i="1"/>
  <c r="AW568" i="1"/>
  <c r="AX568" i="1"/>
  <c r="AY568" i="1"/>
  <c r="AZ568" i="1"/>
  <c r="BA568" i="1"/>
  <c r="N569" i="1"/>
  <c r="O569" i="1"/>
  <c r="P569" i="1"/>
  <c r="Q569" i="1"/>
  <c r="R569" i="1"/>
  <c r="S569" i="1"/>
  <c r="T569" i="1"/>
  <c r="U569" i="1"/>
  <c r="AD569" i="1"/>
  <c r="AE569" i="1"/>
  <c r="AF569" i="1"/>
  <c r="AG569" i="1"/>
  <c r="AH569" i="1"/>
  <c r="AI569" i="1"/>
  <c r="AJ569" i="1"/>
  <c r="AK569" i="1"/>
  <c r="AT569" i="1"/>
  <c r="AU569" i="1"/>
  <c r="AV569" i="1"/>
  <c r="AW569" i="1"/>
  <c r="AX569" i="1"/>
  <c r="AY569" i="1"/>
  <c r="AZ569" i="1"/>
  <c r="BA569" i="1"/>
  <c r="N570" i="1"/>
  <c r="O570" i="1"/>
  <c r="P570" i="1"/>
  <c r="Q570" i="1"/>
  <c r="R570" i="1"/>
  <c r="S570" i="1"/>
  <c r="T570" i="1"/>
  <c r="U570" i="1"/>
  <c r="AD570" i="1"/>
  <c r="AE570" i="1"/>
  <c r="AF570" i="1"/>
  <c r="AG570" i="1"/>
  <c r="AH570" i="1"/>
  <c r="AI570" i="1"/>
  <c r="AJ570" i="1"/>
  <c r="AK570" i="1"/>
  <c r="AT570" i="1"/>
  <c r="AU570" i="1"/>
  <c r="AV570" i="1"/>
  <c r="AW570" i="1"/>
  <c r="AX570" i="1"/>
  <c r="AY570" i="1"/>
  <c r="AZ570" i="1"/>
  <c r="BA570" i="1"/>
  <c r="N571" i="1"/>
  <c r="O571" i="1"/>
  <c r="P571" i="1"/>
  <c r="Q571" i="1"/>
  <c r="R571" i="1"/>
  <c r="S571" i="1"/>
  <c r="T571" i="1"/>
  <c r="U571" i="1"/>
  <c r="AD571" i="1"/>
  <c r="AE571" i="1"/>
  <c r="AF571" i="1"/>
  <c r="AG571" i="1"/>
  <c r="AH571" i="1"/>
  <c r="AI571" i="1"/>
  <c r="AJ571" i="1"/>
  <c r="AK571" i="1"/>
  <c r="AT571" i="1"/>
  <c r="AU571" i="1"/>
  <c r="AV571" i="1"/>
  <c r="AW571" i="1"/>
  <c r="AX571" i="1"/>
  <c r="AY571" i="1"/>
  <c r="AZ571" i="1"/>
  <c r="BA571" i="1"/>
  <c r="N572" i="1"/>
  <c r="O572" i="1"/>
  <c r="P572" i="1"/>
  <c r="Q572" i="1"/>
  <c r="R572" i="1"/>
  <c r="S572" i="1"/>
  <c r="T572" i="1"/>
  <c r="U572" i="1"/>
  <c r="AD572" i="1"/>
  <c r="AE572" i="1"/>
  <c r="AF572" i="1"/>
  <c r="AG572" i="1"/>
  <c r="AH572" i="1"/>
  <c r="AI572" i="1"/>
  <c r="AJ572" i="1"/>
  <c r="AK572" i="1"/>
  <c r="AT572" i="1"/>
  <c r="AU572" i="1"/>
  <c r="AV572" i="1"/>
  <c r="AW572" i="1"/>
  <c r="AX572" i="1"/>
  <c r="AY572" i="1"/>
  <c r="AZ572" i="1"/>
  <c r="BA572" i="1"/>
  <c r="N573" i="1"/>
  <c r="O573" i="1"/>
  <c r="P573" i="1"/>
  <c r="Q573" i="1"/>
  <c r="R573" i="1"/>
  <c r="S573" i="1"/>
  <c r="T573" i="1"/>
  <c r="U573" i="1"/>
  <c r="AD573" i="1"/>
  <c r="AE573" i="1"/>
  <c r="AF573" i="1"/>
  <c r="AG573" i="1"/>
  <c r="AH573" i="1"/>
  <c r="AI573" i="1"/>
  <c r="AJ573" i="1"/>
  <c r="AK573" i="1"/>
  <c r="AT573" i="1"/>
  <c r="AU573" i="1"/>
  <c r="AV573" i="1"/>
  <c r="AW573" i="1"/>
  <c r="AX573" i="1"/>
  <c r="AY573" i="1"/>
  <c r="AZ573" i="1"/>
  <c r="BA573" i="1"/>
  <c r="N574" i="1"/>
  <c r="O574" i="1"/>
  <c r="P574" i="1"/>
  <c r="Q574" i="1"/>
  <c r="R574" i="1"/>
  <c r="S574" i="1"/>
  <c r="T574" i="1"/>
  <c r="U574" i="1"/>
  <c r="AD574" i="1"/>
  <c r="AE574" i="1"/>
  <c r="AF574" i="1"/>
  <c r="AG574" i="1"/>
  <c r="AH574" i="1"/>
  <c r="AI574" i="1"/>
  <c r="AJ574" i="1"/>
  <c r="AK574" i="1"/>
  <c r="AT574" i="1"/>
  <c r="AU574" i="1"/>
  <c r="AV574" i="1"/>
  <c r="AW574" i="1"/>
  <c r="AX574" i="1"/>
  <c r="AY574" i="1"/>
  <c r="AZ574" i="1"/>
  <c r="BA574" i="1"/>
  <c r="N575" i="1"/>
  <c r="O575" i="1"/>
  <c r="P575" i="1"/>
  <c r="Q575" i="1"/>
  <c r="R575" i="1"/>
  <c r="S575" i="1"/>
  <c r="T575" i="1"/>
  <c r="U575" i="1"/>
  <c r="AD575" i="1"/>
  <c r="AE575" i="1"/>
  <c r="AF575" i="1"/>
  <c r="AG575" i="1"/>
  <c r="AH575" i="1"/>
  <c r="AI575" i="1"/>
  <c r="AJ575" i="1"/>
  <c r="AK575" i="1"/>
  <c r="AT575" i="1"/>
  <c r="AU575" i="1"/>
  <c r="AV575" i="1"/>
  <c r="AW575" i="1"/>
  <c r="AX575" i="1"/>
  <c r="AY575" i="1"/>
  <c r="AZ575" i="1"/>
  <c r="BA575" i="1"/>
  <c r="N576" i="1"/>
  <c r="O576" i="1"/>
  <c r="P576" i="1"/>
  <c r="Q576" i="1"/>
  <c r="R576" i="1"/>
  <c r="S576" i="1"/>
  <c r="T576" i="1"/>
  <c r="U576" i="1"/>
  <c r="AD576" i="1"/>
  <c r="AE576" i="1"/>
  <c r="AF576" i="1"/>
  <c r="AG576" i="1"/>
  <c r="AH576" i="1"/>
  <c r="AI576" i="1"/>
  <c r="AJ576" i="1"/>
  <c r="AK576" i="1"/>
  <c r="AT576" i="1"/>
  <c r="AU576" i="1"/>
  <c r="AV576" i="1"/>
  <c r="AW576" i="1"/>
  <c r="AX576" i="1"/>
  <c r="AY576" i="1"/>
  <c r="AZ576" i="1"/>
  <c r="BA576" i="1"/>
  <c r="N577" i="1"/>
  <c r="O577" i="1"/>
  <c r="P577" i="1"/>
  <c r="Q577" i="1"/>
  <c r="R577" i="1"/>
  <c r="S577" i="1"/>
  <c r="T577" i="1"/>
  <c r="U577" i="1"/>
  <c r="AD577" i="1"/>
  <c r="AE577" i="1"/>
  <c r="AF577" i="1"/>
  <c r="AG577" i="1"/>
  <c r="AH577" i="1"/>
  <c r="AI577" i="1"/>
  <c r="AJ577" i="1"/>
  <c r="AK577" i="1"/>
  <c r="AT577" i="1"/>
  <c r="AU577" i="1"/>
  <c r="AV577" i="1"/>
  <c r="AW577" i="1"/>
  <c r="AX577" i="1"/>
  <c r="AY577" i="1"/>
  <c r="AZ577" i="1"/>
  <c r="BA577" i="1"/>
  <c r="N578" i="1"/>
  <c r="O578" i="1"/>
  <c r="P578" i="1"/>
  <c r="Q578" i="1"/>
  <c r="R578" i="1"/>
  <c r="S578" i="1"/>
  <c r="T578" i="1"/>
  <c r="U578" i="1"/>
  <c r="AD578" i="1"/>
  <c r="AE578" i="1"/>
  <c r="AF578" i="1"/>
  <c r="AG578" i="1"/>
  <c r="AH578" i="1"/>
  <c r="AI578" i="1"/>
  <c r="AJ578" i="1"/>
  <c r="AK578" i="1"/>
  <c r="AT578" i="1"/>
  <c r="AU578" i="1"/>
  <c r="AV578" i="1"/>
  <c r="AW578" i="1"/>
  <c r="AX578" i="1"/>
  <c r="AY578" i="1"/>
  <c r="AZ578" i="1"/>
  <c r="BA578" i="1"/>
  <c r="N579" i="1"/>
  <c r="O579" i="1"/>
  <c r="P579" i="1"/>
  <c r="Q579" i="1"/>
  <c r="R579" i="1"/>
  <c r="S579" i="1"/>
  <c r="T579" i="1"/>
  <c r="U579" i="1"/>
  <c r="AD579" i="1"/>
  <c r="AE579" i="1"/>
  <c r="AF579" i="1"/>
  <c r="AG579" i="1"/>
  <c r="AH579" i="1"/>
  <c r="AI579" i="1"/>
  <c r="AJ579" i="1"/>
  <c r="AK579" i="1"/>
  <c r="AT579" i="1"/>
  <c r="AU579" i="1"/>
  <c r="AV579" i="1"/>
  <c r="AW579" i="1"/>
  <c r="AX579" i="1"/>
  <c r="AY579" i="1"/>
  <c r="AZ579" i="1"/>
  <c r="BA579" i="1"/>
  <c r="N580" i="1"/>
  <c r="O580" i="1"/>
  <c r="P580" i="1"/>
  <c r="Q580" i="1"/>
  <c r="R580" i="1"/>
  <c r="S580" i="1"/>
  <c r="T580" i="1"/>
  <c r="U580" i="1"/>
  <c r="AD580" i="1"/>
  <c r="AE580" i="1"/>
  <c r="AF580" i="1"/>
  <c r="AG580" i="1"/>
  <c r="AH580" i="1"/>
  <c r="AI580" i="1"/>
  <c r="AJ580" i="1"/>
  <c r="AK580" i="1"/>
  <c r="AT580" i="1"/>
  <c r="AU580" i="1"/>
  <c r="AV580" i="1"/>
  <c r="AW580" i="1"/>
  <c r="AX580" i="1"/>
  <c r="AY580" i="1"/>
  <c r="AZ580" i="1"/>
  <c r="BA580" i="1"/>
  <c r="N581" i="1"/>
  <c r="O581" i="1"/>
  <c r="P581" i="1"/>
  <c r="Q581" i="1"/>
  <c r="R581" i="1"/>
  <c r="S581" i="1"/>
  <c r="T581" i="1"/>
  <c r="U581" i="1"/>
  <c r="AD581" i="1"/>
  <c r="AE581" i="1"/>
  <c r="AF581" i="1"/>
  <c r="AG581" i="1"/>
  <c r="AH581" i="1"/>
  <c r="AI581" i="1"/>
  <c r="AJ581" i="1"/>
  <c r="AK581" i="1"/>
  <c r="AT581" i="1"/>
  <c r="AU581" i="1"/>
  <c r="AV581" i="1"/>
  <c r="AW581" i="1"/>
  <c r="AX581" i="1"/>
  <c r="AY581" i="1"/>
  <c r="AZ581" i="1"/>
  <c r="BA581" i="1"/>
  <c r="N582" i="1"/>
  <c r="O582" i="1"/>
  <c r="P582" i="1"/>
  <c r="Q582" i="1"/>
  <c r="R582" i="1"/>
  <c r="S582" i="1"/>
  <c r="T582" i="1"/>
  <c r="U582" i="1"/>
  <c r="AD582" i="1"/>
  <c r="AE582" i="1"/>
  <c r="AF582" i="1"/>
  <c r="AG582" i="1"/>
  <c r="AH582" i="1"/>
  <c r="AI582" i="1"/>
  <c r="AJ582" i="1"/>
  <c r="AK582" i="1"/>
  <c r="AT582" i="1"/>
  <c r="AU582" i="1"/>
  <c r="AV582" i="1"/>
  <c r="AW582" i="1"/>
  <c r="AX582" i="1"/>
  <c r="AY582" i="1"/>
  <c r="AZ582" i="1"/>
  <c r="BA582" i="1"/>
  <c r="N583" i="1"/>
  <c r="O583" i="1"/>
  <c r="P583" i="1"/>
  <c r="Q583" i="1"/>
  <c r="R583" i="1"/>
  <c r="S583" i="1"/>
  <c r="T583" i="1"/>
  <c r="U583" i="1"/>
  <c r="AD583" i="1"/>
  <c r="AE583" i="1"/>
  <c r="AF583" i="1"/>
  <c r="AG583" i="1"/>
  <c r="AH583" i="1"/>
  <c r="AI583" i="1"/>
  <c r="AJ583" i="1"/>
  <c r="AK583" i="1"/>
  <c r="AT583" i="1"/>
  <c r="AU583" i="1"/>
  <c r="AV583" i="1"/>
  <c r="AW583" i="1"/>
  <c r="AX583" i="1"/>
  <c r="AY583" i="1"/>
  <c r="AZ583" i="1"/>
  <c r="BA583" i="1"/>
  <c r="N584" i="1"/>
  <c r="O584" i="1"/>
  <c r="P584" i="1"/>
  <c r="Q584" i="1"/>
  <c r="R584" i="1"/>
  <c r="S584" i="1"/>
  <c r="T584" i="1"/>
  <c r="U584" i="1"/>
  <c r="AD584" i="1"/>
  <c r="AE584" i="1"/>
  <c r="AF584" i="1"/>
  <c r="AG584" i="1"/>
  <c r="AH584" i="1"/>
  <c r="AI584" i="1"/>
  <c r="AJ584" i="1"/>
  <c r="AK584" i="1"/>
  <c r="AT584" i="1"/>
  <c r="AU584" i="1"/>
  <c r="AV584" i="1"/>
  <c r="AW584" i="1"/>
  <c r="AX584" i="1"/>
  <c r="AY584" i="1"/>
  <c r="AZ584" i="1"/>
  <c r="BA584" i="1"/>
  <c r="N585" i="1"/>
  <c r="O585" i="1"/>
  <c r="P585" i="1"/>
  <c r="Q585" i="1"/>
  <c r="R585" i="1"/>
  <c r="S585" i="1"/>
  <c r="T585" i="1"/>
  <c r="U585" i="1"/>
  <c r="AD585" i="1"/>
  <c r="AE585" i="1"/>
  <c r="AF585" i="1"/>
  <c r="AG585" i="1"/>
  <c r="AH585" i="1"/>
  <c r="AI585" i="1"/>
  <c r="AJ585" i="1"/>
  <c r="AK585" i="1"/>
  <c r="AT585" i="1"/>
  <c r="AU585" i="1"/>
  <c r="AV585" i="1"/>
  <c r="AW585" i="1"/>
  <c r="AX585" i="1"/>
  <c r="AY585" i="1"/>
  <c r="AZ585" i="1"/>
  <c r="BA585" i="1"/>
  <c r="N586" i="1"/>
  <c r="O586" i="1"/>
  <c r="P586" i="1"/>
  <c r="Q586" i="1"/>
  <c r="R586" i="1"/>
  <c r="S586" i="1"/>
  <c r="T586" i="1"/>
  <c r="U586" i="1"/>
  <c r="AD586" i="1"/>
  <c r="AE586" i="1"/>
  <c r="AF586" i="1"/>
  <c r="AG586" i="1"/>
  <c r="AH586" i="1"/>
  <c r="AI586" i="1"/>
  <c r="AJ586" i="1"/>
  <c r="AK586" i="1"/>
  <c r="AT586" i="1"/>
  <c r="AU586" i="1"/>
  <c r="AV586" i="1"/>
  <c r="AW586" i="1"/>
  <c r="AX586" i="1"/>
  <c r="AY586" i="1"/>
  <c r="AZ586" i="1"/>
  <c r="BA586" i="1"/>
  <c r="N587" i="1"/>
  <c r="O587" i="1"/>
  <c r="P587" i="1"/>
  <c r="Q587" i="1"/>
  <c r="R587" i="1"/>
  <c r="S587" i="1"/>
  <c r="T587" i="1"/>
  <c r="U587" i="1"/>
  <c r="AD587" i="1"/>
  <c r="AE587" i="1"/>
  <c r="AF587" i="1"/>
  <c r="AG587" i="1"/>
  <c r="AH587" i="1"/>
  <c r="AI587" i="1"/>
  <c r="AJ587" i="1"/>
  <c r="AK587" i="1"/>
  <c r="AT587" i="1"/>
  <c r="AU587" i="1"/>
  <c r="AV587" i="1"/>
  <c r="AW587" i="1"/>
  <c r="AX587" i="1"/>
  <c r="AY587" i="1"/>
  <c r="AZ587" i="1"/>
  <c r="BA587" i="1"/>
  <c r="N588" i="1"/>
  <c r="O588" i="1"/>
  <c r="P588" i="1"/>
  <c r="Q588" i="1"/>
  <c r="R588" i="1"/>
  <c r="S588" i="1"/>
  <c r="T588" i="1"/>
  <c r="U588" i="1"/>
  <c r="AD588" i="1"/>
  <c r="AE588" i="1"/>
  <c r="AF588" i="1"/>
  <c r="AG588" i="1"/>
  <c r="AH588" i="1"/>
  <c r="AI588" i="1"/>
  <c r="AJ588" i="1"/>
  <c r="AK588" i="1"/>
  <c r="AT588" i="1"/>
  <c r="AU588" i="1"/>
  <c r="AV588" i="1"/>
  <c r="AW588" i="1"/>
  <c r="AX588" i="1"/>
  <c r="AY588" i="1"/>
  <c r="AZ588" i="1"/>
  <c r="BA588" i="1"/>
  <c r="N589" i="1"/>
  <c r="O589" i="1"/>
  <c r="P589" i="1"/>
  <c r="Q589" i="1"/>
  <c r="R589" i="1"/>
  <c r="S589" i="1"/>
  <c r="T589" i="1"/>
  <c r="U589" i="1"/>
  <c r="AD589" i="1"/>
  <c r="AE589" i="1"/>
  <c r="AF589" i="1"/>
  <c r="AG589" i="1"/>
  <c r="AH589" i="1"/>
  <c r="AI589" i="1"/>
  <c r="AJ589" i="1"/>
  <c r="AK589" i="1"/>
  <c r="AT589" i="1"/>
  <c r="AU589" i="1"/>
  <c r="AV589" i="1"/>
  <c r="AW589" i="1"/>
  <c r="AX589" i="1"/>
  <c r="AY589" i="1"/>
  <c r="AZ589" i="1"/>
  <c r="BA589" i="1"/>
  <c r="N590" i="1"/>
  <c r="O590" i="1"/>
  <c r="P590" i="1"/>
  <c r="Q590" i="1"/>
  <c r="R590" i="1"/>
  <c r="S590" i="1"/>
  <c r="T590" i="1"/>
  <c r="U590" i="1"/>
  <c r="AD590" i="1"/>
  <c r="AE590" i="1"/>
  <c r="AF590" i="1"/>
  <c r="AG590" i="1"/>
  <c r="AH590" i="1"/>
  <c r="AI590" i="1"/>
  <c r="AJ590" i="1"/>
  <c r="AK590" i="1"/>
  <c r="AT590" i="1"/>
  <c r="AU590" i="1"/>
  <c r="AV590" i="1"/>
  <c r="AW590" i="1"/>
  <c r="AX590" i="1"/>
  <c r="AY590" i="1"/>
  <c r="AZ590" i="1"/>
  <c r="BA590" i="1"/>
  <c r="N591" i="1"/>
  <c r="O591" i="1"/>
  <c r="P591" i="1"/>
  <c r="Q591" i="1"/>
  <c r="R591" i="1"/>
  <c r="S591" i="1"/>
  <c r="T591" i="1"/>
  <c r="U591" i="1"/>
  <c r="AD591" i="1"/>
  <c r="AE591" i="1"/>
  <c r="AF591" i="1"/>
  <c r="AG591" i="1"/>
  <c r="AH591" i="1"/>
  <c r="AI591" i="1"/>
  <c r="AJ591" i="1"/>
  <c r="AK591" i="1"/>
  <c r="AT591" i="1"/>
  <c r="AU591" i="1"/>
  <c r="AV591" i="1"/>
  <c r="AW591" i="1"/>
  <c r="AX591" i="1"/>
  <c r="AY591" i="1"/>
  <c r="AZ591" i="1"/>
  <c r="BA591" i="1"/>
  <c r="N592" i="1"/>
  <c r="O592" i="1"/>
  <c r="P592" i="1"/>
  <c r="Q592" i="1"/>
  <c r="R592" i="1"/>
  <c r="S592" i="1"/>
  <c r="T592" i="1"/>
  <c r="U592" i="1"/>
  <c r="AD592" i="1"/>
  <c r="AE592" i="1"/>
  <c r="AF592" i="1"/>
  <c r="AG592" i="1"/>
  <c r="AH592" i="1"/>
  <c r="AI592" i="1"/>
  <c r="AJ592" i="1"/>
  <c r="AK592" i="1"/>
  <c r="AT592" i="1"/>
  <c r="AU592" i="1"/>
  <c r="AV592" i="1"/>
  <c r="AW592" i="1"/>
  <c r="AX592" i="1"/>
  <c r="AY592" i="1"/>
  <c r="AZ592" i="1"/>
  <c r="BA592" i="1"/>
  <c r="N593" i="1"/>
  <c r="O593" i="1"/>
  <c r="P593" i="1"/>
  <c r="Q593" i="1"/>
  <c r="R593" i="1"/>
  <c r="S593" i="1"/>
  <c r="T593" i="1"/>
  <c r="U593" i="1"/>
  <c r="AD593" i="1"/>
  <c r="AE593" i="1"/>
  <c r="AF593" i="1"/>
  <c r="AG593" i="1"/>
  <c r="AH593" i="1"/>
  <c r="AI593" i="1"/>
  <c r="AJ593" i="1"/>
  <c r="AK593" i="1"/>
  <c r="AT593" i="1"/>
  <c r="AU593" i="1"/>
  <c r="AV593" i="1"/>
  <c r="AW593" i="1"/>
  <c r="AX593" i="1"/>
  <c r="AY593" i="1"/>
  <c r="AZ593" i="1"/>
  <c r="BA593" i="1"/>
  <c r="N594" i="1"/>
  <c r="O594" i="1"/>
  <c r="P594" i="1"/>
  <c r="Q594" i="1"/>
  <c r="R594" i="1"/>
  <c r="S594" i="1"/>
  <c r="T594" i="1"/>
  <c r="U594" i="1"/>
  <c r="AD594" i="1"/>
  <c r="AE594" i="1"/>
  <c r="AF594" i="1"/>
  <c r="AG594" i="1"/>
  <c r="AH594" i="1"/>
  <c r="AI594" i="1"/>
  <c r="AJ594" i="1"/>
  <c r="AK594" i="1"/>
  <c r="AT594" i="1"/>
  <c r="AU594" i="1"/>
  <c r="AV594" i="1"/>
  <c r="AW594" i="1"/>
  <c r="AX594" i="1"/>
  <c r="AY594" i="1"/>
  <c r="AZ594" i="1"/>
  <c r="BA594" i="1"/>
  <c r="N595" i="1"/>
  <c r="O595" i="1"/>
  <c r="P595" i="1"/>
  <c r="Q595" i="1"/>
  <c r="R595" i="1"/>
  <c r="S595" i="1"/>
  <c r="T595" i="1"/>
  <c r="U595" i="1"/>
  <c r="AD595" i="1"/>
  <c r="AE595" i="1"/>
  <c r="AF595" i="1"/>
  <c r="AG595" i="1"/>
  <c r="AH595" i="1"/>
  <c r="AI595" i="1"/>
  <c r="AJ595" i="1"/>
  <c r="AK595" i="1"/>
  <c r="AT595" i="1"/>
  <c r="AU595" i="1"/>
  <c r="AV595" i="1"/>
  <c r="AW595" i="1"/>
  <c r="AX595" i="1"/>
  <c r="AY595" i="1"/>
  <c r="AZ595" i="1"/>
  <c r="BA595" i="1"/>
  <c r="N596" i="1"/>
  <c r="O596" i="1"/>
  <c r="P596" i="1"/>
  <c r="Q596" i="1"/>
  <c r="R596" i="1"/>
  <c r="S596" i="1"/>
  <c r="T596" i="1"/>
  <c r="U596" i="1"/>
  <c r="AD596" i="1"/>
  <c r="AE596" i="1"/>
  <c r="AF596" i="1"/>
  <c r="AG596" i="1"/>
  <c r="AH596" i="1"/>
  <c r="AI596" i="1"/>
  <c r="AJ596" i="1"/>
  <c r="AK596" i="1"/>
  <c r="AT596" i="1"/>
  <c r="AU596" i="1"/>
  <c r="AV596" i="1"/>
  <c r="AW596" i="1"/>
  <c r="AX596" i="1"/>
  <c r="AY596" i="1"/>
  <c r="AZ596" i="1"/>
  <c r="BA596" i="1"/>
  <c r="N597" i="1"/>
  <c r="O597" i="1"/>
  <c r="P597" i="1"/>
  <c r="Q597" i="1"/>
  <c r="R597" i="1"/>
  <c r="S597" i="1"/>
  <c r="T597" i="1"/>
  <c r="U597" i="1"/>
  <c r="AD597" i="1"/>
  <c r="AE597" i="1"/>
  <c r="AF597" i="1"/>
  <c r="AG597" i="1"/>
  <c r="AH597" i="1"/>
  <c r="AI597" i="1"/>
  <c r="AJ597" i="1"/>
  <c r="AK597" i="1"/>
  <c r="AT597" i="1"/>
  <c r="AU597" i="1"/>
  <c r="AV597" i="1"/>
  <c r="AW597" i="1"/>
  <c r="AX597" i="1"/>
  <c r="AY597" i="1"/>
  <c r="AZ597" i="1"/>
  <c r="BA597" i="1"/>
  <c r="N598" i="1"/>
  <c r="O598" i="1"/>
  <c r="P598" i="1"/>
  <c r="Q598" i="1"/>
  <c r="R598" i="1"/>
  <c r="S598" i="1"/>
  <c r="T598" i="1"/>
  <c r="U598" i="1"/>
  <c r="AD598" i="1"/>
  <c r="AE598" i="1"/>
  <c r="AF598" i="1"/>
  <c r="AG598" i="1"/>
  <c r="AH598" i="1"/>
  <c r="AI598" i="1"/>
  <c r="AJ598" i="1"/>
  <c r="AK598" i="1"/>
  <c r="AT598" i="1"/>
  <c r="AU598" i="1"/>
  <c r="AV598" i="1"/>
  <c r="AW598" i="1"/>
  <c r="AX598" i="1"/>
  <c r="AY598" i="1"/>
  <c r="AZ598" i="1"/>
  <c r="BA598" i="1"/>
  <c r="N599" i="1"/>
  <c r="O599" i="1"/>
  <c r="P599" i="1"/>
  <c r="Q599" i="1"/>
  <c r="R599" i="1"/>
  <c r="S599" i="1"/>
  <c r="T599" i="1"/>
  <c r="U599" i="1"/>
  <c r="AD599" i="1"/>
  <c r="AE599" i="1"/>
  <c r="AF599" i="1"/>
  <c r="AG599" i="1"/>
  <c r="AH599" i="1"/>
  <c r="AI599" i="1"/>
  <c r="AJ599" i="1"/>
  <c r="AK599" i="1"/>
  <c r="AT599" i="1"/>
  <c r="AU599" i="1"/>
  <c r="AV599" i="1"/>
  <c r="AW599" i="1"/>
  <c r="AX599" i="1"/>
  <c r="AY599" i="1"/>
  <c r="AZ599" i="1"/>
  <c r="BA599" i="1"/>
  <c r="N600" i="1"/>
  <c r="O600" i="1"/>
  <c r="P600" i="1"/>
  <c r="Q600" i="1"/>
  <c r="R600" i="1"/>
  <c r="S600" i="1"/>
  <c r="T600" i="1"/>
  <c r="U600" i="1"/>
  <c r="AD600" i="1"/>
  <c r="AE600" i="1"/>
  <c r="AF600" i="1"/>
  <c r="AG600" i="1"/>
  <c r="AH600" i="1"/>
  <c r="AI600" i="1"/>
  <c r="AJ600" i="1"/>
  <c r="AK600" i="1"/>
  <c r="AT600" i="1"/>
  <c r="AU600" i="1"/>
  <c r="AV600" i="1"/>
  <c r="AW600" i="1"/>
  <c r="AX600" i="1"/>
  <c r="AY600" i="1"/>
  <c r="AZ600" i="1"/>
  <c r="BA600" i="1"/>
  <c r="N601" i="1"/>
  <c r="O601" i="1"/>
  <c r="P601" i="1"/>
  <c r="Q601" i="1"/>
  <c r="R601" i="1"/>
  <c r="S601" i="1"/>
  <c r="T601" i="1"/>
  <c r="U601" i="1"/>
  <c r="AD601" i="1"/>
  <c r="AE601" i="1"/>
  <c r="AF601" i="1"/>
  <c r="AG601" i="1"/>
  <c r="AH601" i="1"/>
  <c r="AI601" i="1"/>
  <c r="AJ601" i="1"/>
  <c r="AK601" i="1"/>
  <c r="AT601" i="1"/>
  <c r="AU601" i="1"/>
  <c r="AV601" i="1"/>
  <c r="AW601" i="1"/>
  <c r="AX601" i="1"/>
  <c r="AY601" i="1"/>
  <c r="AZ601" i="1"/>
  <c r="BA601" i="1"/>
  <c r="N602" i="1"/>
  <c r="O602" i="1"/>
  <c r="P602" i="1"/>
  <c r="Q602" i="1"/>
  <c r="R602" i="1"/>
  <c r="S602" i="1"/>
  <c r="T602" i="1"/>
  <c r="U602" i="1"/>
  <c r="AD602" i="1"/>
  <c r="AE602" i="1"/>
  <c r="AF602" i="1"/>
  <c r="AG602" i="1"/>
  <c r="AH602" i="1"/>
  <c r="AI602" i="1"/>
  <c r="AJ602" i="1"/>
  <c r="AK602" i="1"/>
  <c r="AT602" i="1"/>
  <c r="AU602" i="1"/>
  <c r="AV602" i="1"/>
  <c r="AW602" i="1"/>
  <c r="AX602" i="1"/>
  <c r="AY602" i="1"/>
  <c r="AZ602" i="1"/>
  <c r="BA602" i="1"/>
  <c r="BA4" i="1"/>
  <c r="AZ4" i="1"/>
  <c r="AY4" i="1"/>
  <c r="X611" i="1" s="1"/>
  <c r="AX4" i="1"/>
  <c r="AW4" i="1"/>
  <c r="AV4" i="1"/>
  <c r="AU4" i="1"/>
  <c r="X639" i="1" s="1"/>
  <c r="AT4" i="1"/>
  <c r="AK4" i="1"/>
  <c r="AJ4" i="1"/>
  <c r="AI4" i="1"/>
  <c r="T611" i="1" s="1"/>
  <c r="AH4" i="1"/>
  <c r="AG4" i="1"/>
  <c r="AF4" i="1"/>
  <c r="AE4" i="1"/>
  <c r="T610" i="1" s="1"/>
  <c r="AD4" i="1"/>
  <c r="U4" i="1"/>
  <c r="T4" i="1"/>
  <c r="S4" i="1"/>
  <c r="S603" i="1" s="1"/>
  <c r="R4" i="1"/>
  <c r="Q4" i="1"/>
  <c r="P4" i="1"/>
  <c r="O4" i="1"/>
  <c r="P610" i="1" s="1"/>
  <c r="N4" i="1"/>
  <c r="O639" i="1" l="1"/>
  <c r="S639" i="1"/>
  <c r="W639" i="1"/>
  <c r="R608" i="1"/>
  <c r="R609" i="1"/>
  <c r="AO603" i="1"/>
  <c r="V638" i="1"/>
  <c r="V642" i="1" s="1"/>
  <c r="Z637" i="1"/>
  <c r="Z638" i="1"/>
  <c r="W603" i="1"/>
  <c r="AA603" i="1"/>
  <c r="R639" i="1"/>
  <c r="R640" i="1"/>
  <c r="V639" i="1"/>
  <c r="V640" i="1"/>
  <c r="Z639" i="1"/>
  <c r="Z640" i="1"/>
  <c r="Q637" i="1"/>
  <c r="Q638" i="1"/>
  <c r="Q647" i="1" s="1"/>
  <c r="U637" i="1"/>
  <c r="U638" i="1"/>
  <c r="BD603" i="1"/>
  <c r="Y638" i="1"/>
  <c r="P638" i="1"/>
  <c r="O637" i="1"/>
  <c r="S637" i="1"/>
  <c r="S638" i="1"/>
  <c r="W637" i="1"/>
  <c r="W638" i="1"/>
  <c r="P637" i="1"/>
  <c r="O638" i="1"/>
  <c r="Q639" i="1"/>
  <c r="U639" i="1"/>
  <c r="Y639" i="1"/>
  <c r="Y640" i="1"/>
  <c r="Y647" i="1" s="1"/>
  <c r="O608" i="1"/>
  <c r="S608" i="1"/>
  <c r="T603" i="1"/>
  <c r="R603" i="1"/>
  <c r="AH603" i="1"/>
  <c r="AX603" i="1"/>
  <c r="BA603" i="1"/>
  <c r="AW603" i="1"/>
  <c r="AK603" i="1"/>
  <c r="AG603" i="1"/>
  <c r="U603" i="1"/>
  <c r="Q603" i="1"/>
  <c r="BI603" i="1"/>
  <c r="Z603" i="1"/>
  <c r="O640" i="1"/>
  <c r="S640" i="1"/>
  <c r="S647" i="1" s="1"/>
  <c r="W640" i="1"/>
  <c r="W608" i="1"/>
  <c r="P639" i="1"/>
  <c r="T639" i="1"/>
  <c r="P640" i="1"/>
  <c r="T640" i="1"/>
  <c r="X640" i="1"/>
  <c r="X647" i="1" s="1"/>
  <c r="AJ603" i="1"/>
  <c r="Y603" i="1"/>
  <c r="U611" i="1"/>
  <c r="AS603" i="1"/>
  <c r="V608" i="1"/>
  <c r="Y637" i="1"/>
  <c r="Q640" i="1"/>
  <c r="U640" i="1"/>
  <c r="U647" i="1" s="1"/>
  <c r="O623" i="1"/>
  <c r="O627" i="1" s="1"/>
  <c r="Y611" i="1"/>
  <c r="AC603" i="1"/>
  <c r="AM603" i="1"/>
  <c r="AQ603" i="1"/>
  <c r="BC603" i="1"/>
  <c r="BG603" i="1"/>
  <c r="BH603" i="1"/>
  <c r="V609" i="1"/>
  <c r="R637" i="1"/>
  <c r="V637" i="1"/>
  <c r="R638" i="1"/>
  <c r="R642" i="1" s="1"/>
  <c r="R614" i="1"/>
  <c r="O625" i="1"/>
  <c r="S625" i="1"/>
  <c r="S655" i="1" s="1"/>
  <c r="T615" i="1"/>
  <c r="Q625" i="1"/>
  <c r="Q655" i="1" s="1"/>
  <c r="U625" i="1"/>
  <c r="Y625" i="1"/>
  <c r="R625" i="1"/>
  <c r="R655" i="1" s="1"/>
  <c r="R626" i="1"/>
  <c r="V625" i="1"/>
  <c r="V626" i="1"/>
  <c r="Z625" i="1"/>
  <c r="Z655" i="1" s="1"/>
  <c r="Z610" i="1"/>
  <c r="Z626" i="1"/>
  <c r="AY603" i="1"/>
  <c r="AU603" i="1"/>
  <c r="AD603" i="1"/>
  <c r="V603" i="1"/>
  <c r="O624" i="1"/>
  <c r="S624" i="1"/>
  <c r="W624" i="1"/>
  <c r="BE603" i="1"/>
  <c r="O609" i="1"/>
  <c r="O614" i="1" s="1"/>
  <c r="S609" i="1"/>
  <c r="W609" i="1"/>
  <c r="R610" i="1"/>
  <c r="U610" i="1"/>
  <c r="R611" i="1"/>
  <c r="T623" i="1"/>
  <c r="T652" i="1" s="1"/>
  <c r="X624" i="1"/>
  <c r="X653" i="1" s="1"/>
  <c r="P626" i="1"/>
  <c r="P656" i="1" s="1"/>
  <c r="W625" i="1"/>
  <c r="AB603" i="1"/>
  <c r="X603" i="1"/>
  <c r="P608" i="1"/>
  <c r="P617" i="1" s="1"/>
  <c r="X608" i="1"/>
  <c r="X609" i="1"/>
  <c r="X613" i="1" s="1"/>
  <c r="Q610" i="1"/>
  <c r="W610" i="1"/>
  <c r="W612" i="1" s="1"/>
  <c r="Q611" i="1"/>
  <c r="Z611" i="1"/>
  <c r="X623" i="1"/>
  <c r="P625" i="1"/>
  <c r="T626" i="1"/>
  <c r="T656" i="1" s="1"/>
  <c r="X646" i="1"/>
  <c r="S611" i="1"/>
  <c r="S626" i="1"/>
  <c r="AF603" i="1"/>
  <c r="P603" i="1"/>
  <c r="Q623" i="1"/>
  <c r="Q624" i="1"/>
  <c r="U623" i="1"/>
  <c r="U652" i="1" s="1"/>
  <c r="U624" i="1"/>
  <c r="Y623" i="1"/>
  <c r="Y652" i="1" s="1"/>
  <c r="Y624" i="1"/>
  <c r="U608" i="1"/>
  <c r="Y608" i="1"/>
  <c r="Q609" i="1"/>
  <c r="U609" i="1"/>
  <c r="U613" i="1" s="1"/>
  <c r="Y609" i="1"/>
  <c r="Y613" i="1" s="1"/>
  <c r="S610" i="1"/>
  <c r="X610" i="1"/>
  <c r="P611" i="1"/>
  <c r="P615" i="1" s="1"/>
  <c r="P623" i="1"/>
  <c r="P624" i="1"/>
  <c r="T625" i="1"/>
  <c r="X626" i="1"/>
  <c r="P642" i="1"/>
  <c r="O626" i="1"/>
  <c r="W611" i="1"/>
  <c r="W647" i="1"/>
  <c r="W626" i="1"/>
  <c r="N603" i="1"/>
  <c r="AT603" i="1"/>
  <c r="Q626" i="1"/>
  <c r="U626" i="1"/>
  <c r="U630" i="1" s="1"/>
  <c r="Y626" i="1"/>
  <c r="AZ603" i="1"/>
  <c r="AV603" i="1"/>
  <c r="AR603" i="1"/>
  <c r="AI603" i="1"/>
  <c r="AE603" i="1"/>
  <c r="O603" i="1"/>
  <c r="R623" i="1"/>
  <c r="R624" i="1"/>
  <c r="V623" i="1"/>
  <c r="V627" i="1" s="1"/>
  <c r="V624" i="1"/>
  <c r="AP603" i="1"/>
  <c r="AL603" i="1"/>
  <c r="Z623" i="1"/>
  <c r="Z642" i="1"/>
  <c r="Z624" i="1"/>
  <c r="Z609" i="1"/>
  <c r="Z613" i="1" s="1"/>
  <c r="BF603" i="1"/>
  <c r="W623" i="1"/>
  <c r="W627" i="1" s="1"/>
  <c r="Q608" i="1"/>
  <c r="T608" i="1"/>
  <c r="T617" i="1" s="1"/>
  <c r="Z608" i="1"/>
  <c r="P609" i="1"/>
  <c r="T609" i="1"/>
  <c r="T613" i="1" s="1"/>
  <c r="O610" i="1"/>
  <c r="O612" i="1" s="1"/>
  <c r="V610" i="1"/>
  <c r="Y610" i="1"/>
  <c r="V611" i="1"/>
  <c r="V614" i="1"/>
  <c r="O611" i="1"/>
  <c r="O618" i="1" s="1"/>
  <c r="S623" i="1"/>
  <c r="T624" i="1"/>
  <c r="T653" i="1" s="1"/>
  <c r="X625" i="1"/>
  <c r="T642" i="1"/>
  <c r="T627" i="1"/>
  <c r="X627" i="1"/>
  <c r="Y627" i="1"/>
  <c r="Q630" i="1"/>
  <c r="U633" i="1"/>
  <c r="R627" i="1"/>
  <c r="AN603" i="1"/>
  <c r="V618" i="1" l="1"/>
  <c r="Y656" i="1"/>
  <c r="Y653" i="1"/>
  <c r="Q653" i="1"/>
  <c r="W655" i="1"/>
  <c r="S653" i="1"/>
  <c r="O647" i="1"/>
  <c r="U627" i="1"/>
  <c r="T648" i="1"/>
  <c r="W618" i="1"/>
  <c r="W620" i="1" s="1"/>
  <c r="T655" i="1"/>
  <c r="P627" i="1"/>
  <c r="O653" i="1"/>
  <c r="V656" i="1"/>
  <c r="T628" i="1"/>
  <c r="W653" i="1"/>
  <c r="R656" i="1"/>
  <c r="O652" i="1"/>
  <c r="Q652" i="1"/>
  <c r="Y655" i="1"/>
  <c r="V630" i="1"/>
  <c r="T632" i="1"/>
  <c r="W630" i="1"/>
  <c r="W657" i="1" s="1"/>
  <c r="V652" i="1"/>
  <c r="U653" i="1"/>
  <c r="Z656" i="1"/>
  <c r="V655" i="1"/>
  <c r="U655" i="1"/>
  <c r="R628" i="1"/>
  <c r="R653" i="1"/>
  <c r="O633" i="1"/>
  <c r="O656" i="1"/>
  <c r="S633" i="1"/>
  <c r="S656" i="1"/>
  <c r="Z630" i="1"/>
  <c r="Z657" i="1" s="1"/>
  <c r="Q627" i="1"/>
  <c r="P630" i="1"/>
  <c r="U656" i="1"/>
  <c r="P629" i="1"/>
  <c r="P652" i="1"/>
  <c r="S629" i="1"/>
  <c r="S652" i="1"/>
  <c r="Z628" i="1"/>
  <c r="Z653" i="1"/>
  <c r="X633" i="1"/>
  <c r="X656" i="1"/>
  <c r="R630" i="1"/>
  <c r="X630" i="1"/>
  <c r="S630" i="1"/>
  <c r="P613" i="1"/>
  <c r="W629" i="1"/>
  <c r="W631" i="1" s="1"/>
  <c r="W652" i="1"/>
  <c r="V628" i="1"/>
  <c r="V653" i="1"/>
  <c r="Q633" i="1"/>
  <c r="Q656" i="1"/>
  <c r="W633" i="1"/>
  <c r="W656" i="1"/>
  <c r="Q613" i="1"/>
  <c r="P655" i="1"/>
  <c r="Z627" i="1"/>
  <c r="Y630" i="1"/>
  <c r="T630" i="1"/>
  <c r="T657" i="1" s="1"/>
  <c r="O630" i="1"/>
  <c r="X632" i="1"/>
  <c r="X655" i="1"/>
  <c r="Z629" i="1"/>
  <c r="Z652" i="1"/>
  <c r="R629" i="1"/>
  <c r="R652" i="1"/>
  <c r="P628" i="1"/>
  <c r="P653" i="1"/>
  <c r="S618" i="1"/>
  <c r="X629" i="1"/>
  <c r="X652" i="1"/>
  <c r="O632" i="1"/>
  <c r="O655" i="1"/>
  <c r="Q614" i="1"/>
  <c r="Q612" i="1"/>
  <c r="Z643" i="1"/>
  <c r="Z641" i="1"/>
  <c r="Z648" i="1" s="1"/>
  <c r="O643" i="1"/>
  <c r="O641" i="1"/>
  <c r="R643" i="1"/>
  <c r="R641" i="1"/>
  <c r="R648" i="1" s="1"/>
  <c r="X615" i="1"/>
  <c r="X617" i="1"/>
  <c r="Y642" i="1"/>
  <c r="U642" i="1"/>
  <c r="U648" i="1" s="1"/>
  <c r="Q642" i="1"/>
  <c r="T633" i="1"/>
  <c r="Q618" i="1"/>
  <c r="V613" i="1"/>
  <c r="P647" i="1"/>
  <c r="X628" i="1"/>
  <c r="R617" i="1"/>
  <c r="R615" i="1"/>
  <c r="S642" i="1"/>
  <c r="Z647" i="1"/>
  <c r="V633" i="1"/>
  <c r="R633" i="1"/>
  <c r="Y632" i="1"/>
  <c r="Q632" i="1"/>
  <c r="S646" i="1"/>
  <c r="S644" i="1"/>
  <c r="X618" i="1"/>
  <c r="T618" i="1"/>
  <c r="T620" i="1" s="1"/>
  <c r="S627" i="1"/>
  <c r="P641" i="1"/>
  <c r="P648" i="1" s="1"/>
  <c r="P643" i="1"/>
  <c r="Y615" i="1"/>
  <c r="Y617" i="1"/>
  <c r="S643" i="1"/>
  <c r="S641" i="1"/>
  <c r="T646" i="1"/>
  <c r="T644" i="1"/>
  <c r="S617" i="1"/>
  <c r="S615" i="1"/>
  <c r="Y614" i="1"/>
  <c r="Y616" i="1" s="1"/>
  <c r="Y612" i="1"/>
  <c r="Y629" i="1"/>
  <c r="Y631" i="1" s="1"/>
  <c r="U629" i="1"/>
  <c r="Q629" i="1"/>
  <c r="Q631" i="1" s="1"/>
  <c r="T647" i="1"/>
  <c r="P632" i="1"/>
  <c r="W617" i="1"/>
  <c r="W615" i="1"/>
  <c r="X614" i="1"/>
  <c r="X612" i="1"/>
  <c r="X662" i="1" s="1"/>
  <c r="X665" i="1" s="1"/>
  <c r="X642" i="1"/>
  <c r="T629" i="1"/>
  <c r="T631" i="1" s="1"/>
  <c r="W613" i="1"/>
  <c r="W628" i="1"/>
  <c r="O628" i="1"/>
  <c r="Z617" i="1"/>
  <c r="Z615" i="1"/>
  <c r="V647" i="1"/>
  <c r="R647" i="1"/>
  <c r="Y646" i="1"/>
  <c r="Y644" i="1"/>
  <c r="Q646" i="1"/>
  <c r="Q644" i="1"/>
  <c r="Y618" i="1"/>
  <c r="Y620" i="1" s="1"/>
  <c r="W614" i="1"/>
  <c r="X657" i="1"/>
  <c r="V617" i="1"/>
  <c r="V615" i="1"/>
  <c r="Z612" i="1"/>
  <c r="Z614" i="1"/>
  <c r="W643" i="1"/>
  <c r="W641" i="1"/>
  <c r="V629" i="1"/>
  <c r="U612" i="1"/>
  <c r="U614" i="1"/>
  <c r="Y643" i="1"/>
  <c r="Y645" i="1" s="1"/>
  <c r="Y641" i="1"/>
  <c r="U643" i="1"/>
  <c r="U641" i="1"/>
  <c r="Q643" i="1"/>
  <c r="Q641" i="1"/>
  <c r="P646" i="1"/>
  <c r="P644" i="1"/>
  <c r="Q615" i="1"/>
  <c r="Q617" i="1"/>
  <c r="V612" i="1"/>
  <c r="V662" i="1" s="1"/>
  <c r="W632" i="1"/>
  <c r="T643" i="1"/>
  <c r="T641" i="1"/>
  <c r="R618" i="1"/>
  <c r="S613" i="1"/>
  <c r="W642" i="1"/>
  <c r="W648" i="1" s="1"/>
  <c r="O642" i="1"/>
  <c r="Z632" i="1"/>
  <c r="V632" i="1"/>
  <c r="R632" i="1"/>
  <c r="U632" i="1"/>
  <c r="O646" i="1"/>
  <c r="O644" i="1"/>
  <c r="S612" i="1"/>
  <c r="S661" i="1" s="1"/>
  <c r="O629" i="1"/>
  <c r="X631" i="1"/>
  <c r="V616" i="1"/>
  <c r="O617" i="1"/>
  <c r="O615" i="1"/>
  <c r="O616" i="1" s="1"/>
  <c r="T614" i="1"/>
  <c r="T616" i="1" s="1"/>
  <c r="T612" i="1"/>
  <c r="T661" i="1" s="1"/>
  <c r="T664" i="1" s="1"/>
  <c r="V643" i="1"/>
  <c r="V641" i="1"/>
  <c r="V648" i="1" s="1"/>
  <c r="Y633" i="1"/>
  <c r="P618" i="1"/>
  <c r="Y628" i="1"/>
  <c r="U628" i="1"/>
  <c r="Q628" i="1"/>
  <c r="X643" i="1"/>
  <c r="X641" i="1"/>
  <c r="Z618" i="1"/>
  <c r="P614" i="1"/>
  <c r="P612" i="1"/>
  <c r="P661" i="1" s="1"/>
  <c r="W646" i="1"/>
  <c r="W644" i="1"/>
  <c r="P633" i="1"/>
  <c r="U615" i="1"/>
  <c r="U657" i="1" s="1"/>
  <c r="U617" i="1"/>
  <c r="O613" i="1"/>
  <c r="S628" i="1"/>
  <c r="Z633" i="1"/>
  <c r="Z646" i="1"/>
  <c r="Z644" i="1"/>
  <c r="V646" i="1"/>
  <c r="V644" i="1"/>
  <c r="R646" i="1"/>
  <c r="R644" i="1"/>
  <c r="U646" i="1"/>
  <c r="U644" i="1"/>
  <c r="S632" i="1"/>
  <c r="U618" i="1"/>
  <c r="X644" i="1"/>
  <c r="S614" i="1"/>
  <c r="R613" i="1"/>
  <c r="R612" i="1"/>
  <c r="R662" i="1" s="1"/>
  <c r="R665" i="1" s="1"/>
  <c r="S657" i="1"/>
  <c r="R661" i="1"/>
  <c r="Y662" i="1"/>
  <c r="Y665" i="1" s="1"/>
  <c r="O662" i="1"/>
  <c r="O661" i="1"/>
  <c r="W662" i="1"/>
  <c r="W665" i="1" s="1"/>
  <c r="U662" i="1"/>
  <c r="U665" i="1" s="1"/>
  <c r="W661" i="1" l="1"/>
  <c r="W663" i="1" s="1"/>
  <c r="Y661" i="1"/>
  <c r="X648" i="1"/>
  <c r="X620" i="1"/>
  <c r="S648" i="1"/>
  <c r="Q648" i="1"/>
  <c r="V620" i="1"/>
  <c r="U620" i="1"/>
  <c r="Z620" i="1"/>
  <c r="V665" i="1"/>
  <c r="R657" i="1"/>
  <c r="S662" i="1"/>
  <c r="S665" i="1" s="1"/>
  <c r="S631" i="1"/>
  <c r="V657" i="1"/>
  <c r="V661" i="1"/>
  <c r="O648" i="1"/>
  <c r="V631" i="1"/>
  <c r="Z661" i="1"/>
  <c r="W616" i="1"/>
  <c r="Y648" i="1"/>
  <c r="Z662" i="1"/>
  <c r="Z665" i="1" s="1"/>
  <c r="R616" i="1"/>
  <c r="O665" i="1"/>
  <c r="U661" i="1"/>
  <c r="U663" i="1" s="1"/>
  <c r="Q661" i="1"/>
  <c r="R631" i="1"/>
  <c r="Z631" i="1"/>
  <c r="P662" i="1"/>
  <c r="P665" i="1" s="1"/>
  <c r="X616" i="1"/>
  <c r="P631" i="1"/>
  <c r="X661" i="1"/>
  <c r="X663" i="1" s="1"/>
  <c r="Y657" i="1"/>
  <c r="U645" i="1"/>
  <c r="T645" i="1"/>
  <c r="Z616" i="1"/>
  <c r="T662" i="1"/>
  <c r="T665" i="1" s="1"/>
  <c r="T666" i="1" s="1"/>
  <c r="T667" i="1" s="1"/>
  <c r="P616" i="1"/>
  <c r="P645" i="1"/>
  <c r="O645" i="1"/>
  <c r="Q616" i="1"/>
  <c r="X645" i="1"/>
  <c r="Q662" i="1"/>
  <c r="Q665" i="1" s="1"/>
  <c r="Q645" i="1"/>
  <c r="S645" i="1"/>
  <c r="U631" i="1"/>
  <c r="S616" i="1"/>
  <c r="S605" i="1" s="1"/>
  <c r="V645" i="1"/>
  <c r="O631" i="1"/>
  <c r="U616" i="1"/>
  <c r="W645" i="1"/>
  <c r="R645" i="1"/>
  <c r="Z645" i="1"/>
  <c r="O664" i="1"/>
  <c r="O666" i="1" s="1"/>
  <c r="O667" i="1" s="1"/>
  <c r="O663" i="1"/>
  <c r="V664" i="1"/>
  <c r="V666" i="1" s="1"/>
  <c r="V667" i="1" s="1"/>
  <c r="V663" i="1"/>
  <c r="R664" i="1"/>
  <c r="R666" i="1" s="1"/>
  <c r="R667" i="1" s="1"/>
  <c r="R663" i="1"/>
  <c r="P664" i="1"/>
  <c r="W664" i="1"/>
  <c r="W666" i="1" s="1"/>
  <c r="W667" i="1" s="1"/>
  <c r="Z664" i="1"/>
  <c r="Z666" i="1" s="1"/>
  <c r="Z667" i="1" s="1"/>
  <c r="Z663" i="1"/>
  <c r="S664" i="1"/>
  <c r="S666" i="1" s="1"/>
  <c r="S667" i="1" s="1"/>
  <c r="Q664" i="1"/>
  <c r="Y663" i="1"/>
  <c r="Y664" i="1"/>
  <c r="Y666" i="1" s="1"/>
  <c r="Y667" i="1" s="1"/>
  <c r="U664" i="1" l="1"/>
  <c r="U666" i="1" s="1"/>
  <c r="U667" i="1" s="1"/>
  <c r="U668" i="1" s="1"/>
  <c r="P663" i="1"/>
  <c r="X664" i="1"/>
  <c r="X666" i="1" s="1"/>
  <c r="X667" i="1" s="1"/>
  <c r="X668" i="1" s="1"/>
  <c r="S663" i="1"/>
  <c r="T663" i="1"/>
  <c r="P666" i="1"/>
  <c r="P667" i="1" s="1"/>
  <c r="P669" i="1" s="1"/>
  <c r="T669" i="1"/>
  <c r="T668" i="1"/>
  <c r="X669" i="1"/>
  <c r="Q666" i="1"/>
  <c r="Q667" i="1" s="1"/>
  <c r="Q668" i="1" s="1"/>
  <c r="Q663" i="1"/>
  <c r="W669" i="1"/>
  <c r="W668" i="1"/>
  <c r="R669" i="1"/>
  <c r="R668" i="1"/>
  <c r="Z669" i="1"/>
  <c r="Z668" i="1"/>
  <c r="V669" i="1"/>
  <c r="V668" i="1"/>
  <c r="Y669" i="1"/>
  <c r="Y668" i="1"/>
  <c r="S669" i="1"/>
  <c r="S668" i="1"/>
  <c r="O669" i="1"/>
  <c r="O668" i="1"/>
  <c r="P668" i="1" l="1"/>
  <c r="U669" i="1"/>
  <c r="Q669" i="1"/>
</calcChain>
</file>

<file path=xl/sharedStrings.xml><?xml version="1.0" encoding="utf-8"?>
<sst xmlns="http://schemas.openxmlformats.org/spreadsheetml/2006/main" count="2070" uniqueCount="68">
  <si>
    <t>CLOPIDOGRE</t>
  </si>
  <si>
    <t>Plavix</t>
  </si>
  <si>
    <t>RecordID</t>
  </si>
  <si>
    <t>StateCode</t>
  </si>
  <si>
    <t>LabelerCode</t>
  </si>
  <si>
    <t>ProductCode</t>
  </si>
  <si>
    <t>PackageSize</t>
  </si>
  <si>
    <t>PeriodCovered</t>
  </si>
  <si>
    <t>FDAListName</t>
  </si>
  <si>
    <t>UnitsReimbursed</t>
  </si>
  <si>
    <t>NumberRx</t>
  </si>
  <si>
    <t>TotalAmountReimbursed</t>
  </si>
  <si>
    <t>MedicaidAmountReimbursed</t>
  </si>
  <si>
    <t>Non-MedicaidAmountReimbursed</t>
  </si>
  <si>
    <t>FFSU</t>
  </si>
  <si>
    <t>MCOU</t>
  </si>
  <si>
    <t>XX</t>
  </si>
  <si>
    <t>CLOPIDPGRE</t>
  </si>
  <si>
    <t xml:space="preserve">PLAVIX 75 </t>
  </si>
  <si>
    <t>UNKNOWN PR</t>
  </si>
  <si>
    <t>PLAVIX 300</t>
  </si>
  <si>
    <t xml:space="preserve">PLAVIX    </t>
  </si>
  <si>
    <t>Clopidogre</t>
  </si>
  <si>
    <t>NOT AVAILA</t>
  </si>
  <si>
    <t>Scripts</t>
  </si>
  <si>
    <t>2011Q1</t>
  </si>
  <si>
    <t>2011Q2</t>
  </si>
  <si>
    <t>2011Q3</t>
  </si>
  <si>
    <t>2011Q4</t>
  </si>
  <si>
    <t>2012Q1</t>
  </si>
  <si>
    <t>2012Q2</t>
  </si>
  <si>
    <t>2012Q3</t>
  </si>
  <si>
    <t>2012Q4</t>
  </si>
  <si>
    <t>2013Q1</t>
  </si>
  <si>
    <t>2013Q2</t>
  </si>
  <si>
    <t>2013Q3</t>
  </si>
  <si>
    <t>2013Q4</t>
  </si>
  <si>
    <t>FFS Lipitor</t>
  </si>
  <si>
    <t>MCO Lipitor</t>
  </si>
  <si>
    <t>FFS Generic</t>
  </si>
  <si>
    <t>MCO Generic</t>
  </si>
  <si>
    <t>Total</t>
  </si>
  <si>
    <t>FFS Total</t>
  </si>
  <si>
    <t>MCO Total</t>
  </si>
  <si>
    <t>GDR FFS</t>
  </si>
  <si>
    <t>GDR MCO</t>
  </si>
  <si>
    <t>Total Reimbursements</t>
  </si>
  <si>
    <t>Brand Total</t>
  </si>
  <si>
    <t>Generic Total</t>
  </si>
  <si>
    <t>Price per script</t>
  </si>
  <si>
    <t>FFS Brand</t>
  </si>
  <si>
    <t>Total Brand</t>
  </si>
  <si>
    <t>Total Generic</t>
  </si>
  <si>
    <t>FFS Adjusted Scripts</t>
  </si>
  <si>
    <t>FFS Brand Cost</t>
  </si>
  <si>
    <t>FFS Generic Cost</t>
  </si>
  <si>
    <t>FFS Total Rev</t>
  </si>
  <si>
    <t>Savings</t>
  </si>
  <si>
    <t>as a % of FFS revenue</t>
  </si>
  <si>
    <t>as a % of total revenue</t>
  </si>
  <si>
    <t>FFS Plavix</t>
  </si>
  <si>
    <t>MCO Plavix</t>
  </si>
  <si>
    <t>Total Units Reimbursed</t>
  </si>
  <si>
    <t>Price Per Unit</t>
  </si>
  <si>
    <t>MCO percentage</t>
  </si>
  <si>
    <t>Plavix Unit Sales</t>
  </si>
  <si>
    <t>Zyprexa Unit Sales</t>
  </si>
  <si>
    <t>Lipitor Unit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</si>
</sst>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0.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8">
    <xf numFmtId="0" fontId="0" fillId="0" borderId="0" xfId="0"/>
    <xf numFmtId="10" fontId="0" fillId="0" borderId="0" xfId="0" applyNumberFormat="1"/>
    <xf numFmtId="3" fontId="0" fillId="0" borderId="0" xfId="0" applyNumberFormat="1"/>
    <xf numFmtId="0" fontId="0" fillId="0" borderId="10" xfId="0" applyBorder="1"/>
    <xf numFmtId="0" fontId="0" fillId="0" borderId="0" xfId="0" applyBorder="1"/>
    <xf numFmtId="0" fontId="0" fillId="0" borderId="11" xfId="0" applyBorder="1"/>
    <xf numFmtId="3" fontId="16" fillId="0" borderId="12" xfId="0" applyNumberFormat="1" applyFont="1" applyBorder="1" applyAlignment="1">
      <alignment horizontal="centerContinuous"/>
    </xf>
    <xf numFmtId="3" fontId="0" fillId="0" borderId="13" xfId="0" applyNumberFormat="1" applyBorder="1" applyAlignment="1">
      <alignment horizontal="centerContinuous"/>
    </xf>
    <xf numFmtId="3" fontId="0" fillId="0" borderId="14" xfId="0" applyNumberFormat="1" applyBorder="1" applyAlignment="1">
      <alignment horizontal="centerContinuous"/>
    </xf>
    <xf numFmtId="3" fontId="0" fillId="0" borderId="10" xfId="0" applyNumberFormat="1" applyBorder="1" applyAlignment="1">
      <alignment horizontal="centerContinuous"/>
    </xf>
    <xf numFmtId="3" fontId="0" fillId="0" borderId="0" xfId="0" applyNumberFormat="1" applyBorder="1" applyAlignment="1"/>
    <xf numFmtId="3" fontId="0" fillId="0" borderId="11" xfId="0" applyNumberFormat="1" applyBorder="1" applyAlignment="1"/>
    <xf numFmtId="3" fontId="0" fillId="0" borderId="10" xfId="0" applyNumberFormat="1" applyBorder="1"/>
    <xf numFmtId="3" fontId="0" fillId="0" borderId="0" xfId="0" applyNumberFormat="1" applyBorder="1"/>
    <xf numFmtId="3" fontId="0" fillId="0" borderId="11" xfId="0" applyNumberFormat="1" applyBorder="1"/>
    <xf numFmtId="3" fontId="0" fillId="0" borderId="10" xfId="0" applyNumberFormat="1" applyFill="1" applyBorder="1"/>
    <xf numFmtId="10" fontId="0" fillId="0" borderId="0" xfId="0" applyNumberFormat="1" applyBorder="1"/>
    <xf numFmtId="10" fontId="0" fillId="0" borderId="11" xfId="0" applyNumberFormat="1" applyBorder="1"/>
    <xf numFmtId="3" fontId="0" fillId="0" borderId="15" xfId="0" applyNumberFormat="1" applyBorder="1"/>
    <xf numFmtId="10" fontId="0" fillId="0" borderId="16" xfId="0" applyNumberFormat="1" applyBorder="1"/>
    <xf numFmtId="10" fontId="0" fillId="0" borderId="17" xfId="0" applyNumberFormat="1" applyBorder="1"/>
    <xf numFmtId="0" fontId="0" fillId="0" borderId="18" xfId="0" applyBorder="1"/>
    <xf numFmtId="0" fontId="16" fillId="0" borderId="12" xfId="0" applyFont="1" applyBorder="1" applyAlignment="1">
      <alignment horizontal="centerContinuous"/>
    </xf>
    <xf numFmtId="0" fontId="0" fillId="0" borderId="13" xfId="0" applyBorder="1" applyAlignment="1">
      <alignment horizontal="centerContinuous"/>
    </xf>
    <xf numFmtId="0" fontId="0" fillId="0" borderId="14" xfId="0" applyBorder="1" applyAlignment="1">
      <alignment horizontal="centerContinuous"/>
    </xf>
    <xf numFmtId="0" fontId="0" fillId="0" borderId="10" xfId="0" applyBorder="1" applyAlignment="1">
      <alignment horizontal="centerContinuous"/>
    </xf>
    <xf numFmtId="0" fontId="0" fillId="0" borderId="0" xfId="0" applyBorder="1" applyAlignment="1"/>
    <xf numFmtId="0" fontId="0" fillId="0" borderId="11" xfId="0" applyBorder="1" applyAlignment="1"/>
    <xf numFmtId="0" fontId="0" fillId="0" borderId="15" xfId="0" applyBorder="1"/>
    <xf numFmtId="0" fontId="16" fillId="0" borderId="18" xfId="0" applyFont="1" applyBorder="1" applyAlignment="1">
      <alignment horizontal="centerContinuous"/>
    </xf>
    <xf numFmtId="0" fontId="16" fillId="0" borderId="0" xfId="0" applyFont="1" applyBorder="1" applyAlignment="1">
      <alignment horizontal="centerContinuous"/>
    </xf>
    <xf numFmtId="0" fontId="0" fillId="0" borderId="12" xfId="0" applyBorder="1"/>
    <xf numFmtId="0" fontId="0" fillId="0" borderId="13" xfId="0" applyBorder="1" applyAlignment="1"/>
    <xf numFmtId="0" fontId="0" fillId="0" borderId="14" xfId="0" applyBorder="1" applyAlignment="1"/>
    <xf numFmtId="164" fontId="0" fillId="0" borderId="0" xfId="0" applyNumberFormat="1" applyBorder="1" applyAlignment="1"/>
    <xf numFmtId="164" fontId="0" fillId="0" borderId="11" xfId="0" applyNumberFormat="1" applyBorder="1" applyAlignment="1"/>
    <xf numFmtId="0" fontId="16" fillId="0" borderId="10" xfId="0" applyFont="1" applyBorder="1"/>
    <xf numFmtId="0" fontId="16" fillId="0" borderId="15" xfId="0" applyFont="1" applyBorder="1"/>
    <xf numFmtId="164" fontId="0" fillId="0" borderId="16" xfId="0" applyNumberFormat="1" applyBorder="1" applyAlignment="1"/>
    <xf numFmtId="164" fontId="0" fillId="0" borderId="17" xfId="0" applyNumberFormat="1" applyBorder="1" applyAlignment="1"/>
    <xf numFmtId="0" fontId="0" fillId="0" borderId="18" xfId="0" applyBorder="1" applyAlignment="1">
      <alignment horizontal="centerContinuous"/>
    </xf>
    <xf numFmtId="0" fontId="0" fillId="0" borderId="0" xfId="0" applyBorder="1" applyAlignment="1">
      <alignment horizontal="centerContinuous"/>
    </xf>
    <xf numFmtId="165" fontId="0" fillId="0" borderId="10" xfId="0" applyNumberFormat="1" applyBorder="1"/>
    <xf numFmtId="165" fontId="0" fillId="0" borderId="0" xfId="0" applyNumberFormat="1" applyBorder="1"/>
    <xf numFmtId="165" fontId="0" fillId="0" borderId="11" xfId="0" applyNumberFormat="1" applyBorder="1"/>
    <xf numFmtId="165" fontId="16" fillId="0" borderId="10" xfId="0" applyNumberFormat="1" applyFont="1" applyBorder="1"/>
    <xf numFmtId="3" fontId="0" fillId="0" borderId="16" xfId="0" applyNumberFormat="1" applyBorder="1"/>
    <xf numFmtId="3" fontId="0" fillId="0" borderId="17" xfId="0" applyNumberForma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Medicaid Plavix GDR FFS vs MCO</a:t>
            </a:r>
          </a:p>
        </c:rich>
      </c:tx>
      <c:layout>
        <c:manualLayout>
          <c:xMode val="edge"/>
          <c:yMode val="edge"/>
          <c:x val="0.23415966754155731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'Plavix2011-2013'!$AB$618</c:f>
              <c:strCache>
                <c:ptCount val="1"/>
                <c:pt idx="0">
                  <c:v>GDR FFS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'Plavix2011-2013'!$AC$617:$AJ$617</c:f>
              <c:strCache>
                <c:ptCount val="8"/>
                <c:pt idx="0">
                  <c:v>2012Q1</c:v>
                </c:pt>
                <c:pt idx="1">
                  <c:v>2012Q2</c:v>
                </c:pt>
                <c:pt idx="2">
                  <c:v>2012Q3</c:v>
                </c:pt>
                <c:pt idx="3">
                  <c:v>2012Q4</c:v>
                </c:pt>
                <c:pt idx="4">
                  <c:v>2013Q1</c:v>
                </c:pt>
                <c:pt idx="5">
                  <c:v>2013Q2</c:v>
                </c:pt>
                <c:pt idx="6">
                  <c:v>2013Q3</c:v>
                </c:pt>
                <c:pt idx="7">
                  <c:v>2013Q4</c:v>
                </c:pt>
              </c:strCache>
            </c:strRef>
          </c:cat>
          <c:val>
            <c:numRef>
              <c:f>'Plavix2011-2013'!$AC$618:$AJ$618</c:f>
              <c:numCache>
                <c:formatCode>0.00%</c:formatCode>
                <c:ptCount val="8"/>
                <c:pt idx="0">
                  <c:v>0</c:v>
                </c:pt>
                <c:pt idx="1">
                  <c:v>0.16613689134657042</c:v>
                </c:pt>
                <c:pt idx="2">
                  <c:v>0.7993599776690028</c:v>
                </c:pt>
                <c:pt idx="3">
                  <c:v>0.94577828647939488</c:v>
                </c:pt>
                <c:pt idx="4">
                  <c:v>0.96911256199099138</c:v>
                </c:pt>
                <c:pt idx="5">
                  <c:v>0.95677313085957327</c:v>
                </c:pt>
                <c:pt idx="6">
                  <c:v>0.97342831033109167</c:v>
                </c:pt>
                <c:pt idx="7">
                  <c:v>0.97832805832037806</c:v>
                </c:pt>
              </c:numCache>
            </c:numRef>
          </c:val>
        </c:ser>
        <c:ser>
          <c:idx val="1"/>
          <c:order val="1"/>
          <c:tx>
            <c:strRef>
              <c:f>'Plavix2011-2013'!$AB$620</c:f>
              <c:strCache>
                <c:ptCount val="1"/>
                <c:pt idx="0">
                  <c:v>GDR MCO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'Plavix2011-2013'!$AC$617:$AJ$617</c:f>
              <c:strCache>
                <c:ptCount val="8"/>
                <c:pt idx="0">
                  <c:v>2012Q1</c:v>
                </c:pt>
                <c:pt idx="1">
                  <c:v>2012Q2</c:v>
                </c:pt>
                <c:pt idx="2">
                  <c:v>2012Q3</c:v>
                </c:pt>
                <c:pt idx="3">
                  <c:v>2012Q4</c:v>
                </c:pt>
                <c:pt idx="4">
                  <c:v>2013Q1</c:v>
                </c:pt>
                <c:pt idx="5">
                  <c:v>2013Q2</c:v>
                </c:pt>
                <c:pt idx="6">
                  <c:v>2013Q3</c:v>
                </c:pt>
                <c:pt idx="7">
                  <c:v>2013Q4</c:v>
                </c:pt>
              </c:strCache>
            </c:strRef>
          </c:cat>
          <c:val>
            <c:numRef>
              <c:f>'Plavix2011-2013'!$AC$620:$AJ$620</c:f>
              <c:numCache>
                <c:formatCode>0.00%</c:formatCode>
                <c:ptCount val="8"/>
                <c:pt idx="0">
                  <c:v>0</c:v>
                </c:pt>
                <c:pt idx="1">
                  <c:v>0.26967506654746209</c:v>
                </c:pt>
                <c:pt idx="2">
                  <c:v>0.88860334461962687</c:v>
                </c:pt>
                <c:pt idx="3">
                  <c:v>0.95057506848286988</c:v>
                </c:pt>
                <c:pt idx="4">
                  <c:v>0.97546858257066071</c:v>
                </c:pt>
                <c:pt idx="5">
                  <c:v>0.98512225699832545</c:v>
                </c:pt>
                <c:pt idx="6">
                  <c:v>0.98888434927035496</c:v>
                </c:pt>
                <c:pt idx="7">
                  <c:v>0.99111875544583217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4825752"/>
        <c:axId val="494829672"/>
      </c:barChart>
      <c:catAx>
        <c:axId val="494825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829672"/>
        <c:crosses val="autoZero"/>
        <c:auto val="1"/>
        <c:lblAlgn val="ctr"/>
        <c:lblOffset val="100"/>
        <c:noMultiLvlLbl val="0"/>
      </c:catAx>
      <c:valAx>
        <c:axId val="49482967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825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Plavix and Zyprexa Sales 2011-2013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'Plavix2011-2013'!$AU$617</c:f>
              <c:strCache>
                <c:ptCount val="1"/>
                <c:pt idx="0">
                  <c:v>Plavix Unit 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'Plavix2011-2013'!$AV$616:$BG$616</c:f>
              <c:strCache>
                <c:ptCount val="12"/>
                <c:pt idx="0">
                  <c:v>2011Q1</c:v>
                </c:pt>
                <c:pt idx="1">
                  <c:v>2011Q2</c:v>
                </c:pt>
                <c:pt idx="2">
                  <c:v>2011Q3</c:v>
                </c:pt>
                <c:pt idx="3">
                  <c:v>2011Q4</c:v>
                </c:pt>
                <c:pt idx="4">
                  <c:v>2012Q1</c:v>
                </c:pt>
                <c:pt idx="5">
                  <c:v>2012Q2</c:v>
                </c:pt>
                <c:pt idx="6">
                  <c:v>2012Q3</c:v>
                </c:pt>
                <c:pt idx="7">
                  <c:v>2012Q4</c:v>
                </c:pt>
                <c:pt idx="8">
                  <c:v>2013Q1</c:v>
                </c:pt>
                <c:pt idx="9">
                  <c:v>2013Q2</c:v>
                </c:pt>
                <c:pt idx="10">
                  <c:v>2013Q3</c:v>
                </c:pt>
                <c:pt idx="11">
                  <c:v>2013Q4</c:v>
                </c:pt>
              </c:strCache>
            </c:strRef>
          </c:cat>
          <c:val>
            <c:numRef>
              <c:f>'Plavix2011-2013'!$AV$617:$BG$617</c:f>
              <c:numCache>
                <c:formatCode>#,##0</c:formatCode>
                <c:ptCount val="12"/>
                <c:pt idx="0">
                  <c:v>418808</c:v>
                </c:pt>
                <c:pt idx="1">
                  <c:v>414727</c:v>
                </c:pt>
                <c:pt idx="2">
                  <c:v>389957</c:v>
                </c:pt>
                <c:pt idx="3">
                  <c:v>401954</c:v>
                </c:pt>
                <c:pt idx="4">
                  <c:v>404393</c:v>
                </c:pt>
                <c:pt idx="5">
                  <c:v>315892</c:v>
                </c:pt>
                <c:pt idx="6">
                  <c:v>64006</c:v>
                </c:pt>
                <c:pt idx="7">
                  <c:v>20580</c:v>
                </c:pt>
                <c:pt idx="8">
                  <c:v>11017</c:v>
                </c:pt>
                <c:pt idx="9">
                  <c:v>11057</c:v>
                </c:pt>
                <c:pt idx="10">
                  <c:v>7039</c:v>
                </c:pt>
                <c:pt idx="11">
                  <c:v>5456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'Plavix2011-2013'!$AU$618</c:f>
              <c:strCache>
                <c:ptCount val="1"/>
                <c:pt idx="0">
                  <c:v>Zyprexa Unit Sales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'Plavix2011-2013'!$AV$616:$BG$616</c:f>
              <c:strCache>
                <c:ptCount val="12"/>
                <c:pt idx="0">
                  <c:v>2011Q1</c:v>
                </c:pt>
                <c:pt idx="1">
                  <c:v>2011Q2</c:v>
                </c:pt>
                <c:pt idx="2">
                  <c:v>2011Q3</c:v>
                </c:pt>
                <c:pt idx="3">
                  <c:v>2011Q4</c:v>
                </c:pt>
                <c:pt idx="4">
                  <c:v>2012Q1</c:v>
                </c:pt>
                <c:pt idx="5">
                  <c:v>2012Q2</c:v>
                </c:pt>
                <c:pt idx="6">
                  <c:v>2012Q3</c:v>
                </c:pt>
                <c:pt idx="7">
                  <c:v>2012Q4</c:v>
                </c:pt>
                <c:pt idx="8">
                  <c:v>2013Q1</c:v>
                </c:pt>
                <c:pt idx="9">
                  <c:v>2013Q2</c:v>
                </c:pt>
                <c:pt idx="10">
                  <c:v>2013Q3</c:v>
                </c:pt>
                <c:pt idx="11">
                  <c:v>2013Q4</c:v>
                </c:pt>
              </c:strCache>
            </c:strRef>
          </c:cat>
          <c:val>
            <c:numRef>
              <c:f>'Plavix2011-2013'!$AV$618:$BG$618</c:f>
              <c:numCache>
                <c:formatCode>#,##0</c:formatCode>
                <c:ptCount val="12"/>
                <c:pt idx="0">
                  <c:v>368258</c:v>
                </c:pt>
                <c:pt idx="1">
                  <c:v>365893</c:v>
                </c:pt>
                <c:pt idx="2">
                  <c:v>337801</c:v>
                </c:pt>
                <c:pt idx="3">
                  <c:v>244957</c:v>
                </c:pt>
                <c:pt idx="4">
                  <c:v>149566</c:v>
                </c:pt>
                <c:pt idx="5">
                  <c:v>109877</c:v>
                </c:pt>
                <c:pt idx="6">
                  <c:v>67893</c:v>
                </c:pt>
                <c:pt idx="7">
                  <c:v>65255</c:v>
                </c:pt>
                <c:pt idx="8">
                  <c:v>55800</c:v>
                </c:pt>
                <c:pt idx="9">
                  <c:v>54092</c:v>
                </c:pt>
                <c:pt idx="10">
                  <c:v>70687</c:v>
                </c:pt>
                <c:pt idx="11">
                  <c:v>57918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3585568"/>
        <c:axId val="523585960"/>
      </c:lineChart>
      <c:catAx>
        <c:axId val="523585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585960"/>
        <c:crosses val="autoZero"/>
        <c:auto val="1"/>
        <c:lblAlgn val="ctr"/>
        <c:lblOffset val="100"/>
        <c:noMultiLvlLbl val="0"/>
      </c:catAx>
      <c:valAx>
        <c:axId val="523585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585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90487</xdr:colOff>
      <xdr:row>603</xdr:row>
      <xdr:rowOff>47625</xdr:rowOff>
    </xdr:from>
    <xdr:to>
      <xdr:col>12</xdr:col>
      <xdr:colOff>395287</xdr:colOff>
      <xdr:row>617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48</xdr:col>
      <xdr:colOff>528637</xdr:colOff>
      <xdr:row>596</xdr:row>
      <xdr:rowOff>47625</xdr:rowOff>
    </xdr:from>
    <xdr:to>
      <xdr:col>56</xdr:col>
      <xdr:colOff>223837</xdr:colOff>
      <xdr:row>610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I669"/>
  <sheetViews>
    <sheetView tabSelected="1" topLeftCell="G1" workbookViewId="0">
      <pane xSplit="7" ySplit="3" topLeftCell="T605" activePane="bottomRight" state="frozen"/>
      <selection activeCell="G1" sqref="G1"/>
      <selection pane="topRight" activeCell="N1" sqref="N1"/>
      <selection pane="bottomLeft" activeCell="G4" sqref="G4"/>
      <selection pane="bottomRight" activeCell="Z618" sqref="Z618"/>
    </sheetView>
  </sheetViews>
  <sheetFormatPr defaultRowHeight="15" x14ac:dyDescent="0.25"/>
  <cols>
    <col min="14" max="14" width="21.42578125" bestFit="1" customWidth="1"/>
    <col min="15" max="21" width="12.28515625" bestFit="1" customWidth="1"/>
    <col min="22" max="26" width="10.140625" bestFit="1" customWidth="1"/>
  </cols>
  <sheetData>
    <row r="1" spans="1:61" x14ac:dyDescent="0.25">
      <c r="N1" t="s">
        <v>0</v>
      </c>
      <c r="O1" t="s">
        <v>0</v>
      </c>
      <c r="P1" t="s">
        <v>0</v>
      </c>
      <c r="Q1" t="s">
        <v>0</v>
      </c>
      <c r="R1" t="s">
        <v>0</v>
      </c>
      <c r="S1" t="s">
        <v>0</v>
      </c>
      <c r="T1" t="s">
        <v>0</v>
      </c>
      <c r="U1" t="s">
        <v>0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0</v>
      </c>
      <c r="AE1" t="s">
        <v>0</v>
      </c>
      <c r="AF1" t="s">
        <v>0</v>
      </c>
      <c r="AG1" t="s">
        <v>0</v>
      </c>
      <c r="AH1" t="s">
        <v>0</v>
      </c>
      <c r="AI1" t="s">
        <v>0</v>
      </c>
      <c r="AJ1" t="s">
        <v>0</v>
      </c>
      <c r="AK1" t="s">
        <v>0</v>
      </c>
      <c r="AL1" t="s">
        <v>1</v>
      </c>
      <c r="AM1" t="s">
        <v>1</v>
      </c>
      <c r="AN1" t="s">
        <v>1</v>
      </c>
      <c r="AO1" t="s">
        <v>1</v>
      </c>
      <c r="AP1" t="s">
        <v>1</v>
      </c>
      <c r="AQ1" t="s">
        <v>1</v>
      </c>
      <c r="AR1" t="s">
        <v>1</v>
      </c>
      <c r="AS1" t="s">
        <v>1</v>
      </c>
      <c r="AT1" t="s">
        <v>0</v>
      </c>
      <c r="AU1" t="s">
        <v>0</v>
      </c>
      <c r="AV1" t="s">
        <v>0</v>
      </c>
      <c r="AW1" t="s">
        <v>0</v>
      </c>
      <c r="AX1" t="s">
        <v>0</v>
      </c>
      <c r="AY1" t="s">
        <v>0</v>
      </c>
      <c r="AZ1" t="s">
        <v>0</v>
      </c>
      <c r="BA1" t="s">
        <v>0</v>
      </c>
      <c r="BB1" t="s">
        <v>1</v>
      </c>
      <c r="BC1" t="s">
        <v>1</v>
      </c>
      <c r="BD1" t="s">
        <v>1</v>
      </c>
      <c r="BE1" t="s">
        <v>1</v>
      </c>
      <c r="BF1" t="s">
        <v>1</v>
      </c>
      <c r="BG1" t="s">
        <v>1</v>
      </c>
      <c r="BH1" t="s">
        <v>1</v>
      </c>
      <c r="BI1" t="s">
        <v>1</v>
      </c>
    </row>
    <row r="2" spans="1:61" x14ac:dyDescent="0.25">
      <c r="N2">
        <v>20111</v>
      </c>
      <c r="O2">
        <v>20112</v>
      </c>
      <c r="P2">
        <v>20113</v>
      </c>
      <c r="Q2">
        <v>20114</v>
      </c>
      <c r="R2">
        <v>20111</v>
      </c>
      <c r="S2">
        <v>20112</v>
      </c>
      <c r="T2">
        <v>20113</v>
      </c>
      <c r="U2">
        <v>20114</v>
      </c>
      <c r="V2">
        <v>20111</v>
      </c>
      <c r="W2">
        <v>20112</v>
      </c>
      <c r="X2">
        <v>20113</v>
      </c>
      <c r="Y2">
        <v>20114</v>
      </c>
      <c r="Z2">
        <v>20111</v>
      </c>
      <c r="AA2">
        <v>20112</v>
      </c>
      <c r="AB2">
        <v>20113</v>
      </c>
      <c r="AC2">
        <v>20114</v>
      </c>
      <c r="AD2">
        <v>20121</v>
      </c>
      <c r="AE2">
        <v>20122</v>
      </c>
      <c r="AF2">
        <v>20123</v>
      </c>
      <c r="AG2">
        <v>20124</v>
      </c>
      <c r="AH2">
        <v>20121</v>
      </c>
      <c r="AI2">
        <v>20122</v>
      </c>
      <c r="AJ2">
        <v>20123</v>
      </c>
      <c r="AK2">
        <v>20124</v>
      </c>
      <c r="AL2">
        <v>20121</v>
      </c>
      <c r="AM2">
        <v>20122</v>
      </c>
      <c r="AN2">
        <v>20123</v>
      </c>
      <c r="AO2">
        <v>20124</v>
      </c>
      <c r="AP2">
        <v>20121</v>
      </c>
      <c r="AQ2">
        <v>20122</v>
      </c>
      <c r="AR2">
        <v>20123</v>
      </c>
      <c r="AS2">
        <v>20124</v>
      </c>
      <c r="AT2">
        <v>20131</v>
      </c>
      <c r="AU2">
        <v>20132</v>
      </c>
      <c r="AV2">
        <v>20133</v>
      </c>
      <c r="AW2">
        <v>20134</v>
      </c>
      <c r="AX2">
        <v>20131</v>
      </c>
      <c r="AY2">
        <v>20132</v>
      </c>
      <c r="AZ2">
        <v>20133</v>
      </c>
      <c r="BA2">
        <v>20134</v>
      </c>
      <c r="BB2">
        <v>20131</v>
      </c>
      <c r="BC2">
        <v>20132</v>
      </c>
      <c r="BD2">
        <v>20133</v>
      </c>
      <c r="BE2">
        <v>20134</v>
      </c>
      <c r="BF2">
        <v>20131</v>
      </c>
      <c r="BG2">
        <v>20132</v>
      </c>
      <c r="BH2">
        <v>20133</v>
      </c>
      <c r="BI2">
        <v>20134</v>
      </c>
    </row>
    <row r="3" spans="1:61" x14ac:dyDescent="0.25">
      <c r="B3" t="s">
        <v>2</v>
      </c>
      <c r="C3" t="s">
        <v>3</v>
      </c>
      <c r="D3" t="s">
        <v>4</v>
      </c>
      <c r="E3" t="s">
        <v>5</v>
      </c>
      <c r="F3" t="s">
        <v>6</v>
      </c>
      <c r="G3" t="s">
        <v>7</v>
      </c>
      <c r="H3" t="s">
        <v>8</v>
      </c>
      <c r="I3" t="s">
        <v>9</v>
      </c>
      <c r="J3" t="s">
        <v>10</v>
      </c>
      <c r="K3" t="s">
        <v>11</v>
      </c>
      <c r="L3" t="s">
        <v>12</v>
      </c>
      <c r="M3" t="s">
        <v>13</v>
      </c>
      <c r="N3" t="s">
        <v>14</v>
      </c>
      <c r="O3" t="s">
        <v>14</v>
      </c>
      <c r="P3" t="s">
        <v>14</v>
      </c>
      <c r="Q3" t="s">
        <v>14</v>
      </c>
      <c r="R3" t="s">
        <v>15</v>
      </c>
      <c r="S3" t="s">
        <v>15</v>
      </c>
      <c r="T3" t="s">
        <v>15</v>
      </c>
      <c r="U3" t="s">
        <v>15</v>
      </c>
      <c r="V3" t="s">
        <v>14</v>
      </c>
      <c r="W3" t="s">
        <v>14</v>
      </c>
      <c r="X3" t="s">
        <v>14</v>
      </c>
      <c r="Y3" t="s">
        <v>14</v>
      </c>
      <c r="Z3" t="s">
        <v>15</v>
      </c>
      <c r="AA3" t="s">
        <v>15</v>
      </c>
      <c r="AB3" t="s">
        <v>15</v>
      </c>
      <c r="AC3" t="s">
        <v>15</v>
      </c>
      <c r="AD3" t="s">
        <v>14</v>
      </c>
      <c r="AE3" t="s">
        <v>14</v>
      </c>
      <c r="AF3" t="s">
        <v>14</v>
      </c>
      <c r="AG3" t="s">
        <v>14</v>
      </c>
      <c r="AH3" t="s">
        <v>15</v>
      </c>
      <c r="AI3" t="s">
        <v>15</v>
      </c>
      <c r="AJ3" t="s">
        <v>15</v>
      </c>
      <c r="AK3" t="s">
        <v>15</v>
      </c>
      <c r="AL3" t="s">
        <v>14</v>
      </c>
      <c r="AM3" t="s">
        <v>14</v>
      </c>
      <c r="AN3" t="s">
        <v>14</v>
      </c>
      <c r="AO3" t="s">
        <v>14</v>
      </c>
      <c r="AP3" t="s">
        <v>15</v>
      </c>
      <c r="AQ3" t="s">
        <v>15</v>
      </c>
      <c r="AR3" t="s">
        <v>15</v>
      </c>
      <c r="AS3" t="s">
        <v>15</v>
      </c>
      <c r="AT3" t="s">
        <v>14</v>
      </c>
      <c r="AU3" t="s">
        <v>14</v>
      </c>
      <c r="AV3" t="s">
        <v>14</v>
      </c>
      <c r="AW3" t="s">
        <v>14</v>
      </c>
      <c r="AX3" t="s">
        <v>15</v>
      </c>
      <c r="AY3" t="s">
        <v>15</v>
      </c>
      <c r="AZ3" t="s">
        <v>15</v>
      </c>
      <c r="BA3" t="s">
        <v>15</v>
      </c>
      <c r="BB3" t="s">
        <v>14</v>
      </c>
      <c r="BC3" t="s">
        <v>14</v>
      </c>
      <c r="BD3" t="s">
        <v>14</v>
      </c>
      <c r="BE3" t="s">
        <v>14</v>
      </c>
      <c r="BF3" t="s">
        <v>15</v>
      </c>
      <c r="BG3" t="s">
        <v>15</v>
      </c>
      <c r="BH3" t="s">
        <v>15</v>
      </c>
      <c r="BI3" t="s">
        <v>15</v>
      </c>
    </row>
    <row r="4" spans="1:61" x14ac:dyDescent="0.25">
      <c r="A4">
        <v>250024</v>
      </c>
      <c r="B4" t="s">
        <v>14</v>
      </c>
      <c r="C4" t="s">
        <v>16</v>
      </c>
      <c r="D4">
        <v>93</v>
      </c>
      <c r="E4">
        <v>7314</v>
      </c>
      <c r="F4">
        <v>5</v>
      </c>
      <c r="G4">
        <v>20122</v>
      </c>
      <c r="H4" t="s">
        <v>0</v>
      </c>
      <c r="I4">
        <v>63247.000999999997</v>
      </c>
      <c r="J4">
        <v>2065</v>
      </c>
      <c r="K4">
        <v>95889.96</v>
      </c>
      <c r="L4">
        <v>91046.85</v>
      </c>
      <c r="M4">
        <v>4843.1099999999997</v>
      </c>
      <c r="N4" s="3" t="str">
        <f t="shared" ref="N4:U19" si="0">IF(AND($B4=N$3, $G4=N$2, $H4=N$1), 1, "")</f>
        <v/>
      </c>
      <c r="O4" s="4" t="str">
        <f t="shared" si="0"/>
        <v/>
      </c>
      <c r="P4" s="4" t="str">
        <f t="shared" si="0"/>
        <v/>
      </c>
      <c r="Q4" s="4" t="str">
        <f t="shared" si="0"/>
        <v/>
      </c>
      <c r="R4" s="4" t="str">
        <f t="shared" si="0"/>
        <v/>
      </c>
      <c r="S4" s="4" t="str">
        <f t="shared" si="0"/>
        <v/>
      </c>
      <c r="T4" s="4" t="str">
        <f t="shared" si="0"/>
        <v/>
      </c>
      <c r="U4" s="4" t="str">
        <f t="shared" si="0"/>
        <v/>
      </c>
      <c r="V4" s="4" t="str">
        <f>IF(AND($B4=V$3, $G4=V$2, LEFT($H4, 6)=V$1), 1, "")</f>
        <v/>
      </c>
      <c r="W4" s="4" t="str">
        <f t="shared" ref="W4:AC19" si="1">IF(AND($B4=W$3, $G4=W$2, LEFT($H4, 6)=W$1), 1, "")</f>
        <v/>
      </c>
      <c r="X4" s="4" t="str">
        <f t="shared" si="1"/>
        <v/>
      </c>
      <c r="Y4" s="4" t="str">
        <f t="shared" si="1"/>
        <v/>
      </c>
      <c r="Z4" s="4" t="str">
        <f t="shared" si="1"/>
        <v/>
      </c>
      <c r="AA4" s="4" t="str">
        <f t="shared" si="1"/>
        <v/>
      </c>
      <c r="AB4" s="4" t="str">
        <f t="shared" si="1"/>
        <v/>
      </c>
      <c r="AC4" s="5" t="str">
        <f t="shared" si="1"/>
        <v/>
      </c>
      <c r="AD4" s="3" t="str">
        <f t="shared" ref="AD4:AK19" si="2">IF(AND($B4=AD$3, $G4=AD$2, $H4=AD$1), 1, "")</f>
        <v/>
      </c>
      <c r="AE4" s="4">
        <f t="shared" si="2"/>
        <v>1</v>
      </c>
      <c r="AF4" s="4" t="str">
        <f t="shared" si="2"/>
        <v/>
      </c>
      <c r="AG4" s="4" t="str">
        <f t="shared" si="2"/>
        <v/>
      </c>
      <c r="AH4" s="4" t="str">
        <f t="shared" si="2"/>
        <v/>
      </c>
      <c r="AI4" s="4" t="str">
        <f t="shared" si="2"/>
        <v/>
      </c>
      <c r="AJ4" s="4" t="str">
        <f t="shared" si="2"/>
        <v/>
      </c>
      <c r="AK4" s="4" t="str">
        <f t="shared" si="2"/>
        <v/>
      </c>
      <c r="AL4" s="4" t="str">
        <f>IF(AND($B4=AL$3, $G4=AL$2, LEFT($H4, 6)=AL$1), 1, "")</f>
        <v/>
      </c>
      <c r="AM4" s="4" t="str">
        <f t="shared" ref="AM4:AS19" si="3">IF(AND($B4=AM$3, $G4=AM$2, LEFT($H4, 6)=AM$1), 1, "")</f>
        <v/>
      </c>
      <c r="AN4" s="4" t="str">
        <f t="shared" si="3"/>
        <v/>
      </c>
      <c r="AO4" s="4" t="str">
        <f t="shared" si="3"/>
        <v/>
      </c>
      <c r="AP4" s="4" t="str">
        <f t="shared" si="3"/>
        <v/>
      </c>
      <c r="AQ4" s="4" t="str">
        <f t="shared" si="3"/>
        <v/>
      </c>
      <c r="AR4" s="4" t="str">
        <f t="shared" si="3"/>
        <v/>
      </c>
      <c r="AS4" s="5" t="str">
        <f t="shared" si="3"/>
        <v/>
      </c>
      <c r="AT4" s="3" t="str">
        <f t="shared" ref="AT4:BA19" si="4">IF(AND($B4=AT$3, $G4=AT$2, $H4=AT$1), 1, "")</f>
        <v/>
      </c>
      <c r="AU4" s="4" t="str">
        <f t="shared" si="4"/>
        <v/>
      </c>
      <c r="AV4" s="4" t="str">
        <f t="shared" si="4"/>
        <v/>
      </c>
      <c r="AW4" s="4" t="str">
        <f t="shared" si="4"/>
        <v/>
      </c>
      <c r="AX4" s="4" t="str">
        <f t="shared" si="4"/>
        <v/>
      </c>
      <c r="AY4" s="4" t="str">
        <f t="shared" si="4"/>
        <v/>
      </c>
      <c r="AZ4" s="4" t="str">
        <f t="shared" si="4"/>
        <v/>
      </c>
      <c r="BA4" s="4" t="str">
        <f t="shared" si="4"/>
        <v/>
      </c>
      <c r="BB4" s="4" t="str">
        <f>IF(AND($B4=BB$3, $G4=BB$2, LEFT($H4, 6)=BB$1), 1, "")</f>
        <v/>
      </c>
      <c r="BC4" s="4" t="str">
        <f t="shared" ref="BC4:BI19" si="5">IF(AND($B4=BC$3, $G4=BC$2, LEFT($H4, 6)=BC$1), 1, "")</f>
        <v/>
      </c>
      <c r="BD4" s="4" t="str">
        <f t="shared" si="5"/>
        <v/>
      </c>
      <c r="BE4" s="4" t="str">
        <f t="shared" si="5"/>
        <v/>
      </c>
      <c r="BF4" s="4" t="str">
        <f t="shared" si="5"/>
        <v/>
      </c>
      <c r="BG4" s="4" t="str">
        <f t="shared" si="5"/>
        <v/>
      </c>
      <c r="BH4" s="4" t="str">
        <f t="shared" si="5"/>
        <v/>
      </c>
      <c r="BI4" s="5" t="str">
        <f t="shared" si="5"/>
        <v/>
      </c>
    </row>
    <row r="5" spans="1:61" x14ac:dyDescent="0.25">
      <c r="A5">
        <v>250025</v>
      </c>
      <c r="B5" t="s">
        <v>14</v>
      </c>
      <c r="C5" t="s">
        <v>16</v>
      </c>
      <c r="D5">
        <v>93</v>
      </c>
      <c r="E5">
        <v>7314</v>
      </c>
      <c r="F5">
        <v>5</v>
      </c>
      <c r="G5">
        <v>20123</v>
      </c>
      <c r="H5" t="s">
        <v>0</v>
      </c>
      <c r="I5">
        <v>205437</v>
      </c>
      <c r="J5">
        <v>6997</v>
      </c>
      <c r="K5">
        <v>172930.84</v>
      </c>
      <c r="L5">
        <v>163265.07</v>
      </c>
      <c r="M5">
        <v>9665.77</v>
      </c>
      <c r="N5" s="3" t="str">
        <f t="shared" si="0"/>
        <v/>
      </c>
      <c r="O5" s="4" t="str">
        <f t="shared" si="0"/>
        <v/>
      </c>
      <c r="P5" s="4" t="str">
        <f t="shared" si="0"/>
        <v/>
      </c>
      <c r="Q5" s="4" t="str">
        <f t="shared" si="0"/>
        <v/>
      </c>
      <c r="R5" s="4" t="str">
        <f t="shared" si="0"/>
        <v/>
      </c>
      <c r="S5" s="4" t="str">
        <f t="shared" si="0"/>
        <v/>
      </c>
      <c r="T5" s="4" t="str">
        <f t="shared" si="0"/>
        <v/>
      </c>
      <c r="U5" s="4" t="str">
        <f t="shared" si="0"/>
        <v/>
      </c>
      <c r="V5" s="4" t="str">
        <f t="shared" ref="V5:AC49" si="6">IF(AND($B5=V$3, $G5=V$2, LEFT($H5, 6)=V$1), 1, "")</f>
        <v/>
      </c>
      <c r="W5" s="4" t="str">
        <f t="shared" si="1"/>
        <v/>
      </c>
      <c r="X5" s="4" t="str">
        <f t="shared" si="1"/>
        <v/>
      </c>
      <c r="Y5" s="4" t="str">
        <f t="shared" si="1"/>
        <v/>
      </c>
      <c r="Z5" s="4" t="str">
        <f t="shared" si="1"/>
        <v/>
      </c>
      <c r="AA5" s="4" t="str">
        <f t="shared" si="1"/>
        <v/>
      </c>
      <c r="AB5" s="4" t="str">
        <f t="shared" si="1"/>
        <v/>
      </c>
      <c r="AC5" s="5" t="str">
        <f t="shared" si="1"/>
        <v/>
      </c>
      <c r="AD5" s="3" t="str">
        <f t="shared" si="2"/>
        <v/>
      </c>
      <c r="AE5" s="4" t="str">
        <f t="shared" si="2"/>
        <v/>
      </c>
      <c r="AF5" s="4">
        <f t="shared" si="2"/>
        <v>1</v>
      </c>
      <c r="AG5" s="4" t="str">
        <f t="shared" si="2"/>
        <v/>
      </c>
      <c r="AH5" s="4" t="str">
        <f t="shared" si="2"/>
        <v/>
      </c>
      <c r="AI5" s="4" t="str">
        <f t="shared" si="2"/>
        <v/>
      </c>
      <c r="AJ5" s="4" t="str">
        <f t="shared" si="2"/>
        <v/>
      </c>
      <c r="AK5" s="4" t="str">
        <f t="shared" si="2"/>
        <v/>
      </c>
      <c r="AL5" s="4" t="str">
        <f t="shared" ref="AL5:AS49" si="7">IF(AND($B5=AL$3, $G5=AL$2, LEFT($H5, 6)=AL$1), 1, "")</f>
        <v/>
      </c>
      <c r="AM5" s="4" t="str">
        <f t="shared" si="3"/>
        <v/>
      </c>
      <c r="AN5" s="4" t="str">
        <f t="shared" si="3"/>
        <v/>
      </c>
      <c r="AO5" s="4" t="str">
        <f t="shared" si="3"/>
        <v/>
      </c>
      <c r="AP5" s="4" t="str">
        <f t="shared" si="3"/>
        <v/>
      </c>
      <c r="AQ5" s="4" t="str">
        <f t="shared" si="3"/>
        <v/>
      </c>
      <c r="AR5" s="4" t="str">
        <f t="shared" si="3"/>
        <v/>
      </c>
      <c r="AS5" s="5" t="str">
        <f t="shared" si="3"/>
        <v/>
      </c>
      <c r="AT5" s="3" t="str">
        <f t="shared" si="4"/>
        <v/>
      </c>
      <c r="AU5" s="4" t="str">
        <f t="shared" si="4"/>
        <v/>
      </c>
      <c r="AV5" s="4" t="str">
        <f t="shared" si="4"/>
        <v/>
      </c>
      <c r="AW5" s="4" t="str">
        <f t="shared" si="4"/>
        <v/>
      </c>
      <c r="AX5" s="4" t="str">
        <f t="shared" si="4"/>
        <v/>
      </c>
      <c r="AY5" s="4" t="str">
        <f t="shared" si="4"/>
        <v/>
      </c>
      <c r="AZ5" s="4" t="str">
        <f t="shared" si="4"/>
        <v/>
      </c>
      <c r="BA5" s="4" t="str">
        <f t="shared" si="4"/>
        <v/>
      </c>
      <c r="BB5" s="4" t="str">
        <f t="shared" ref="BB5:BI49" si="8">IF(AND($B5=BB$3, $G5=BB$2, LEFT($H5, 6)=BB$1), 1, "")</f>
        <v/>
      </c>
      <c r="BC5" s="4" t="str">
        <f t="shared" si="5"/>
        <v/>
      </c>
      <c r="BD5" s="4" t="str">
        <f t="shared" si="5"/>
        <v/>
      </c>
      <c r="BE5" s="4" t="str">
        <f t="shared" si="5"/>
        <v/>
      </c>
      <c r="BF5" s="4" t="str">
        <f t="shared" si="5"/>
        <v/>
      </c>
      <c r="BG5" s="4" t="str">
        <f t="shared" si="5"/>
        <v/>
      </c>
      <c r="BH5" s="4" t="str">
        <f t="shared" si="5"/>
        <v/>
      </c>
      <c r="BI5" s="5" t="str">
        <f t="shared" si="5"/>
        <v/>
      </c>
    </row>
    <row r="6" spans="1:61" x14ac:dyDescent="0.25">
      <c r="A6">
        <v>250026</v>
      </c>
      <c r="B6" t="s">
        <v>14</v>
      </c>
      <c r="C6" t="s">
        <v>16</v>
      </c>
      <c r="D6">
        <v>93</v>
      </c>
      <c r="E6">
        <v>7314</v>
      </c>
      <c r="F6">
        <v>5</v>
      </c>
      <c r="G6">
        <v>20124</v>
      </c>
      <c r="H6" t="s">
        <v>0</v>
      </c>
      <c r="I6">
        <v>226932</v>
      </c>
      <c r="J6">
        <v>7792</v>
      </c>
      <c r="K6">
        <v>133603.81</v>
      </c>
      <c r="L6">
        <v>124843.32</v>
      </c>
      <c r="M6">
        <v>8760.49</v>
      </c>
      <c r="N6" s="3" t="str">
        <f t="shared" si="0"/>
        <v/>
      </c>
      <c r="O6" s="4" t="str">
        <f t="shared" si="0"/>
        <v/>
      </c>
      <c r="P6" s="4" t="str">
        <f t="shared" si="0"/>
        <v/>
      </c>
      <c r="Q6" s="4" t="str">
        <f t="shared" si="0"/>
        <v/>
      </c>
      <c r="R6" s="4" t="str">
        <f t="shared" si="0"/>
        <v/>
      </c>
      <c r="S6" s="4" t="str">
        <f t="shared" si="0"/>
        <v/>
      </c>
      <c r="T6" s="4" t="str">
        <f t="shared" si="0"/>
        <v/>
      </c>
      <c r="U6" s="4" t="str">
        <f t="shared" si="0"/>
        <v/>
      </c>
      <c r="V6" s="4" t="str">
        <f t="shared" si="6"/>
        <v/>
      </c>
      <c r="W6" s="4" t="str">
        <f t="shared" si="1"/>
        <v/>
      </c>
      <c r="X6" s="4" t="str">
        <f t="shared" si="1"/>
        <v/>
      </c>
      <c r="Y6" s="4" t="str">
        <f t="shared" si="1"/>
        <v/>
      </c>
      <c r="Z6" s="4" t="str">
        <f t="shared" si="1"/>
        <v/>
      </c>
      <c r="AA6" s="4" t="str">
        <f t="shared" si="1"/>
        <v/>
      </c>
      <c r="AB6" s="4" t="str">
        <f t="shared" si="1"/>
        <v/>
      </c>
      <c r="AC6" s="5" t="str">
        <f t="shared" si="1"/>
        <v/>
      </c>
      <c r="AD6" s="3" t="str">
        <f t="shared" si="2"/>
        <v/>
      </c>
      <c r="AE6" s="4" t="str">
        <f t="shared" si="2"/>
        <v/>
      </c>
      <c r="AF6" s="4" t="str">
        <f t="shared" si="2"/>
        <v/>
      </c>
      <c r="AG6" s="4">
        <f t="shared" si="2"/>
        <v>1</v>
      </c>
      <c r="AH6" s="4" t="str">
        <f t="shared" si="2"/>
        <v/>
      </c>
      <c r="AI6" s="4" t="str">
        <f t="shared" si="2"/>
        <v/>
      </c>
      <c r="AJ6" s="4" t="str">
        <f t="shared" si="2"/>
        <v/>
      </c>
      <c r="AK6" s="4" t="str">
        <f t="shared" si="2"/>
        <v/>
      </c>
      <c r="AL6" s="4" t="str">
        <f t="shared" si="7"/>
        <v/>
      </c>
      <c r="AM6" s="4" t="str">
        <f t="shared" si="3"/>
        <v/>
      </c>
      <c r="AN6" s="4" t="str">
        <f t="shared" si="3"/>
        <v/>
      </c>
      <c r="AO6" s="4" t="str">
        <f t="shared" si="3"/>
        <v/>
      </c>
      <c r="AP6" s="4" t="str">
        <f t="shared" si="3"/>
        <v/>
      </c>
      <c r="AQ6" s="4" t="str">
        <f t="shared" si="3"/>
        <v/>
      </c>
      <c r="AR6" s="4" t="str">
        <f t="shared" si="3"/>
        <v/>
      </c>
      <c r="AS6" s="5" t="str">
        <f t="shared" si="3"/>
        <v/>
      </c>
      <c r="AT6" s="3" t="str">
        <f t="shared" si="4"/>
        <v/>
      </c>
      <c r="AU6" s="4" t="str">
        <f t="shared" si="4"/>
        <v/>
      </c>
      <c r="AV6" s="4" t="str">
        <f t="shared" si="4"/>
        <v/>
      </c>
      <c r="AW6" s="4" t="str">
        <f t="shared" si="4"/>
        <v/>
      </c>
      <c r="AX6" s="4" t="str">
        <f t="shared" si="4"/>
        <v/>
      </c>
      <c r="AY6" s="4" t="str">
        <f t="shared" si="4"/>
        <v/>
      </c>
      <c r="AZ6" s="4" t="str">
        <f t="shared" si="4"/>
        <v/>
      </c>
      <c r="BA6" s="4" t="str">
        <f t="shared" si="4"/>
        <v/>
      </c>
      <c r="BB6" s="4" t="str">
        <f t="shared" si="8"/>
        <v/>
      </c>
      <c r="BC6" s="4" t="str">
        <f t="shared" si="5"/>
        <v/>
      </c>
      <c r="BD6" s="4" t="str">
        <f t="shared" si="5"/>
        <v/>
      </c>
      <c r="BE6" s="4" t="str">
        <f t="shared" si="5"/>
        <v/>
      </c>
      <c r="BF6" s="4" t="str">
        <f t="shared" si="5"/>
        <v/>
      </c>
      <c r="BG6" s="4" t="str">
        <f t="shared" si="5"/>
        <v/>
      </c>
      <c r="BH6" s="4" t="str">
        <f t="shared" si="5"/>
        <v/>
      </c>
      <c r="BI6" s="5" t="str">
        <f t="shared" si="5"/>
        <v/>
      </c>
    </row>
    <row r="7" spans="1:61" x14ac:dyDescent="0.25">
      <c r="A7">
        <v>250027</v>
      </c>
      <c r="B7" t="s">
        <v>14</v>
      </c>
      <c r="C7" t="s">
        <v>16</v>
      </c>
      <c r="D7">
        <v>93</v>
      </c>
      <c r="E7">
        <v>7314</v>
      </c>
      <c r="F7">
        <v>56</v>
      </c>
      <c r="G7">
        <v>20122</v>
      </c>
      <c r="H7" t="s">
        <v>0</v>
      </c>
      <c r="I7">
        <v>95669</v>
      </c>
      <c r="J7">
        <v>2978</v>
      </c>
      <c r="K7">
        <v>100616.94</v>
      </c>
      <c r="L7">
        <v>93444.7</v>
      </c>
      <c r="M7">
        <v>7172.24</v>
      </c>
      <c r="N7" s="3" t="str">
        <f t="shared" si="0"/>
        <v/>
      </c>
      <c r="O7" s="4" t="str">
        <f t="shared" si="0"/>
        <v/>
      </c>
      <c r="P7" s="4" t="str">
        <f t="shared" si="0"/>
        <v/>
      </c>
      <c r="Q7" s="4" t="str">
        <f t="shared" si="0"/>
        <v/>
      </c>
      <c r="R7" s="4" t="str">
        <f t="shared" si="0"/>
        <v/>
      </c>
      <c r="S7" s="4" t="str">
        <f t="shared" si="0"/>
        <v/>
      </c>
      <c r="T7" s="4" t="str">
        <f t="shared" si="0"/>
        <v/>
      </c>
      <c r="U7" s="4" t="str">
        <f t="shared" si="0"/>
        <v/>
      </c>
      <c r="V7" s="4" t="str">
        <f t="shared" si="6"/>
        <v/>
      </c>
      <c r="W7" s="4" t="str">
        <f t="shared" si="1"/>
        <v/>
      </c>
      <c r="X7" s="4" t="str">
        <f t="shared" si="1"/>
        <v/>
      </c>
      <c r="Y7" s="4" t="str">
        <f t="shared" si="1"/>
        <v/>
      </c>
      <c r="Z7" s="4" t="str">
        <f t="shared" si="1"/>
        <v/>
      </c>
      <c r="AA7" s="4" t="str">
        <f t="shared" si="1"/>
        <v/>
      </c>
      <c r="AB7" s="4" t="str">
        <f t="shared" si="1"/>
        <v/>
      </c>
      <c r="AC7" s="5" t="str">
        <f t="shared" si="1"/>
        <v/>
      </c>
      <c r="AD7" s="3" t="str">
        <f t="shared" si="2"/>
        <v/>
      </c>
      <c r="AE7" s="4">
        <f t="shared" si="2"/>
        <v>1</v>
      </c>
      <c r="AF7" s="4" t="str">
        <f t="shared" si="2"/>
        <v/>
      </c>
      <c r="AG7" s="4" t="str">
        <f t="shared" si="2"/>
        <v/>
      </c>
      <c r="AH7" s="4" t="str">
        <f t="shared" si="2"/>
        <v/>
      </c>
      <c r="AI7" s="4" t="str">
        <f t="shared" si="2"/>
        <v/>
      </c>
      <c r="AJ7" s="4" t="str">
        <f t="shared" si="2"/>
        <v/>
      </c>
      <c r="AK7" s="4" t="str">
        <f t="shared" si="2"/>
        <v/>
      </c>
      <c r="AL7" s="4" t="str">
        <f t="shared" si="7"/>
        <v/>
      </c>
      <c r="AM7" s="4" t="str">
        <f t="shared" si="3"/>
        <v/>
      </c>
      <c r="AN7" s="4" t="str">
        <f t="shared" si="3"/>
        <v/>
      </c>
      <c r="AO7" s="4" t="str">
        <f t="shared" si="3"/>
        <v/>
      </c>
      <c r="AP7" s="4" t="str">
        <f t="shared" si="3"/>
        <v/>
      </c>
      <c r="AQ7" s="4" t="str">
        <f t="shared" si="3"/>
        <v/>
      </c>
      <c r="AR7" s="4" t="str">
        <f t="shared" si="3"/>
        <v/>
      </c>
      <c r="AS7" s="5" t="str">
        <f t="shared" si="3"/>
        <v/>
      </c>
      <c r="AT7" s="3" t="str">
        <f t="shared" si="4"/>
        <v/>
      </c>
      <c r="AU7" s="4" t="str">
        <f t="shared" si="4"/>
        <v/>
      </c>
      <c r="AV7" s="4" t="str">
        <f t="shared" si="4"/>
        <v/>
      </c>
      <c r="AW7" s="4" t="str">
        <f t="shared" si="4"/>
        <v/>
      </c>
      <c r="AX7" s="4" t="str">
        <f t="shared" si="4"/>
        <v/>
      </c>
      <c r="AY7" s="4" t="str">
        <f t="shared" si="4"/>
        <v/>
      </c>
      <c r="AZ7" s="4" t="str">
        <f t="shared" si="4"/>
        <v/>
      </c>
      <c r="BA7" s="4" t="str">
        <f t="shared" si="4"/>
        <v/>
      </c>
      <c r="BB7" s="4" t="str">
        <f t="shared" si="8"/>
        <v/>
      </c>
      <c r="BC7" s="4" t="str">
        <f t="shared" si="5"/>
        <v/>
      </c>
      <c r="BD7" s="4" t="str">
        <f t="shared" si="5"/>
        <v/>
      </c>
      <c r="BE7" s="4" t="str">
        <f t="shared" si="5"/>
        <v/>
      </c>
      <c r="BF7" s="4" t="str">
        <f t="shared" si="5"/>
        <v/>
      </c>
      <c r="BG7" s="4" t="str">
        <f t="shared" si="5"/>
        <v/>
      </c>
      <c r="BH7" s="4" t="str">
        <f t="shared" si="5"/>
        <v/>
      </c>
      <c r="BI7" s="5" t="str">
        <f t="shared" si="5"/>
        <v/>
      </c>
    </row>
    <row r="8" spans="1:61" x14ac:dyDescent="0.25">
      <c r="A8">
        <v>250028</v>
      </c>
      <c r="B8" t="s">
        <v>14</v>
      </c>
      <c r="C8" t="s">
        <v>16</v>
      </c>
      <c r="D8">
        <v>93</v>
      </c>
      <c r="E8">
        <v>7314</v>
      </c>
      <c r="F8">
        <v>56</v>
      </c>
      <c r="G8">
        <v>20123</v>
      </c>
      <c r="H8" t="s">
        <v>0</v>
      </c>
      <c r="I8">
        <v>824092.272</v>
      </c>
      <c r="J8">
        <v>25089</v>
      </c>
      <c r="K8">
        <v>703523.35</v>
      </c>
      <c r="L8">
        <v>660559.72</v>
      </c>
      <c r="M8">
        <v>42963.63</v>
      </c>
      <c r="N8" s="3" t="str">
        <f t="shared" si="0"/>
        <v/>
      </c>
      <c r="O8" s="4" t="str">
        <f t="shared" si="0"/>
        <v/>
      </c>
      <c r="P8" s="4" t="str">
        <f t="shared" si="0"/>
        <v/>
      </c>
      <c r="Q8" s="4" t="str">
        <f t="shared" si="0"/>
        <v/>
      </c>
      <c r="R8" s="4" t="str">
        <f t="shared" si="0"/>
        <v/>
      </c>
      <c r="S8" s="4" t="str">
        <f t="shared" si="0"/>
        <v/>
      </c>
      <c r="T8" s="4" t="str">
        <f t="shared" si="0"/>
        <v/>
      </c>
      <c r="U8" s="4" t="str">
        <f t="shared" si="0"/>
        <v/>
      </c>
      <c r="V8" s="4" t="str">
        <f t="shared" si="6"/>
        <v/>
      </c>
      <c r="W8" s="4" t="str">
        <f t="shared" si="1"/>
        <v/>
      </c>
      <c r="X8" s="4" t="str">
        <f t="shared" si="1"/>
        <v/>
      </c>
      <c r="Y8" s="4" t="str">
        <f t="shared" si="1"/>
        <v/>
      </c>
      <c r="Z8" s="4" t="str">
        <f t="shared" si="1"/>
        <v/>
      </c>
      <c r="AA8" s="4" t="str">
        <f t="shared" si="1"/>
        <v/>
      </c>
      <c r="AB8" s="4" t="str">
        <f t="shared" si="1"/>
        <v/>
      </c>
      <c r="AC8" s="5" t="str">
        <f t="shared" si="1"/>
        <v/>
      </c>
      <c r="AD8" s="3" t="str">
        <f t="shared" si="2"/>
        <v/>
      </c>
      <c r="AE8" s="4" t="str">
        <f t="shared" si="2"/>
        <v/>
      </c>
      <c r="AF8" s="4">
        <f t="shared" si="2"/>
        <v>1</v>
      </c>
      <c r="AG8" s="4" t="str">
        <f t="shared" si="2"/>
        <v/>
      </c>
      <c r="AH8" s="4" t="str">
        <f t="shared" si="2"/>
        <v/>
      </c>
      <c r="AI8" s="4" t="str">
        <f t="shared" si="2"/>
        <v/>
      </c>
      <c r="AJ8" s="4" t="str">
        <f t="shared" si="2"/>
        <v/>
      </c>
      <c r="AK8" s="4" t="str">
        <f t="shared" si="2"/>
        <v/>
      </c>
      <c r="AL8" s="4" t="str">
        <f t="shared" si="7"/>
        <v/>
      </c>
      <c r="AM8" s="4" t="str">
        <f t="shared" si="3"/>
        <v/>
      </c>
      <c r="AN8" s="4" t="str">
        <f t="shared" si="3"/>
        <v/>
      </c>
      <c r="AO8" s="4" t="str">
        <f t="shared" si="3"/>
        <v/>
      </c>
      <c r="AP8" s="4" t="str">
        <f t="shared" si="3"/>
        <v/>
      </c>
      <c r="AQ8" s="4" t="str">
        <f t="shared" si="3"/>
        <v/>
      </c>
      <c r="AR8" s="4" t="str">
        <f t="shared" si="3"/>
        <v/>
      </c>
      <c r="AS8" s="5" t="str">
        <f t="shared" si="3"/>
        <v/>
      </c>
      <c r="AT8" s="3" t="str">
        <f t="shared" si="4"/>
        <v/>
      </c>
      <c r="AU8" s="4" t="str">
        <f t="shared" si="4"/>
        <v/>
      </c>
      <c r="AV8" s="4" t="str">
        <f t="shared" si="4"/>
        <v/>
      </c>
      <c r="AW8" s="4" t="str">
        <f t="shared" si="4"/>
        <v/>
      </c>
      <c r="AX8" s="4" t="str">
        <f t="shared" si="4"/>
        <v/>
      </c>
      <c r="AY8" s="4" t="str">
        <f t="shared" si="4"/>
        <v/>
      </c>
      <c r="AZ8" s="4" t="str">
        <f t="shared" si="4"/>
        <v/>
      </c>
      <c r="BA8" s="4" t="str">
        <f t="shared" si="4"/>
        <v/>
      </c>
      <c r="BB8" s="4" t="str">
        <f t="shared" si="8"/>
        <v/>
      </c>
      <c r="BC8" s="4" t="str">
        <f t="shared" si="5"/>
        <v/>
      </c>
      <c r="BD8" s="4" t="str">
        <f t="shared" si="5"/>
        <v/>
      </c>
      <c r="BE8" s="4" t="str">
        <f t="shared" si="5"/>
        <v/>
      </c>
      <c r="BF8" s="4" t="str">
        <f t="shared" si="5"/>
        <v/>
      </c>
      <c r="BG8" s="4" t="str">
        <f t="shared" si="5"/>
        <v/>
      </c>
      <c r="BH8" s="4" t="str">
        <f t="shared" si="5"/>
        <v/>
      </c>
      <c r="BI8" s="5" t="str">
        <f t="shared" si="5"/>
        <v/>
      </c>
    </row>
    <row r="9" spans="1:61" x14ac:dyDescent="0.25">
      <c r="A9">
        <v>250029</v>
      </c>
      <c r="B9" t="s">
        <v>14</v>
      </c>
      <c r="C9" t="s">
        <v>16</v>
      </c>
      <c r="D9">
        <v>93</v>
      </c>
      <c r="E9">
        <v>7314</v>
      </c>
      <c r="F9">
        <v>56</v>
      </c>
      <c r="G9">
        <v>20124</v>
      </c>
      <c r="H9" t="s">
        <v>0</v>
      </c>
      <c r="I9">
        <v>789596.86699999997</v>
      </c>
      <c r="J9">
        <v>23785</v>
      </c>
      <c r="K9">
        <v>418668.04</v>
      </c>
      <c r="L9">
        <v>384742.48</v>
      </c>
      <c r="M9">
        <v>33925.56</v>
      </c>
      <c r="N9" s="3" t="str">
        <f t="shared" si="0"/>
        <v/>
      </c>
      <c r="O9" s="4" t="str">
        <f t="shared" si="0"/>
        <v/>
      </c>
      <c r="P9" s="4" t="str">
        <f t="shared" si="0"/>
        <v/>
      </c>
      <c r="Q9" s="4" t="str">
        <f t="shared" si="0"/>
        <v/>
      </c>
      <c r="R9" s="4" t="str">
        <f t="shared" si="0"/>
        <v/>
      </c>
      <c r="S9" s="4" t="str">
        <f t="shared" si="0"/>
        <v/>
      </c>
      <c r="T9" s="4" t="str">
        <f t="shared" si="0"/>
        <v/>
      </c>
      <c r="U9" s="4" t="str">
        <f t="shared" si="0"/>
        <v/>
      </c>
      <c r="V9" s="4" t="str">
        <f t="shared" si="6"/>
        <v/>
      </c>
      <c r="W9" s="4" t="str">
        <f t="shared" si="1"/>
        <v/>
      </c>
      <c r="X9" s="4" t="str">
        <f t="shared" si="1"/>
        <v/>
      </c>
      <c r="Y9" s="4" t="str">
        <f t="shared" si="1"/>
        <v/>
      </c>
      <c r="Z9" s="4" t="str">
        <f t="shared" si="1"/>
        <v/>
      </c>
      <c r="AA9" s="4" t="str">
        <f t="shared" si="1"/>
        <v/>
      </c>
      <c r="AB9" s="4" t="str">
        <f t="shared" si="1"/>
        <v/>
      </c>
      <c r="AC9" s="5" t="str">
        <f t="shared" si="1"/>
        <v/>
      </c>
      <c r="AD9" s="3" t="str">
        <f t="shared" si="2"/>
        <v/>
      </c>
      <c r="AE9" s="4" t="str">
        <f t="shared" si="2"/>
        <v/>
      </c>
      <c r="AF9" s="4" t="str">
        <f t="shared" si="2"/>
        <v/>
      </c>
      <c r="AG9" s="4">
        <f t="shared" si="2"/>
        <v>1</v>
      </c>
      <c r="AH9" s="4" t="str">
        <f t="shared" si="2"/>
        <v/>
      </c>
      <c r="AI9" s="4" t="str">
        <f t="shared" si="2"/>
        <v/>
      </c>
      <c r="AJ9" s="4" t="str">
        <f t="shared" si="2"/>
        <v/>
      </c>
      <c r="AK9" s="4" t="str">
        <f t="shared" si="2"/>
        <v/>
      </c>
      <c r="AL9" s="4" t="str">
        <f t="shared" si="7"/>
        <v/>
      </c>
      <c r="AM9" s="4" t="str">
        <f t="shared" si="3"/>
        <v/>
      </c>
      <c r="AN9" s="4" t="str">
        <f t="shared" si="3"/>
        <v/>
      </c>
      <c r="AO9" s="4" t="str">
        <f t="shared" si="3"/>
        <v/>
      </c>
      <c r="AP9" s="4" t="str">
        <f t="shared" si="3"/>
        <v/>
      </c>
      <c r="AQ9" s="4" t="str">
        <f t="shared" si="3"/>
        <v/>
      </c>
      <c r="AR9" s="4" t="str">
        <f t="shared" si="3"/>
        <v/>
      </c>
      <c r="AS9" s="5" t="str">
        <f t="shared" si="3"/>
        <v/>
      </c>
      <c r="AT9" s="3" t="str">
        <f t="shared" si="4"/>
        <v/>
      </c>
      <c r="AU9" s="4" t="str">
        <f t="shared" si="4"/>
        <v/>
      </c>
      <c r="AV9" s="4" t="str">
        <f t="shared" si="4"/>
        <v/>
      </c>
      <c r="AW9" s="4" t="str">
        <f t="shared" si="4"/>
        <v/>
      </c>
      <c r="AX9" s="4" t="str">
        <f t="shared" si="4"/>
        <v/>
      </c>
      <c r="AY9" s="4" t="str">
        <f t="shared" si="4"/>
        <v/>
      </c>
      <c r="AZ9" s="4" t="str">
        <f t="shared" si="4"/>
        <v/>
      </c>
      <c r="BA9" s="4" t="str">
        <f t="shared" si="4"/>
        <v/>
      </c>
      <c r="BB9" s="4" t="str">
        <f t="shared" si="8"/>
        <v/>
      </c>
      <c r="BC9" s="4" t="str">
        <f t="shared" si="5"/>
        <v/>
      </c>
      <c r="BD9" s="4" t="str">
        <f t="shared" si="5"/>
        <v/>
      </c>
      <c r="BE9" s="4" t="str">
        <f t="shared" si="5"/>
        <v/>
      </c>
      <c r="BF9" s="4" t="str">
        <f t="shared" si="5"/>
        <v/>
      </c>
      <c r="BG9" s="4" t="str">
        <f t="shared" si="5"/>
        <v/>
      </c>
      <c r="BH9" s="4" t="str">
        <f t="shared" si="5"/>
        <v/>
      </c>
      <c r="BI9" s="5" t="str">
        <f t="shared" si="5"/>
        <v/>
      </c>
    </row>
    <row r="10" spans="1:61" x14ac:dyDescent="0.25">
      <c r="A10">
        <v>250030</v>
      </c>
      <c r="B10" t="s">
        <v>14</v>
      </c>
      <c r="C10" t="s">
        <v>16</v>
      </c>
      <c r="D10">
        <v>93</v>
      </c>
      <c r="E10">
        <v>7314</v>
      </c>
      <c r="F10">
        <v>98</v>
      </c>
      <c r="G10">
        <v>20122</v>
      </c>
      <c r="H10" t="s">
        <v>0</v>
      </c>
      <c r="I10">
        <v>148846</v>
      </c>
      <c r="J10">
        <v>4756</v>
      </c>
      <c r="K10">
        <v>122074.74</v>
      </c>
      <c r="L10">
        <v>113288.69</v>
      </c>
      <c r="M10">
        <v>8786.0499999999993</v>
      </c>
      <c r="N10" s="3" t="str">
        <f t="shared" si="0"/>
        <v/>
      </c>
      <c r="O10" s="4" t="str">
        <f t="shared" si="0"/>
        <v/>
      </c>
      <c r="P10" s="4" t="str">
        <f t="shared" si="0"/>
        <v/>
      </c>
      <c r="Q10" s="4" t="str">
        <f t="shared" si="0"/>
        <v/>
      </c>
      <c r="R10" s="4" t="str">
        <f t="shared" si="0"/>
        <v/>
      </c>
      <c r="S10" s="4" t="str">
        <f t="shared" si="0"/>
        <v/>
      </c>
      <c r="T10" s="4" t="str">
        <f t="shared" si="0"/>
        <v/>
      </c>
      <c r="U10" s="4" t="str">
        <f t="shared" si="0"/>
        <v/>
      </c>
      <c r="V10" s="4" t="str">
        <f t="shared" si="6"/>
        <v/>
      </c>
      <c r="W10" s="4" t="str">
        <f t="shared" si="1"/>
        <v/>
      </c>
      <c r="X10" s="4" t="str">
        <f t="shared" si="1"/>
        <v/>
      </c>
      <c r="Y10" s="4" t="str">
        <f t="shared" si="1"/>
        <v/>
      </c>
      <c r="Z10" s="4" t="str">
        <f t="shared" si="1"/>
        <v/>
      </c>
      <c r="AA10" s="4" t="str">
        <f t="shared" si="1"/>
        <v/>
      </c>
      <c r="AB10" s="4" t="str">
        <f t="shared" si="1"/>
        <v/>
      </c>
      <c r="AC10" s="5" t="str">
        <f t="shared" si="1"/>
        <v/>
      </c>
      <c r="AD10" s="3" t="str">
        <f t="shared" si="2"/>
        <v/>
      </c>
      <c r="AE10" s="4">
        <f t="shared" si="2"/>
        <v>1</v>
      </c>
      <c r="AF10" s="4" t="str">
        <f t="shared" si="2"/>
        <v/>
      </c>
      <c r="AG10" s="4" t="str">
        <f t="shared" si="2"/>
        <v/>
      </c>
      <c r="AH10" s="4" t="str">
        <f t="shared" si="2"/>
        <v/>
      </c>
      <c r="AI10" s="4" t="str">
        <f t="shared" si="2"/>
        <v/>
      </c>
      <c r="AJ10" s="4" t="str">
        <f t="shared" si="2"/>
        <v/>
      </c>
      <c r="AK10" s="4" t="str">
        <f t="shared" si="2"/>
        <v/>
      </c>
      <c r="AL10" s="4" t="str">
        <f t="shared" si="7"/>
        <v/>
      </c>
      <c r="AM10" s="4" t="str">
        <f t="shared" si="3"/>
        <v/>
      </c>
      <c r="AN10" s="4" t="str">
        <f t="shared" si="3"/>
        <v/>
      </c>
      <c r="AO10" s="4" t="str">
        <f t="shared" si="3"/>
        <v/>
      </c>
      <c r="AP10" s="4" t="str">
        <f t="shared" si="3"/>
        <v/>
      </c>
      <c r="AQ10" s="4" t="str">
        <f t="shared" si="3"/>
        <v/>
      </c>
      <c r="AR10" s="4" t="str">
        <f t="shared" si="3"/>
        <v/>
      </c>
      <c r="AS10" s="5" t="str">
        <f t="shared" si="3"/>
        <v/>
      </c>
      <c r="AT10" s="3" t="str">
        <f t="shared" si="4"/>
        <v/>
      </c>
      <c r="AU10" s="4" t="str">
        <f t="shared" si="4"/>
        <v/>
      </c>
      <c r="AV10" s="4" t="str">
        <f t="shared" si="4"/>
        <v/>
      </c>
      <c r="AW10" s="4" t="str">
        <f t="shared" si="4"/>
        <v/>
      </c>
      <c r="AX10" s="4" t="str">
        <f t="shared" si="4"/>
        <v/>
      </c>
      <c r="AY10" s="4" t="str">
        <f t="shared" si="4"/>
        <v/>
      </c>
      <c r="AZ10" s="4" t="str">
        <f t="shared" si="4"/>
        <v/>
      </c>
      <c r="BA10" s="4" t="str">
        <f t="shared" si="4"/>
        <v/>
      </c>
      <c r="BB10" s="4" t="str">
        <f t="shared" si="8"/>
        <v/>
      </c>
      <c r="BC10" s="4" t="str">
        <f t="shared" si="5"/>
        <v/>
      </c>
      <c r="BD10" s="4" t="str">
        <f t="shared" si="5"/>
        <v/>
      </c>
      <c r="BE10" s="4" t="str">
        <f t="shared" si="5"/>
        <v/>
      </c>
      <c r="BF10" s="4" t="str">
        <f t="shared" si="5"/>
        <v/>
      </c>
      <c r="BG10" s="4" t="str">
        <f t="shared" si="5"/>
        <v/>
      </c>
      <c r="BH10" s="4" t="str">
        <f t="shared" si="5"/>
        <v/>
      </c>
      <c r="BI10" s="5" t="str">
        <f t="shared" si="5"/>
        <v/>
      </c>
    </row>
    <row r="11" spans="1:61" x14ac:dyDescent="0.25">
      <c r="A11">
        <v>250031</v>
      </c>
      <c r="B11" t="s">
        <v>14</v>
      </c>
      <c r="C11" t="s">
        <v>16</v>
      </c>
      <c r="D11">
        <v>93</v>
      </c>
      <c r="E11">
        <v>7314</v>
      </c>
      <c r="F11">
        <v>98</v>
      </c>
      <c r="G11">
        <v>20123</v>
      </c>
      <c r="H11" t="s">
        <v>0</v>
      </c>
      <c r="I11">
        <v>691807.00100000005</v>
      </c>
      <c r="J11">
        <v>21738</v>
      </c>
      <c r="K11">
        <v>492479.34</v>
      </c>
      <c r="L11">
        <v>466086.11</v>
      </c>
      <c r="M11">
        <v>26393.23</v>
      </c>
      <c r="N11" s="3" t="str">
        <f t="shared" si="0"/>
        <v/>
      </c>
      <c r="O11" s="4" t="str">
        <f t="shared" si="0"/>
        <v/>
      </c>
      <c r="P11" s="4" t="str">
        <f t="shared" si="0"/>
        <v/>
      </c>
      <c r="Q11" s="4" t="str">
        <f t="shared" si="0"/>
        <v/>
      </c>
      <c r="R11" s="4" t="str">
        <f t="shared" si="0"/>
        <v/>
      </c>
      <c r="S11" s="4" t="str">
        <f t="shared" si="0"/>
        <v/>
      </c>
      <c r="T11" s="4" t="str">
        <f t="shared" si="0"/>
        <v/>
      </c>
      <c r="U11" s="4" t="str">
        <f t="shared" si="0"/>
        <v/>
      </c>
      <c r="V11" s="4" t="str">
        <f t="shared" si="6"/>
        <v/>
      </c>
      <c r="W11" s="4" t="str">
        <f t="shared" si="1"/>
        <v/>
      </c>
      <c r="X11" s="4" t="str">
        <f t="shared" si="1"/>
        <v/>
      </c>
      <c r="Y11" s="4" t="str">
        <f t="shared" si="1"/>
        <v/>
      </c>
      <c r="Z11" s="4" t="str">
        <f t="shared" si="1"/>
        <v/>
      </c>
      <c r="AA11" s="4" t="str">
        <f t="shared" si="1"/>
        <v/>
      </c>
      <c r="AB11" s="4" t="str">
        <f t="shared" si="1"/>
        <v/>
      </c>
      <c r="AC11" s="5" t="str">
        <f t="shared" si="1"/>
        <v/>
      </c>
      <c r="AD11" s="3" t="str">
        <f t="shared" si="2"/>
        <v/>
      </c>
      <c r="AE11" s="4" t="str">
        <f t="shared" si="2"/>
        <v/>
      </c>
      <c r="AF11" s="4">
        <f t="shared" si="2"/>
        <v>1</v>
      </c>
      <c r="AG11" s="4" t="str">
        <f t="shared" si="2"/>
        <v/>
      </c>
      <c r="AH11" s="4" t="str">
        <f t="shared" si="2"/>
        <v/>
      </c>
      <c r="AI11" s="4" t="str">
        <f t="shared" si="2"/>
        <v/>
      </c>
      <c r="AJ11" s="4" t="str">
        <f t="shared" si="2"/>
        <v/>
      </c>
      <c r="AK11" s="4" t="str">
        <f t="shared" si="2"/>
        <v/>
      </c>
      <c r="AL11" s="4" t="str">
        <f t="shared" si="7"/>
        <v/>
      </c>
      <c r="AM11" s="4" t="str">
        <f t="shared" si="3"/>
        <v/>
      </c>
      <c r="AN11" s="4" t="str">
        <f t="shared" si="3"/>
        <v/>
      </c>
      <c r="AO11" s="4" t="str">
        <f t="shared" si="3"/>
        <v/>
      </c>
      <c r="AP11" s="4" t="str">
        <f t="shared" si="3"/>
        <v/>
      </c>
      <c r="AQ11" s="4" t="str">
        <f t="shared" si="3"/>
        <v/>
      </c>
      <c r="AR11" s="4" t="str">
        <f t="shared" si="3"/>
        <v/>
      </c>
      <c r="AS11" s="5" t="str">
        <f t="shared" si="3"/>
        <v/>
      </c>
      <c r="AT11" s="3" t="str">
        <f t="shared" si="4"/>
        <v/>
      </c>
      <c r="AU11" s="4" t="str">
        <f t="shared" si="4"/>
        <v/>
      </c>
      <c r="AV11" s="4" t="str">
        <f t="shared" si="4"/>
        <v/>
      </c>
      <c r="AW11" s="4" t="str">
        <f t="shared" si="4"/>
        <v/>
      </c>
      <c r="AX11" s="4" t="str">
        <f t="shared" si="4"/>
        <v/>
      </c>
      <c r="AY11" s="4" t="str">
        <f t="shared" si="4"/>
        <v/>
      </c>
      <c r="AZ11" s="4" t="str">
        <f t="shared" si="4"/>
        <v/>
      </c>
      <c r="BA11" s="4" t="str">
        <f t="shared" si="4"/>
        <v/>
      </c>
      <c r="BB11" s="4" t="str">
        <f t="shared" si="8"/>
        <v/>
      </c>
      <c r="BC11" s="4" t="str">
        <f t="shared" si="5"/>
        <v/>
      </c>
      <c r="BD11" s="4" t="str">
        <f t="shared" si="5"/>
        <v/>
      </c>
      <c r="BE11" s="4" t="str">
        <f t="shared" si="5"/>
        <v/>
      </c>
      <c r="BF11" s="4" t="str">
        <f t="shared" si="5"/>
        <v/>
      </c>
      <c r="BG11" s="4" t="str">
        <f t="shared" si="5"/>
        <v/>
      </c>
      <c r="BH11" s="4" t="str">
        <f t="shared" si="5"/>
        <v/>
      </c>
      <c r="BI11" s="5" t="str">
        <f t="shared" si="5"/>
        <v/>
      </c>
    </row>
    <row r="12" spans="1:61" x14ac:dyDescent="0.25">
      <c r="A12">
        <v>250032</v>
      </c>
      <c r="B12" t="s">
        <v>14</v>
      </c>
      <c r="C12" t="s">
        <v>16</v>
      </c>
      <c r="D12">
        <v>93</v>
      </c>
      <c r="E12">
        <v>7314</v>
      </c>
      <c r="F12">
        <v>98</v>
      </c>
      <c r="G12">
        <v>20124</v>
      </c>
      <c r="H12" t="s">
        <v>0</v>
      </c>
      <c r="I12">
        <v>712981</v>
      </c>
      <c r="J12">
        <v>22243</v>
      </c>
      <c r="K12">
        <v>358500.27</v>
      </c>
      <c r="L12">
        <v>333416.34000000003</v>
      </c>
      <c r="M12">
        <v>25083.93</v>
      </c>
      <c r="N12" s="3" t="str">
        <f t="shared" si="0"/>
        <v/>
      </c>
      <c r="O12" s="4" t="str">
        <f t="shared" si="0"/>
        <v/>
      </c>
      <c r="P12" s="4" t="str">
        <f t="shared" si="0"/>
        <v/>
      </c>
      <c r="Q12" s="4" t="str">
        <f t="shared" si="0"/>
        <v/>
      </c>
      <c r="R12" s="4" t="str">
        <f t="shared" si="0"/>
        <v/>
      </c>
      <c r="S12" s="4" t="str">
        <f t="shared" si="0"/>
        <v/>
      </c>
      <c r="T12" s="4" t="str">
        <f t="shared" si="0"/>
        <v/>
      </c>
      <c r="U12" s="4" t="str">
        <f t="shared" si="0"/>
        <v/>
      </c>
      <c r="V12" s="4" t="str">
        <f t="shared" si="6"/>
        <v/>
      </c>
      <c r="W12" s="4" t="str">
        <f t="shared" si="1"/>
        <v/>
      </c>
      <c r="X12" s="4" t="str">
        <f t="shared" si="1"/>
        <v/>
      </c>
      <c r="Y12" s="4" t="str">
        <f t="shared" si="1"/>
        <v/>
      </c>
      <c r="Z12" s="4" t="str">
        <f t="shared" si="1"/>
        <v/>
      </c>
      <c r="AA12" s="4" t="str">
        <f t="shared" si="1"/>
        <v/>
      </c>
      <c r="AB12" s="4" t="str">
        <f t="shared" si="1"/>
        <v/>
      </c>
      <c r="AC12" s="5" t="str">
        <f t="shared" si="1"/>
        <v/>
      </c>
      <c r="AD12" s="3" t="str">
        <f t="shared" si="2"/>
        <v/>
      </c>
      <c r="AE12" s="4" t="str">
        <f t="shared" si="2"/>
        <v/>
      </c>
      <c r="AF12" s="4" t="str">
        <f t="shared" si="2"/>
        <v/>
      </c>
      <c r="AG12" s="4">
        <f t="shared" si="2"/>
        <v>1</v>
      </c>
      <c r="AH12" s="4" t="str">
        <f t="shared" si="2"/>
        <v/>
      </c>
      <c r="AI12" s="4" t="str">
        <f t="shared" si="2"/>
        <v/>
      </c>
      <c r="AJ12" s="4" t="str">
        <f t="shared" si="2"/>
        <v/>
      </c>
      <c r="AK12" s="4" t="str">
        <f t="shared" si="2"/>
        <v/>
      </c>
      <c r="AL12" s="4" t="str">
        <f t="shared" si="7"/>
        <v/>
      </c>
      <c r="AM12" s="4" t="str">
        <f t="shared" si="3"/>
        <v/>
      </c>
      <c r="AN12" s="4" t="str">
        <f t="shared" si="3"/>
        <v/>
      </c>
      <c r="AO12" s="4" t="str">
        <f t="shared" si="3"/>
        <v/>
      </c>
      <c r="AP12" s="4" t="str">
        <f t="shared" si="3"/>
        <v/>
      </c>
      <c r="AQ12" s="4" t="str">
        <f t="shared" si="3"/>
        <v/>
      </c>
      <c r="AR12" s="4" t="str">
        <f t="shared" si="3"/>
        <v/>
      </c>
      <c r="AS12" s="5" t="str">
        <f t="shared" si="3"/>
        <v/>
      </c>
      <c r="AT12" s="3" t="str">
        <f t="shared" si="4"/>
        <v/>
      </c>
      <c r="AU12" s="4" t="str">
        <f t="shared" si="4"/>
        <v/>
      </c>
      <c r="AV12" s="4" t="str">
        <f t="shared" si="4"/>
        <v/>
      </c>
      <c r="AW12" s="4" t="str">
        <f t="shared" si="4"/>
        <v/>
      </c>
      <c r="AX12" s="4" t="str">
        <f t="shared" si="4"/>
        <v/>
      </c>
      <c r="AY12" s="4" t="str">
        <f t="shared" si="4"/>
        <v/>
      </c>
      <c r="AZ12" s="4" t="str">
        <f t="shared" si="4"/>
        <v/>
      </c>
      <c r="BA12" s="4" t="str">
        <f t="shared" si="4"/>
        <v/>
      </c>
      <c r="BB12" s="4" t="str">
        <f t="shared" si="8"/>
        <v/>
      </c>
      <c r="BC12" s="4" t="str">
        <f t="shared" si="5"/>
        <v/>
      </c>
      <c r="BD12" s="4" t="str">
        <f t="shared" si="5"/>
        <v/>
      </c>
      <c r="BE12" s="4" t="str">
        <f t="shared" si="5"/>
        <v/>
      </c>
      <c r="BF12" s="4" t="str">
        <f t="shared" si="5"/>
        <v/>
      </c>
      <c r="BG12" s="4" t="str">
        <f t="shared" si="5"/>
        <v/>
      </c>
      <c r="BH12" s="4" t="str">
        <f t="shared" si="5"/>
        <v/>
      </c>
      <c r="BI12" s="5" t="str">
        <f t="shared" si="5"/>
        <v/>
      </c>
    </row>
    <row r="13" spans="1:61" x14ac:dyDescent="0.25">
      <c r="A13">
        <v>376849</v>
      </c>
      <c r="B13" t="s">
        <v>15</v>
      </c>
      <c r="C13" t="s">
        <v>16</v>
      </c>
      <c r="D13">
        <v>93</v>
      </c>
      <c r="E13">
        <v>7314</v>
      </c>
      <c r="F13">
        <v>5</v>
      </c>
      <c r="G13">
        <v>20122</v>
      </c>
      <c r="H13" t="s">
        <v>0</v>
      </c>
      <c r="I13">
        <v>90456</v>
      </c>
      <c r="J13">
        <v>2907</v>
      </c>
      <c r="K13">
        <v>271041.28000000003</v>
      </c>
      <c r="L13">
        <v>269657.12</v>
      </c>
      <c r="M13">
        <v>1384.16</v>
      </c>
      <c r="N13" s="3" t="str">
        <f t="shared" si="0"/>
        <v/>
      </c>
      <c r="O13" s="4" t="str">
        <f t="shared" si="0"/>
        <v/>
      </c>
      <c r="P13" s="4" t="str">
        <f t="shared" si="0"/>
        <v/>
      </c>
      <c r="Q13" s="4" t="str">
        <f t="shared" si="0"/>
        <v/>
      </c>
      <c r="R13" s="4" t="str">
        <f t="shared" si="0"/>
        <v/>
      </c>
      <c r="S13" s="4" t="str">
        <f t="shared" si="0"/>
        <v/>
      </c>
      <c r="T13" s="4" t="str">
        <f t="shared" si="0"/>
        <v/>
      </c>
      <c r="U13" s="4" t="str">
        <f t="shared" si="0"/>
        <v/>
      </c>
      <c r="V13" s="4" t="str">
        <f t="shared" si="6"/>
        <v/>
      </c>
      <c r="W13" s="4" t="str">
        <f t="shared" si="1"/>
        <v/>
      </c>
      <c r="X13" s="4" t="str">
        <f t="shared" si="1"/>
        <v/>
      </c>
      <c r="Y13" s="4" t="str">
        <f t="shared" si="1"/>
        <v/>
      </c>
      <c r="Z13" s="4" t="str">
        <f t="shared" si="1"/>
        <v/>
      </c>
      <c r="AA13" s="4" t="str">
        <f t="shared" si="1"/>
        <v/>
      </c>
      <c r="AB13" s="4" t="str">
        <f t="shared" si="1"/>
        <v/>
      </c>
      <c r="AC13" s="5" t="str">
        <f t="shared" si="1"/>
        <v/>
      </c>
      <c r="AD13" s="3" t="str">
        <f t="shared" si="2"/>
        <v/>
      </c>
      <c r="AE13" s="4" t="str">
        <f t="shared" si="2"/>
        <v/>
      </c>
      <c r="AF13" s="4" t="str">
        <f t="shared" si="2"/>
        <v/>
      </c>
      <c r="AG13" s="4" t="str">
        <f t="shared" si="2"/>
        <v/>
      </c>
      <c r="AH13" s="4" t="str">
        <f t="shared" si="2"/>
        <v/>
      </c>
      <c r="AI13" s="4">
        <f t="shared" si="2"/>
        <v>1</v>
      </c>
      <c r="AJ13" s="4" t="str">
        <f t="shared" si="2"/>
        <v/>
      </c>
      <c r="AK13" s="4" t="str">
        <f t="shared" si="2"/>
        <v/>
      </c>
      <c r="AL13" s="4" t="str">
        <f t="shared" si="7"/>
        <v/>
      </c>
      <c r="AM13" s="4" t="str">
        <f t="shared" si="3"/>
        <v/>
      </c>
      <c r="AN13" s="4" t="str">
        <f t="shared" si="3"/>
        <v/>
      </c>
      <c r="AO13" s="4" t="str">
        <f t="shared" si="3"/>
        <v/>
      </c>
      <c r="AP13" s="4" t="str">
        <f t="shared" si="3"/>
        <v/>
      </c>
      <c r="AQ13" s="4" t="str">
        <f t="shared" si="3"/>
        <v/>
      </c>
      <c r="AR13" s="4" t="str">
        <f t="shared" si="3"/>
        <v/>
      </c>
      <c r="AS13" s="5" t="str">
        <f t="shared" si="3"/>
        <v/>
      </c>
      <c r="AT13" s="3" t="str">
        <f t="shared" si="4"/>
        <v/>
      </c>
      <c r="AU13" s="4" t="str">
        <f t="shared" si="4"/>
        <v/>
      </c>
      <c r="AV13" s="4" t="str">
        <f t="shared" si="4"/>
        <v/>
      </c>
      <c r="AW13" s="4" t="str">
        <f t="shared" si="4"/>
        <v/>
      </c>
      <c r="AX13" s="4" t="str">
        <f t="shared" si="4"/>
        <v/>
      </c>
      <c r="AY13" s="4" t="str">
        <f t="shared" si="4"/>
        <v/>
      </c>
      <c r="AZ13" s="4" t="str">
        <f t="shared" si="4"/>
        <v/>
      </c>
      <c r="BA13" s="4" t="str">
        <f t="shared" si="4"/>
        <v/>
      </c>
      <c r="BB13" s="4" t="str">
        <f t="shared" si="8"/>
        <v/>
      </c>
      <c r="BC13" s="4" t="str">
        <f t="shared" si="5"/>
        <v/>
      </c>
      <c r="BD13" s="4" t="str">
        <f t="shared" si="5"/>
        <v/>
      </c>
      <c r="BE13" s="4" t="str">
        <f t="shared" si="5"/>
        <v/>
      </c>
      <c r="BF13" s="4" t="str">
        <f t="shared" si="5"/>
        <v/>
      </c>
      <c r="BG13" s="4" t="str">
        <f t="shared" si="5"/>
        <v/>
      </c>
      <c r="BH13" s="4" t="str">
        <f t="shared" si="5"/>
        <v/>
      </c>
      <c r="BI13" s="5" t="str">
        <f t="shared" si="5"/>
        <v/>
      </c>
    </row>
    <row r="14" spans="1:61" x14ac:dyDescent="0.25">
      <c r="A14">
        <v>376850</v>
      </c>
      <c r="B14" t="s">
        <v>15</v>
      </c>
      <c r="C14" t="s">
        <v>16</v>
      </c>
      <c r="D14">
        <v>93</v>
      </c>
      <c r="E14">
        <v>7314</v>
      </c>
      <c r="F14">
        <v>5</v>
      </c>
      <c r="G14">
        <v>20123</v>
      </c>
      <c r="H14" t="s">
        <v>0</v>
      </c>
      <c r="I14">
        <v>144226</v>
      </c>
      <c r="J14">
        <v>4753</v>
      </c>
      <c r="K14">
        <v>277594.13</v>
      </c>
      <c r="L14">
        <v>276593.42</v>
      </c>
      <c r="M14">
        <v>1000.71</v>
      </c>
      <c r="N14" s="3" t="str">
        <f t="shared" si="0"/>
        <v/>
      </c>
      <c r="O14" s="4" t="str">
        <f t="shared" si="0"/>
        <v/>
      </c>
      <c r="P14" s="4" t="str">
        <f t="shared" si="0"/>
        <v/>
      </c>
      <c r="Q14" s="4" t="str">
        <f t="shared" si="0"/>
        <v/>
      </c>
      <c r="R14" s="4" t="str">
        <f t="shared" si="0"/>
        <v/>
      </c>
      <c r="S14" s="4" t="str">
        <f t="shared" si="0"/>
        <v/>
      </c>
      <c r="T14" s="4" t="str">
        <f t="shared" si="0"/>
        <v/>
      </c>
      <c r="U14" s="4" t="str">
        <f t="shared" si="0"/>
        <v/>
      </c>
      <c r="V14" s="4" t="str">
        <f t="shared" si="6"/>
        <v/>
      </c>
      <c r="W14" s="4" t="str">
        <f t="shared" si="1"/>
        <v/>
      </c>
      <c r="X14" s="4" t="str">
        <f t="shared" si="1"/>
        <v/>
      </c>
      <c r="Y14" s="4" t="str">
        <f t="shared" si="1"/>
        <v/>
      </c>
      <c r="Z14" s="4" t="str">
        <f t="shared" si="1"/>
        <v/>
      </c>
      <c r="AA14" s="4" t="str">
        <f t="shared" si="1"/>
        <v/>
      </c>
      <c r="AB14" s="4" t="str">
        <f t="shared" si="1"/>
        <v/>
      </c>
      <c r="AC14" s="5" t="str">
        <f t="shared" si="1"/>
        <v/>
      </c>
      <c r="AD14" s="3" t="str">
        <f t="shared" si="2"/>
        <v/>
      </c>
      <c r="AE14" s="4" t="str">
        <f t="shared" si="2"/>
        <v/>
      </c>
      <c r="AF14" s="4" t="str">
        <f t="shared" si="2"/>
        <v/>
      </c>
      <c r="AG14" s="4" t="str">
        <f t="shared" si="2"/>
        <v/>
      </c>
      <c r="AH14" s="4" t="str">
        <f t="shared" si="2"/>
        <v/>
      </c>
      <c r="AI14" s="4" t="str">
        <f t="shared" si="2"/>
        <v/>
      </c>
      <c r="AJ14" s="4">
        <f t="shared" si="2"/>
        <v>1</v>
      </c>
      <c r="AK14" s="4" t="str">
        <f t="shared" si="2"/>
        <v/>
      </c>
      <c r="AL14" s="4" t="str">
        <f t="shared" si="7"/>
        <v/>
      </c>
      <c r="AM14" s="4" t="str">
        <f t="shared" si="3"/>
        <v/>
      </c>
      <c r="AN14" s="4" t="str">
        <f t="shared" si="3"/>
        <v/>
      </c>
      <c r="AO14" s="4" t="str">
        <f t="shared" si="3"/>
        <v/>
      </c>
      <c r="AP14" s="4" t="str">
        <f t="shared" si="3"/>
        <v/>
      </c>
      <c r="AQ14" s="4" t="str">
        <f t="shared" si="3"/>
        <v/>
      </c>
      <c r="AR14" s="4" t="str">
        <f t="shared" si="3"/>
        <v/>
      </c>
      <c r="AS14" s="5" t="str">
        <f t="shared" si="3"/>
        <v/>
      </c>
      <c r="AT14" s="3" t="str">
        <f t="shared" si="4"/>
        <v/>
      </c>
      <c r="AU14" s="4" t="str">
        <f t="shared" si="4"/>
        <v/>
      </c>
      <c r="AV14" s="4" t="str">
        <f t="shared" si="4"/>
        <v/>
      </c>
      <c r="AW14" s="4" t="str">
        <f t="shared" si="4"/>
        <v/>
      </c>
      <c r="AX14" s="4" t="str">
        <f t="shared" si="4"/>
        <v/>
      </c>
      <c r="AY14" s="4" t="str">
        <f t="shared" si="4"/>
        <v/>
      </c>
      <c r="AZ14" s="4" t="str">
        <f t="shared" si="4"/>
        <v/>
      </c>
      <c r="BA14" s="4" t="str">
        <f t="shared" si="4"/>
        <v/>
      </c>
      <c r="BB14" s="4" t="str">
        <f t="shared" si="8"/>
        <v/>
      </c>
      <c r="BC14" s="4" t="str">
        <f t="shared" si="5"/>
        <v/>
      </c>
      <c r="BD14" s="4" t="str">
        <f t="shared" si="5"/>
        <v/>
      </c>
      <c r="BE14" s="4" t="str">
        <f t="shared" si="5"/>
        <v/>
      </c>
      <c r="BF14" s="4" t="str">
        <f t="shared" si="5"/>
        <v/>
      </c>
      <c r="BG14" s="4" t="str">
        <f t="shared" si="5"/>
        <v/>
      </c>
      <c r="BH14" s="4" t="str">
        <f t="shared" si="5"/>
        <v/>
      </c>
      <c r="BI14" s="5" t="str">
        <f t="shared" si="5"/>
        <v/>
      </c>
    </row>
    <row r="15" spans="1:61" x14ac:dyDescent="0.25">
      <c r="A15">
        <v>376851</v>
      </c>
      <c r="B15" t="s">
        <v>15</v>
      </c>
      <c r="C15" t="s">
        <v>16</v>
      </c>
      <c r="D15">
        <v>93</v>
      </c>
      <c r="E15">
        <v>7314</v>
      </c>
      <c r="F15">
        <v>5</v>
      </c>
      <c r="G15">
        <v>20124</v>
      </c>
      <c r="H15" t="s">
        <v>0</v>
      </c>
      <c r="I15">
        <v>95815</v>
      </c>
      <c r="J15">
        <v>3209</v>
      </c>
      <c r="K15">
        <v>149509.10999999999</v>
      </c>
      <c r="L15">
        <v>148735.84</v>
      </c>
      <c r="M15">
        <v>773.27</v>
      </c>
      <c r="N15" s="3" t="str">
        <f t="shared" si="0"/>
        <v/>
      </c>
      <c r="O15" s="4" t="str">
        <f t="shared" si="0"/>
        <v/>
      </c>
      <c r="P15" s="4" t="str">
        <f t="shared" si="0"/>
        <v/>
      </c>
      <c r="Q15" s="4" t="str">
        <f t="shared" si="0"/>
        <v/>
      </c>
      <c r="R15" s="4" t="str">
        <f t="shared" si="0"/>
        <v/>
      </c>
      <c r="S15" s="4" t="str">
        <f t="shared" si="0"/>
        <v/>
      </c>
      <c r="T15" s="4" t="str">
        <f t="shared" si="0"/>
        <v/>
      </c>
      <c r="U15" s="4" t="str">
        <f t="shared" si="0"/>
        <v/>
      </c>
      <c r="V15" s="4" t="str">
        <f t="shared" si="6"/>
        <v/>
      </c>
      <c r="W15" s="4" t="str">
        <f t="shared" si="1"/>
        <v/>
      </c>
      <c r="X15" s="4" t="str">
        <f t="shared" si="1"/>
        <v/>
      </c>
      <c r="Y15" s="4" t="str">
        <f t="shared" si="1"/>
        <v/>
      </c>
      <c r="Z15" s="4" t="str">
        <f t="shared" si="1"/>
        <v/>
      </c>
      <c r="AA15" s="4" t="str">
        <f t="shared" si="1"/>
        <v/>
      </c>
      <c r="AB15" s="4" t="str">
        <f t="shared" si="1"/>
        <v/>
      </c>
      <c r="AC15" s="5" t="str">
        <f t="shared" si="1"/>
        <v/>
      </c>
      <c r="AD15" s="3" t="str">
        <f t="shared" si="2"/>
        <v/>
      </c>
      <c r="AE15" s="4" t="str">
        <f t="shared" si="2"/>
        <v/>
      </c>
      <c r="AF15" s="4" t="str">
        <f t="shared" si="2"/>
        <v/>
      </c>
      <c r="AG15" s="4" t="str">
        <f t="shared" si="2"/>
        <v/>
      </c>
      <c r="AH15" s="4" t="str">
        <f t="shared" si="2"/>
        <v/>
      </c>
      <c r="AI15" s="4" t="str">
        <f t="shared" si="2"/>
        <v/>
      </c>
      <c r="AJ15" s="4" t="str">
        <f t="shared" si="2"/>
        <v/>
      </c>
      <c r="AK15" s="4">
        <f t="shared" si="2"/>
        <v>1</v>
      </c>
      <c r="AL15" s="4" t="str">
        <f t="shared" si="7"/>
        <v/>
      </c>
      <c r="AM15" s="4" t="str">
        <f t="shared" si="3"/>
        <v/>
      </c>
      <c r="AN15" s="4" t="str">
        <f t="shared" si="3"/>
        <v/>
      </c>
      <c r="AO15" s="4" t="str">
        <f t="shared" si="3"/>
        <v/>
      </c>
      <c r="AP15" s="4" t="str">
        <f t="shared" si="3"/>
        <v/>
      </c>
      <c r="AQ15" s="4" t="str">
        <f t="shared" si="3"/>
        <v/>
      </c>
      <c r="AR15" s="4" t="str">
        <f t="shared" si="3"/>
        <v/>
      </c>
      <c r="AS15" s="5" t="str">
        <f t="shared" si="3"/>
        <v/>
      </c>
      <c r="AT15" s="3" t="str">
        <f t="shared" si="4"/>
        <v/>
      </c>
      <c r="AU15" s="4" t="str">
        <f t="shared" si="4"/>
        <v/>
      </c>
      <c r="AV15" s="4" t="str">
        <f t="shared" si="4"/>
        <v/>
      </c>
      <c r="AW15" s="4" t="str">
        <f t="shared" si="4"/>
        <v/>
      </c>
      <c r="AX15" s="4" t="str">
        <f t="shared" si="4"/>
        <v/>
      </c>
      <c r="AY15" s="4" t="str">
        <f t="shared" si="4"/>
        <v/>
      </c>
      <c r="AZ15" s="4" t="str">
        <f t="shared" si="4"/>
        <v/>
      </c>
      <c r="BA15" s="4" t="str">
        <f t="shared" si="4"/>
        <v/>
      </c>
      <c r="BB15" s="4" t="str">
        <f t="shared" si="8"/>
        <v/>
      </c>
      <c r="BC15" s="4" t="str">
        <f t="shared" si="5"/>
        <v/>
      </c>
      <c r="BD15" s="4" t="str">
        <f t="shared" si="5"/>
        <v/>
      </c>
      <c r="BE15" s="4" t="str">
        <f t="shared" si="5"/>
        <v/>
      </c>
      <c r="BF15" s="4" t="str">
        <f t="shared" si="5"/>
        <v/>
      </c>
      <c r="BG15" s="4" t="str">
        <f t="shared" si="5"/>
        <v/>
      </c>
      <c r="BH15" s="4" t="str">
        <f t="shared" si="5"/>
        <v/>
      </c>
      <c r="BI15" s="5" t="str">
        <f t="shared" si="5"/>
        <v/>
      </c>
    </row>
    <row r="16" spans="1:61" x14ac:dyDescent="0.25">
      <c r="A16">
        <v>376852</v>
      </c>
      <c r="B16" t="s">
        <v>15</v>
      </c>
      <c r="C16" t="s">
        <v>16</v>
      </c>
      <c r="D16">
        <v>93</v>
      </c>
      <c r="E16">
        <v>7314</v>
      </c>
      <c r="F16">
        <v>56</v>
      </c>
      <c r="G16">
        <v>20122</v>
      </c>
      <c r="H16" t="s">
        <v>0</v>
      </c>
      <c r="I16">
        <v>129703</v>
      </c>
      <c r="J16">
        <v>4173</v>
      </c>
      <c r="K16">
        <v>335051.01</v>
      </c>
      <c r="L16">
        <v>334106.56</v>
      </c>
      <c r="M16">
        <v>944.45</v>
      </c>
      <c r="N16" s="3" t="str">
        <f t="shared" si="0"/>
        <v/>
      </c>
      <c r="O16" s="4" t="str">
        <f t="shared" si="0"/>
        <v/>
      </c>
      <c r="P16" s="4" t="str">
        <f t="shared" si="0"/>
        <v/>
      </c>
      <c r="Q16" s="4" t="str">
        <f t="shared" si="0"/>
        <v/>
      </c>
      <c r="R16" s="4" t="str">
        <f t="shared" si="0"/>
        <v/>
      </c>
      <c r="S16" s="4" t="str">
        <f t="shared" si="0"/>
        <v/>
      </c>
      <c r="T16" s="4" t="str">
        <f t="shared" si="0"/>
        <v/>
      </c>
      <c r="U16" s="4" t="str">
        <f t="shared" si="0"/>
        <v/>
      </c>
      <c r="V16" s="4" t="str">
        <f t="shared" si="6"/>
        <v/>
      </c>
      <c r="W16" s="4" t="str">
        <f t="shared" si="1"/>
        <v/>
      </c>
      <c r="X16" s="4" t="str">
        <f t="shared" si="1"/>
        <v/>
      </c>
      <c r="Y16" s="4" t="str">
        <f t="shared" si="1"/>
        <v/>
      </c>
      <c r="Z16" s="4" t="str">
        <f t="shared" si="1"/>
        <v/>
      </c>
      <c r="AA16" s="4" t="str">
        <f t="shared" si="1"/>
        <v/>
      </c>
      <c r="AB16" s="4" t="str">
        <f t="shared" si="1"/>
        <v/>
      </c>
      <c r="AC16" s="5" t="str">
        <f t="shared" si="1"/>
        <v/>
      </c>
      <c r="AD16" s="3" t="str">
        <f t="shared" si="2"/>
        <v/>
      </c>
      <c r="AE16" s="4" t="str">
        <f t="shared" si="2"/>
        <v/>
      </c>
      <c r="AF16" s="4" t="str">
        <f t="shared" si="2"/>
        <v/>
      </c>
      <c r="AG16" s="4" t="str">
        <f t="shared" si="2"/>
        <v/>
      </c>
      <c r="AH16" s="4" t="str">
        <f t="shared" si="2"/>
        <v/>
      </c>
      <c r="AI16" s="4">
        <f t="shared" si="2"/>
        <v>1</v>
      </c>
      <c r="AJ16" s="4" t="str">
        <f t="shared" si="2"/>
        <v/>
      </c>
      <c r="AK16" s="4" t="str">
        <f t="shared" si="2"/>
        <v/>
      </c>
      <c r="AL16" s="4" t="str">
        <f t="shared" si="7"/>
        <v/>
      </c>
      <c r="AM16" s="4" t="str">
        <f t="shared" si="3"/>
        <v/>
      </c>
      <c r="AN16" s="4" t="str">
        <f t="shared" si="3"/>
        <v/>
      </c>
      <c r="AO16" s="4" t="str">
        <f t="shared" si="3"/>
        <v/>
      </c>
      <c r="AP16" s="4" t="str">
        <f t="shared" si="3"/>
        <v/>
      </c>
      <c r="AQ16" s="4" t="str">
        <f t="shared" si="3"/>
        <v/>
      </c>
      <c r="AR16" s="4" t="str">
        <f t="shared" si="3"/>
        <v/>
      </c>
      <c r="AS16" s="5" t="str">
        <f t="shared" si="3"/>
        <v/>
      </c>
      <c r="AT16" s="3" t="str">
        <f t="shared" si="4"/>
        <v/>
      </c>
      <c r="AU16" s="4" t="str">
        <f t="shared" si="4"/>
        <v/>
      </c>
      <c r="AV16" s="4" t="str">
        <f t="shared" si="4"/>
        <v/>
      </c>
      <c r="AW16" s="4" t="str">
        <f t="shared" si="4"/>
        <v/>
      </c>
      <c r="AX16" s="4" t="str">
        <f t="shared" si="4"/>
        <v/>
      </c>
      <c r="AY16" s="4" t="str">
        <f t="shared" si="4"/>
        <v/>
      </c>
      <c r="AZ16" s="4" t="str">
        <f t="shared" si="4"/>
        <v/>
      </c>
      <c r="BA16" s="4" t="str">
        <f t="shared" si="4"/>
        <v/>
      </c>
      <c r="BB16" s="4" t="str">
        <f t="shared" si="8"/>
        <v/>
      </c>
      <c r="BC16" s="4" t="str">
        <f t="shared" si="5"/>
        <v/>
      </c>
      <c r="BD16" s="4" t="str">
        <f t="shared" si="5"/>
        <v/>
      </c>
      <c r="BE16" s="4" t="str">
        <f t="shared" si="5"/>
        <v/>
      </c>
      <c r="BF16" s="4" t="str">
        <f t="shared" si="5"/>
        <v/>
      </c>
      <c r="BG16" s="4" t="str">
        <f t="shared" si="5"/>
        <v/>
      </c>
      <c r="BH16" s="4" t="str">
        <f t="shared" si="5"/>
        <v/>
      </c>
      <c r="BI16" s="5" t="str">
        <f t="shared" si="5"/>
        <v/>
      </c>
    </row>
    <row r="17" spans="1:61" x14ac:dyDescent="0.25">
      <c r="A17">
        <v>376853</v>
      </c>
      <c r="B17" t="s">
        <v>15</v>
      </c>
      <c r="C17" t="s">
        <v>16</v>
      </c>
      <c r="D17">
        <v>93</v>
      </c>
      <c r="E17">
        <v>7314</v>
      </c>
      <c r="F17">
        <v>56</v>
      </c>
      <c r="G17">
        <v>20123</v>
      </c>
      <c r="H17" t="s">
        <v>0</v>
      </c>
      <c r="I17">
        <v>758996</v>
      </c>
      <c r="J17">
        <v>24727</v>
      </c>
      <c r="K17">
        <v>1288417.03</v>
      </c>
      <c r="L17">
        <v>1284710.45</v>
      </c>
      <c r="M17">
        <v>3706.58</v>
      </c>
      <c r="N17" s="3" t="str">
        <f t="shared" si="0"/>
        <v/>
      </c>
      <c r="O17" s="4" t="str">
        <f t="shared" si="0"/>
        <v/>
      </c>
      <c r="P17" s="4" t="str">
        <f t="shared" si="0"/>
        <v/>
      </c>
      <c r="Q17" s="4" t="str">
        <f t="shared" si="0"/>
        <v/>
      </c>
      <c r="R17" s="4" t="str">
        <f t="shared" si="0"/>
        <v/>
      </c>
      <c r="S17" s="4" t="str">
        <f t="shared" si="0"/>
        <v/>
      </c>
      <c r="T17" s="4" t="str">
        <f t="shared" si="0"/>
        <v/>
      </c>
      <c r="U17" s="4" t="str">
        <f t="shared" si="0"/>
        <v/>
      </c>
      <c r="V17" s="4" t="str">
        <f t="shared" si="6"/>
        <v/>
      </c>
      <c r="W17" s="4" t="str">
        <f t="shared" si="1"/>
        <v/>
      </c>
      <c r="X17" s="4" t="str">
        <f t="shared" si="1"/>
        <v/>
      </c>
      <c r="Y17" s="4" t="str">
        <f t="shared" si="1"/>
        <v/>
      </c>
      <c r="Z17" s="4" t="str">
        <f t="shared" si="1"/>
        <v/>
      </c>
      <c r="AA17" s="4" t="str">
        <f t="shared" si="1"/>
        <v/>
      </c>
      <c r="AB17" s="4" t="str">
        <f t="shared" si="1"/>
        <v/>
      </c>
      <c r="AC17" s="5" t="str">
        <f t="shared" si="1"/>
        <v/>
      </c>
      <c r="AD17" s="3" t="str">
        <f t="shared" si="2"/>
        <v/>
      </c>
      <c r="AE17" s="4" t="str">
        <f t="shared" si="2"/>
        <v/>
      </c>
      <c r="AF17" s="4" t="str">
        <f t="shared" si="2"/>
        <v/>
      </c>
      <c r="AG17" s="4" t="str">
        <f t="shared" si="2"/>
        <v/>
      </c>
      <c r="AH17" s="4" t="str">
        <f t="shared" si="2"/>
        <v/>
      </c>
      <c r="AI17" s="4" t="str">
        <f t="shared" si="2"/>
        <v/>
      </c>
      <c r="AJ17" s="4">
        <f t="shared" si="2"/>
        <v>1</v>
      </c>
      <c r="AK17" s="4" t="str">
        <f t="shared" si="2"/>
        <v/>
      </c>
      <c r="AL17" s="4" t="str">
        <f t="shared" si="7"/>
        <v/>
      </c>
      <c r="AM17" s="4" t="str">
        <f t="shared" si="3"/>
        <v/>
      </c>
      <c r="AN17" s="4" t="str">
        <f t="shared" si="3"/>
        <v/>
      </c>
      <c r="AO17" s="4" t="str">
        <f t="shared" si="3"/>
        <v/>
      </c>
      <c r="AP17" s="4" t="str">
        <f t="shared" si="3"/>
        <v/>
      </c>
      <c r="AQ17" s="4" t="str">
        <f t="shared" si="3"/>
        <v/>
      </c>
      <c r="AR17" s="4" t="str">
        <f t="shared" si="3"/>
        <v/>
      </c>
      <c r="AS17" s="5" t="str">
        <f t="shared" si="3"/>
        <v/>
      </c>
      <c r="AT17" s="3" t="str">
        <f t="shared" si="4"/>
        <v/>
      </c>
      <c r="AU17" s="4" t="str">
        <f t="shared" si="4"/>
        <v/>
      </c>
      <c r="AV17" s="4" t="str">
        <f t="shared" si="4"/>
        <v/>
      </c>
      <c r="AW17" s="4" t="str">
        <f t="shared" si="4"/>
        <v/>
      </c>
      <c r="AX17" s="4" t="str">
        <f t="shared" si="4"/>
        <v/>
      </c>
      <c r="AY17" s="4" t="str">
        <f t="shared" si="4"/>
        <v/>
      </c>
      <c r="AZ17" s="4" t="str">
        <f t="shared" si="4"/>
        <v/>
      </c>
      <c r="BA17" s="4" t="str">
        <f t="shared" si="4"/>
        <v/>
      </c>
      <c r="BB17" s="4" t="str">
        <f t="shared" si="8"/>
        <v/>
      </c>
      <c r="BC17" s="4" t="str">
        <f t="shared" si="5"/>
        <v/>
      </c>
      <c r="BD17" s="4" t="str">
        <f t="shared" si="5"/>
        <v/>
      </c>
      <c r="BE17" s="4" t="str">
        <f t="shared" si="5"/>
        <v/>
      </c>
      <c r="BF17" s="4" t="str">
        <f t="shared" si="5"/>
        <v/>
      </c>
      <c r="BG17" s="4" t="str">
        <f t="shared" si="5"/>
        <v/>
      </c>
      <c r="BH17" s="4" t="str">
        <f t="shared" si="5"/>
        <v/>
      </c>
      <c r="BI17" s="5" t="str">
        <f t="shared" si="5"/>
        <v/>
      </c>
    </row>
    <row r="18" spans="1:61" x14ac:dyDescent="0.25">
      <c r="A18">
        <v>376854</v>
      </c>
      <c r="B18" t="s">
        <v>15</v>
      </c>
      <c r="C18" t="s">
        <v>16</v>
      </c>
      <c r="D18">
        <v>93</v>
      </c>
      <c r="E18">
        <v>7314</v>
      </c>
      <c r="F18">
        <v>56</v>
      </c>
      <c r="G18">
        <v>20124</v>
      </c>
      <c r="H18" t="s">
        <v>0</v>
      </c>
      <c r="I18">
        <v>794758</v>
      </c>
      <c r="J18">
        <v>25996</v>
      </c>
      <c r="K18">
        <v>1348977.49</v>
      </c>
      <c r="L18">
        <v>1289358.72</v>
      </c>
      <c r="M18">
        <v>59618.77</v>
      </c>
      <c r="N18" s="3" t="str">
        <f t="shared" si="0"/>
        <v/>
      </c>
      <c r="O18" s="4" t="str">
        <f t="shared" si="0"/>
        <v/>
      </c>
      <c r="P18" s="4" t="str">
        <f t="shared" si="0"/>
        <v/>
      </c>
      <c r="Q18" s="4" t="str">
        <f t="shared" si="0"/>
        <v/>
      </c>
      <c r="R18" s="4" t="str">
        <f t="shared" si="0"/>
        <v/>
      </c>
      <c r="S18" s="4" t="str">
        <f t="shared" si="0"/>
        <v/>
      </c>
      <c r="T18" s="4" t="str">
        <f t="shared" si="0"/>
        <v/>
      </c>
      <c r="U18" s="4" t="str">
        <f t="shared" si="0"/>
        <v/>
      </c>
      <c r="V18" s="4" t="str">
        <f t="shared" si="6"/>
        <v/>
      </c>
      <c r="W18" s="4" t="str">
        <f t="shared" si="1"/>
        <v/>
      </c>
      <c r="X18" s="4" t="str">
        <f t="shared" si="1"/>
        <v/>
      </c>
      <c r="Y18" s="4" t="str">
        <f t="shared" si="1"/>
        <v/>
      </c>
      <c r="Z18" s="4" t="str">
        <f t="shared" si="1"/>
        <v/>
      </c>
      <c r="AA18" s="4" t="str">
        <f t="shared" si="1"/>
        <v/>
      </c>
      <c r="AB18" s="4" t="str">
        <f t="shared" si="1"/>
        <v/>
      </c>
      <c r="AC18" s="5" t="str">
        <f t="shared" si="1"/>
        <v/>
      </c>
      <c r="AD18" s="3" t="str">
        <f t="shared" si="2"/>
        <v/>
      </c>
      <c r="AE18" s="4" t="str">
        <f t="shared" si="2"/>
        <v/>
      </c>
      <c r="AF18" s="4" t="str">
        <f t="shared" si="2"/>
        <v/>
      </c>
      <c r="AG18" s="4" t="str">
        <f t="shared" si="2"/>
        <v/>
      </c>
      <c r="AH18" s="4" t="str">
        <f t="shared" si="2"/>
        <v/>
      </c>
      <c r="AI18" s="4" t="str">
        <f t="shared" si="2"/>
        <v/>
      </c>
      <c r="AJ18" s="4" t="str">
        <f t="shared" si="2"/>
        <v/>
      </c>
      <c r="AK18" s="4">
        <f t="shared" si="2"/>
        <v>1</v>
      </c>
      <c r="AL18" s="4" t="str">
        <f t="shared" si="7"/>
        <v/>
      </c>
      <c r="AM18" s="4" t="str">
        <f t="shared" si="3"/>
        <v/>
      </c>
      <c r="AN18" s="4" t="str">
        <f t="shared" si="3"/>
        <v/>
      </c>
      <c r="AO18" s="4" t="str">
        <f t="shared" si="3"/>
        <v/>
      </c>
      <c r="AP18" s="4" t="str">
        <f t="shared" si="3"/>
        <v/>
      </c>
      <c r="AQ18" s="4" t="str">
        <f t="shared" si="3"/>
        <v/>
      </c>
      <c r="AR18" s="4" t="str">
        <f t="shared" si="3"/>
        <v/>
      </c>
      <c r="AS18" s="5" t="str">
        <f t="shared" si="3"/>
        <v/>
      </c>
      <c r="AT18" s="3" t="str">
        <f t="shared" si="4"/>
        <v/>
      </c>
      <c r="AU18" s="4" t="str">
        <f t="shared" si="4"/>
        <v/>
      </c>
      <c r="AV18" s="4" t="str">
        <f t="shared" si="4"/>
        <v/>
      </c>
      <c r="AW18" s="4" t="str">
        <f t="shared" si="4"/>
        <v/>
      </c>
      <c r="AX18" s="4" t="str">
        <f t="shared" si="4"/>
        <v/>
      </c>
      <c r="AY18" s="4" t="str">
        <f t="shared" si="4"/>
        <v/>
      </c>
      <c r="AZ18" s="4" t="str">
        <f t="shared" si="4"/>
        <v/>
      </c>
      <c r="BA18" s="4" t="str">
        <f t="shared" si="4"/>
        <v/>
      </c>
      <c r="BB18" s="4" t="str">
        <f t="shared" si="8"/>
        <v/>
      </c>
      <c r="BC18" s="4" t="str">
        <f t="shared" si="5"/>
        <v/>
      </c>
      <c r="BD18" s="4" t="str">
        <f t="shared" si="5"/>
        <v/>
      </c>
      <c r="BE18" s="4" t="str">
        <f t="shared" si="5"/>
        <v/>
      </c>
      <c r="BF18" s="4" t="str">
        <f t="shared" si="5"/>
        <v/>
      </c>
      <c r="BG18" s="4" t="str">
        <f t="shared" si="5"/>
        <v/>
      </c>
      <c r="BH18" s="4" t="str">
        <f t="shared" si="5"/>
        <v/>
      </c>
      <c r="BI18" s="5" t="str">
        <f t="shared" si="5"/>
        <v/>
      </c>
    </row>
    <row r="19" spans="1:61" x14ac:dyDescent="0.25">
      <c r="A19">
        <v>376855</v>
      </c>
      <c r="B19" t="s">
        <v>15</v>
      </c>
      <c r="C19" t="s">
        <v>16</v>
      </c>
      <c r="D19">
        <v>93</v>
      </c>
      <c r="E19">
        <v>7314</v>
      </c>
      <c r="F19">
        <v>98</v>
      </c>
      <c r="G19">
        <v>20122</v>
      </c>
      <c r="H19" t="s">
        <v>0</v>
      </c>
      <c r="I19">
        <v>145674</v>
      </c>
      <c r="J19">
        <v>4882</v>
      </c>
      <c r="K19">
        <v>262723.98</v>
      </c>
      <c r="L19">
        <v>261267.97</v>
      </c>
      <c r="M19">
        <v>1456.01</v>
      </c>
      <c r="N19" s="3" t="str">
        <f t="shared" si="0"/>
        <v/>
      </c>
      <c r="O19" s="4" t="str">
        <f t="shared" si="0"/>
        <v/>
      </c>
      <c r="P19" s="4" t="str">
        <f t="shared" si="0"/>
        <v/>
      </c>
      <c r="Q19" s="4" t="str">
        <f t="shared" si="0"/>
        <v/>
      </c>
      <c r="R19" s="4" t="str">
        <f t="shared" si="0"/>
        <v/>
      </c>
      <c r="S19" s="4" t="str">
        <f t="shared" si="0"/>
        <v/>
      </c>
      <c r="T19" s="4" t="str">
        <f t="shared" si="0"/>
        <v/>
      </c>
      <c r="U19" s="4" t="str">
        <f t="shared" si="0"/>
        <v/>
      </c>
      <c r="V19" s="4" t="str">
        <f t="shared" si="6"/>
        <v/>
      </c>
      <c r="W19" s="4" t="str">
        <f t="shared" si="1"/>
        <v/>
      </c>
      <c r="X19" s="4" t="str">
        <f t="shared" si="1"/>
        <v/>
      </c>
      <c r="Y19" s="4" t="str">
        <f t="shared" si="1"/>
        <v/>
      </c>
      <c r="Z19" s="4" t="str">
        <f t="shared" si="1"/>
        <v/>
      </c>
      <c r="AA19" s="4" t="str">
        <f t="shared" si="1"/>
        <v/>
      </c>
      <c r="AB19" s="4" t="str">
        <f t="shared" si="1"/>
        <v/>
      </c>
      <c r="AC19" s="5" t="str">
        <f t="shared" si="1"/>
        <v/>
      </c>
      <c r="AD19" s="3" t="str">
        <f t="shared" si="2"/>
        <v/>
      </c>
      <c r="AE19" s="4" t="str">
        <f t="shared" si="2"/>
        <v/>
      </c>
      <c r="AF19" s="4" t="str">
        <f t="shared" si="2"/>
        <v/>
      </c>
      <c r="AG19" s="4" t="str">
        <f t="shared" si="2"/>
        <v/>
      </c>
      <c r="AH19" s="4" t="str">
        <f t="shared" si="2"/>
        <v/>
      </c>
      <c r="AI19" s="4">
        <f t="shared" si="2"/>
        <v>1</v>
      </c>
      <c r="AJ19" s="4" t="str">
        <f t="shared" si="2"/>
        <v/>
      </c>
      <c r="AK19" s="4" t="str">
        <f t="shared" si="2"/>
        <v/>
      </c>
      <c r="AL19" s="4" t="str">
        <f t="shared" si="7"/>
        <v/>
      </c>
      <c r="AM19" s="4" t="str">
        <f t="shared" si="3"/>
        <v/>
      </c>
      <c r="AN19" s="4" t="str">
        <f t="shared" si="3"/>
        <v/>
      </c>
      <c r="AO19" s="4" t="str">
        <f t="shared" si="3"/>
        <v/>
      </c>
      <c r="AP19" s="4" t="str">
        <f t="shared" si="3"/>
        <v/>
      </c>
      <c r="AQ19" s="4" t="str">
        <f t="shared" si="3"/>
        <v/>
      </c>
      <c r="AR19" s="4" t="str">
        <f t="shared" si="3"/>
        <v/>
      </c>
      <c r="AS19" s="5" t="str">
        <f t="shared" si="3"/>
        <v/>
      </c>
      <c r="AT19" s="3" t="str">
        <f t="shared" si="4"/>
        <v/>
      </c>
      <c r="AU19" s="4" t="str">
        <f t="shared" si="4"/>
        <v/>
      </c>
      <c r="AV19" s="4" t="str">
        <f t="shared" si="4"/>
        <v/>
      </c>
      <c r="AW19" s="4" t="str">
        <f t="shared" si="4"/>
        <v/>
      </c>
      <c r="AX19" s="4" t="str">
        <f t="shared" si="4"/>
        <v/>
      </c>
      <c r="AY19" s="4" t="str">
        <f t="shared" si="4"/>
        <v/>
      </c>
      <c r="AZ19" s="4" t="str">
        <f t="shared" si="4"/>
        <v/>
      </c>
      <c r="BA19" s="4" t="str">
        <f t="shared" si="4"/>
        <v/>
      </c>
      <c r="BB19" s="4" t="str">
        <f t="shared" si="8"/>
        <v/>
      </c>
      <c r="BC19" s="4" t="str">
        <f t="shared" si="5"/>
        <v/>
      </c>
      <c r="BD19" s="4" t="str">
        <f t="shared" si="5"/>
        <v/>
      </c>
      <c r="BE19" s="4" t="str">
        <f t="shared" si="5"/>
        <v/>
      </c>
      <c r="BF19" s="4" t="str">
        <f t="shared" si="5"/>
        <v/>
      </c>
      <c r="BG19" s="4" t="str">
        <f t="shared" si="5"/>
        <v/>
      </c>
      <c r="BH19" s="4" t="str">
        <f t="shared" si="5"/>
        <v/>
      </c>
      <c r="BI19" s="5" t="str">
        <f t="shared" si="5"/>
        <v/>
      </c>
    </row>
    <row r="20" spans="1:61" x14ac:dyDescent="0.25">
      <c r="A20">
        <v>376856</v>
      </c>
      <c r="B20" t="s">
        <v>15</v>
      </c>
      <c r="C20" t="s">
        <v>16</v>
      </c>
      <c r="D20">
        <v>93</v>
      </c>
      <c r="E20">
        <v>7314</v>
      </c>
      <c r="F20">
        <v>98</v>
      </c>
      <c r="G20">
        <v>20123</v>
      </c>
      <c r="H20" t="s">
        <v>0</v>
      </c>
      <c r="I20">
        <v>710270</v>
      </c>
      <c r="J20">
        <v>23639</v>
      </c>
      <c r="K20">
        <v>1082105.6299999999</v>
      </c>
      <c r="L20">
        <v>1076931.26</v>
      </c>
      <c r="M20">
        <v>5174.37</v>
      </c>
      <c r="N20" s="3" t="str">
        <f t="shared" ref="N20:U51" si="9">IF(AND($B20=N$3, $G20=N$2, $H20=N$1), 1, "")</f>
        <v/>
      </c>
      <c r="O20" s="4" t="str">
        <f t="shared" si="9"/>
        <v/>
      </c>
      <c r="P20" s="4" t="str">
        <f t="shared" si="9"/>
        <v/>
      </c>
      <c r="Q20" s="4" t="str">
        <f t="shared" si="9"/>
        <v/>
      </c>
      <c r="R20" s="4" t="str">
        <f t="shared" si="9"/>
        <v/>
      </c>
      <c r="S20" s="4" t="str">
        <f t="shared" si="9"/>
        <v/>
      </c>
      <c r="T20" s="4" t="str">
        <f t="shared" si="9"/>
        <v/>
      </c>
      <c r="U20" s="4" t="str">
        <f t="shared" si="9"/>
        <v/>
      </c>
      <c r="V20" s="4" t="str">
        <f t="shared" si="6"/>
        <v/>
      </c>
      <c r="W20" s="4" t="str">
        <f t="shared" si="6"/>
        <v/>
      </c>
      <c r="X20" s="4" t="str">
        <f t="shared" si="6"/>
        <v/>
      </c>
      <c r="Y20" s="4" t="str">
        <f t="shared" si="6"/>
        <v/>
      </c>
      <c r="Z20" s="4" t="str">
        <f t="shared" si="6"/>
        <v/>
      </c>
      <c r="AA20" s="4" t="str">
        <f t="shared" si="6"/>
        <v/>
      </c>
      <c r="AB20" s="4" t="str">
        <f t="shared" si="6"/>
        <v/>
      </c>
      <c r="AC20" s="5" t="str">
        <f t="shared" si="6"/>
        <v/>
      </c>
      <c r="AD20" s="3" t="str">
        <f t="shared" ref="AD20:AK51" si="10">IF(AND($B20=AD$3, $G20=AD$2, $H20=AD$1), 1, "")</f>
        <v/>
      </c>
      <c r="AE20" s="4" t="str">
        <f t="shared" si="10"/>
        <v/>
      </c>
      <c r="AF20" s="4" t="str">
        <f t="shared" si="10"/>
        <v/>
      </c>
      <c r="AG20" s="4" t="str">
        <f t="shared" si="10"/>
        <v/>
      </c>
      <c r="AH20" s="4" t="str">
        <f t="shared" si="10"/>
        <v/>
      </c>
      <c r="AI20" s="4" t="str">
        <f t="shared" si="10"/>
        <v/>
      </c>
      <c r="AJ20" s="4">
        <f t="shared" si="10"/>
        <v>1</v>
      </c>
      <c r="AK20" s="4" t="str">
        <f t="shared" si="10"/>
        <v/>
      </c>
      <c r="AL20" s="4" t="str">
        <f t="shared" si="7"/>
        <v/>
      </c>
      <c r="AM20" s="4" t="str">
        <f t="shared" si="7"/>
        <v/>
      </c>
      <c r="AN20" s="4" t="str">
        <f t="shared" si="7"/>
        <v/>
      </c>
      <c r="AO20" s="4" t="str">
        <f t="shared" si="7"/>
        <v/>
      </c>
      <c r="AP20" s="4" t="str">
        <f t="shared" si="7"/>
        <v/>
      </c>
      <c r="AQ20" s="4" t="str">
        <f t="shared" si="7"/>
        <v/>
      </c>
      <c r="AR20" s="4" t="str">
        <f t="shared" si="7"/>
        <v/>
      </c>
      <c r="AS20" s="5" t="str">
        <f t="shared" si="7"/>
        <v/>
      </c>
      <c r="AT20" s="3" t="str">
        <f t="shared" ref="AT20:BA51" si="11">IF(AND($B20=AT$3, $G20=AT$2, $H20=AT$1), 1, "")</f>
        <v/>
      </c>
      <c r="AU20" s="4" t="str">
        <f t="shared" si="11"/>
        <v/>
      </c>
      <c r="AV20" s="4" t="str">
        <f t="shared" si="11"/>
        <v/>
      </c>
      <c r="AW20" s="4" t="str">
        <f t="shared" si="11"/>
        <v/>
      </c>
      <c r="AX20" s="4" t="str">
        <f t="shared" si="11"/>
        <v/>
      </c>
      <c r="AY20" s="4" t="str">
        <f t="shared" si="11"/>
        <v/>
      </c>
      <c r="AZ20" s="4" t="str">
        <f t="shared" si="11"/>
        <v/>
      </c>
      <c r="BA20" s="4" t="str">
        <f t="shared" si="11"/>
        <v/>
      </c>
      <c r="BB20" s="4" t="str">
        <f t="shared" si="8"/>
        <v/>
      </c>
      <c r="BC20" s="4" t="str">
        <f t="shared" si="8"/>
        <v/>
      </c>
      <c r="BD20" s="4" t="str">
        <f t="shared" si="8"/>
        <v/>
      </c>
      <c r="BE20" s="4" t="str">
        <f t="shared" si="8"/>
        <v/>
      </c>
      <c r="BF20" s="4" t="str">
        <f t="shared" si="8"/>
        <v/>
      </c>
      <c r="BG20" s="4" t="str">
        <f t="shared" si="8"/>
        <v/>
      </c>
      <c r="BH20" s="4" t="str">
        <f t="shared" si="8"/>
        <v/>
      </c>
      <c r="BI20" s="5" t="str">
        <f t="shared" si="8"/>
        <v/>
      </c>
    </row>
    <row r="21" spans="1:61" x14ac:dyDescent="0.25">
      <c r="A21">
        <v>376857</v>
      </c>
      <c r="B21" t="s">
        <v>15</v>
      </c>
      <c r="C21" t="s">
        <v>16</v>
      </c>
      <c r="D21">
        <v>93</v>
      </c>
      <c r="E21">
        <v>7314</v>
      </c>
      <c r="F21">
        <v>98</v>
      </c>
      <c r="G21">
        <v>20124</v>
      </c>
      <c r="H21" t="s">
        <v>0</v>
      </c>
      <c r="I21">
        <v>838109.99</v>
      </c>
      <c r="J21">
        <v>27772</v>
      </c>
      <c r="K21">
        <v>1205263.92</v>
      </c>
      <c r="L21">
        <v>1200418.3400000001</v>
      </c>
      <c r="M21">
        <v>4845.58</v>
      </c>
      <c r="N21" s="3" t="str">
        <f t="shared" si="9"/>
        <v/>
      </c>
      <c r="O21" s="4" t="str">
        <f t="shared" si="9"/>
        <v/>
      </c>
      <c r="P21" s="4" t="str">
        <f t="shared" si="9"/>
        <v/>
      </c>
      <c r="Q21" s="4" t="str">
        <f t="shared" si="9"/>
        <v/>
      </c>
      <c r="R21" s="4" t="str">
        <f t="shared" si="9"/>
        <v/>
      </c>
      <c r="S21" s="4" t="str">
        <f t="shared" si="9"/>
        <v/>
      </c>
      <c r="T21" s="4" t="str">
        <f t="shared" si="9"/>
        <v/>
      </c>
      <c r="U21" s="4" t="str">
        <f t="shared" si="9"/>
        <v/>
      </c>
      <c r="V21" s="4" t="str">
        <f t="shared" si="6"/>
        <v/>
      </c>
      <c r="W21" s="4" t="str">
        <f t="shared" si="6"/>
        <v/>
      </c>
      <c r="X21" s="4" t="str">
        <f t="shared" si="6"/>
        <v/>
      </c>
      <c r="Y21" s="4" t="str">
        <f t="shared" si="6"/>
        <v/>
      </c>
      <c r="Z21" s="4" t="str">
        <f t="shared" si="6"/>
        <v/>
      </c>
      <c r="AA21" s="4" t="str">
        <f t="shared" si="6"/>
        <v/>
      </c>
      <c r="AB21" s="4" t="str">
        <f t="shared" si="6"/>
        <v/>
      </c>
      <c r="AC21" s="5" t="str">
        <f t="shared" si="6"/>
        <v/>
      </c>
      <c r="AD21" s="3" t="str">
        <f t="shared" si="10"/>
        <v/>
      </c>
      <c r="AE21" s="4" t="str">
        <f t="shared" si="10"/>
        <v/>
      </c>
      <c r="AF21" s="4" t="str">
        <f t="shared" si="10"/>
        <v/>
      </c>
      <c r="AG21" s="4" t="str">
        <f t="shared" si="10"/>
        <v/>
      </c>
      <c r="AH21" s="4" t="str">
        <f t="shared" si="10"/>
        <v/>
      </c>
      <c r="AI21" s="4" t="str">
        <f t="shared" si="10"/>
        <v/>
      </c>
      <c r="AJ21" s="4" t="str">
        <f t="shared" si="10"/>
        <v/>
      </c>
      <c r="AK21" s="4">
        <f t="shared" si="10"/>
        <v>1</v>
      </c>
      <c r="AL21" s="4" t="str">
        <f t="shared" si="7"/>
        <v/>
      </c>
      <c r="AM21" s="4" t="str">
        <f t="shared" si="7"/>
        <v/>
      </c>
      <c r="AN21" s="4" t="str">
        <f t="shared" si="7"/>
        <v/>
      </c>
      <c r="AO21" s="4" t="str">
        <f t="shared" si="7"/>
        <v/>
      </c>
      <c r="AP21" s="4" t="str">
        <f t="shared" si="7"/>
        <v/>
      </c>
      <c r="AQ21" s="4" t="str">
        <f t="shared" si="7"/>
        <v/>
      </c>
      <c r="AR21" s="4" t="str">
        <f t="shared" si="7"/>
        <v/>
      </c>
      <c r="AS21" s="5" t="str">
        <f t="shared" si="7"/>
        <v/>
      </c>
      <c r="AT21" s="3" t="str">
        <f t="shared" si="11"/>
        <v/>
      </c>
      <c r="AU21" s="4" t="str">
        <f t="shared" si="11"/>
        <v/>
      </c>
      <c r="AV21" s="4" t="str">
        <f t="shared" si="11"/>
        <v/>
      </c>
      <c r="AW21" s="4" t="str">
        <f t="shared" si="11"/>
        <v/>
      </c>
      <c r="AX21" s="4" t="str">
        <f t="shared" si="11"/>
        <v/>
      </c>
      <c r="AY21" s="4" t="str">
        <f t="shared" si="11"/>
        <v/>
      </c>
      <c r="AZ21" s="4" t="str">
        <f t="shared" si="11"/>
        <v/>
      </c>
      <c r="BA21" s="4" t="str">
        <f t="shared" si="11"/>
        <v/>
      </c>
      <c r="BB21" s="4" t="str">
        <f t="shared" si="8"/>
        <v/>
      </c>
      <c r="BC21" s="4" t="str">
        <f t="shared" si="8"/>
        <v/>
      </c>
      <c r="BD21" s="4" t="str">
        <f t="shared" si="8"/>
        <v/>
      </c>
      <c r="BE21" s="4" t="str">
        <f t="shared" si="8"/>
        <v/>
      </c>
      <c r="BF21" s="4" t="str">
        <f t="shared" si="8"/>
        <v/>
      </c>
      <c r="BG21" s="4" t="str">
        <f t="shared" si="8"/>
        <v/>
      </c>
      <c r="BH21" s="4" t="str">
        <f t="shared" si="8"/>
        <v/>
      </c>
      <c r="BI21" s="5" t="str">
        <f t="shared" si="8"/>
        <v/>
      </c>
    </row>
    <row r="22" spans="1:61" x14ac:dyDescent="0.25">
      <c r="A22">
        <v>497011</v>
      </c>
      <c r="B22" t="s">
        <v>14</v>
      </c>
      <c r="C22" t="s">
        <v>16</v>
      </c>
      <c r="D22">
        <v>93</v>
      </c>
      <c r="E22">
        <v>7314</v>
      </c>
      <c r="F22">
        <v>5</v>
      </c>
      <c r="G22">
        <v>20131</v>
      </c>
      <c r="H22" t="s">
        <v>0</v>
      </c>
      <c r="I22">
        <v>231469</v>
      </c>
      <c r="J22">
        <v>7967</v>
      </c>
      <c r="K22">
        <v>127015.64</v>
      </c>
      <c r="L22">
        <v>121856.95</v>
      </c>
      <c r="M22">
        <v>5158.6899999999996</v>
      </c>
      <c r="N22" s="3" t="str">
        <f t="shared" si="9"/>
        <v/>
      </c>
      <c r="O22" s="4" t="str">
        <f t="shared" si="9"/>
        <v/>
      </c>
      <c r="P22" s="4" t="str">
        <f t="shared" si="9"/>
        <v/>
      </c>
      <c r="Q22" s="4" t="str">
        <f t="shared" si="9"/>
        <v/>
      </c>
      <c r="R22" s="4" t="str">
        <f t="shared" si="9"/>
        <v/>
      </c>
      <c r="S22" s="4" t="str">
        <f t="shared" si="9"/>
        <v/>
      </c>
      <c r="T22" s="4" t="str">
        <f t="shared" si="9"/>
        <v/>
      </c>
      <c r="U22" s="4" t="str">
        <f t="shared" si="9"/>
        <v/>
      </c>
      <c r="V22" s="4" t="str">
        <f t="shared" si="6"/>
        <v/>
      </c>
      <c r="W22" s="4" t="str">
        <f t="shared" si="6"/>
        <v/>
      </c>
      <c r="X22" s="4" t="str">
        <f t="shared" si="6"/>
        <v/>
      </c>
      <c r="Y22" s="4" t="str">
        <f t="shared" si="6"/>
        <v/>
      </c>
      <c r="Z22" s="4" t="str">
        <f t="shared" si="6"/>
        <v/>
      </c>
      <c r="AA22" s="4" t="str">
        <f t="shared" si="6"/>
        <v/>
      </c>
      <c r="AB22" s="4" t="str">
        <f t="shared" si="6"/>
        <v/>
      </c>
      <c r="AC22" s="5" t="str">
        <f t="shared" si="6"/>
        <v/>
      </c>
      <c r="AD22" s="3" t="str">
        <f t="shared" si="10"/>
        <v/>
      </c>
      <c r="AE22" s="4" t="str">
        <f t="shared" si="10"/>
        <v/>
      </c>
      <c r="AF22" s="4" t="str">
        <f t="shared" si="10"/>
        <v/>
      </c>
      <c r="AG22" s="4" t="str">
        <f t="shared" si="10"/>
        <v/>
      </c>
      <c r="AH22" s="4" t="str">
        <f t="shared" si="10"/>
        <v/>
      </c>
      <c r="AI22" s="4" t="str">
        <f t="shared" si="10"/>
        <v/>
      </c>
      <c r="AJ22" s="4" t="str">
        <f t="shared" si="10"/>
        <v/>
      </c>
      <c r="AK22" s="4" t="str">
        <f t="shared" si="10"/>
        <v/>
      </c>
      <c r="AL22" s="4" t="str">
        <f t="shared" si="7"/>
        <v/>
      </c>
      <c r="AM22" s="4" t="str">
        <f t="shared" si="7"/>
        <v/>
      </c>
      <c r="AN22" s="4" t="str">
        <f t="shared" si="7"/>
        <v/>
      </c>
      <c r="AO22" s="4" t="str">
        <f t="shared" si="7"/>
        <v/>
      </c>
      <c r="AP22" s="4" t="str">
        <f t="shared" si="7"/>
        <v/>
      </c>
      <c r="AQ22" s="4" t="str">
        <f t="shared" si="7"/>
        <v/>
      </c>
      <c r="AR22" s="4" t="str">
        <f t="shared" si="7"/>
        <v/>
      </c>
      <c r="AS22" s="5" t="str">
        <f t="shared" si="7"/>
        <v/>
      </c>
      <c r="AT22" s="3">
        <f t="shared" si="11"/>
        <v>1</v>
      </c>
      <c r="AU22" s="4" t="str">
        <f t="shared" si="11"/>
        <v/>
      </c>
      <c r="AV22" s="4" t="str">
        <f t="shared" si="11"/>
        <v/>
      </c>
      <c r="AW22" s="4" t="str">
        <f t="shared" si="11"/>
        <v/>
      </c>
      <c r="AX22" s="4" t="str">
        <f t="shared" si="11"/>
        <v/>
      </c>
      <c r="AY22" s="4" t="str">
        <f t="shared" si="11"/>
        <v/>
      </c>
      <c r="AZ22" s="4" t="str">
        <f t="shared" si="11"/>
        <v/>
      </c>
      <c r="BA22" s="4" t="str">
        <f t="shared" si="11"/>
        <v/>
      </c>
      <c r="BB22" s="4" t="str">
        <f t="shared" si="8"/>
        <v/>
      </c>
      <c r="BC22" s="4" t="str">
        <f t="shared" si="8"/>
        <v/>
      </c>
      <c r="BD22" s="4" t="str">
        <f t="shared" si="8"/>
        <v/>
      </c>
      <c r="BE22" s="4" t="str">
        <f t="shared" si="8"/>
        <v/>
      </c>
      <c r="BF22" s="4" t="str">
        <f t="shared" si="8"/>
        <v/>
      </c>
      <c r="BG22" s="4" t="str">
        <f t="shared" si="8"/>
        <v/>
      </c>
      <c r="BH22" s="4" t="str">
        <f t="shared" si="8"/>
        <v/>
      </c>
      <c r="BI22" s="5" t="str">
        <f t="shared" si="8"/>
        <v/>
      </c>
    </row>
    <row r="23" spans="1:61" x14ac:dyDescent="0.25">
      <c r="A23">
        <v>497012</v>
      </c>
      <c r="B23" t="s">
        <v>14</v>
      </c>
      <c r="C23" t="s">
        <v>16</v>
      </c>
      <c r="D23">
        <v>93</v>
      </c>
      <c r="E23">
        <v>7314</v>
      </c>
      <c r="F23">
        <v>5</v>
      </c>
      <c r="G23">
        <v>20132</v>
      </c>
      <c r="H23" t="s">
        <v>0</v>
      </c>
      <c r="I23">
        <v>258383</v>
      </c>
      <c r="J23">
        <v>8920</v>
      </c>
      <c r="K23">
        <v>133001.64000000001</v>
      </c>
      <c r="L23">
        <v>127612.57</v>
      </c>
      <c r="M23">
        <v>5389.07</v>
      </c>
      <c r="N23" s="3" t="str">
        <f t="shared" si="9"/>
        <v/>
      </c>
      <c r="O23" s="4" t="str">
        <f t="shared" si="9"/>
        <v/>
      </c>
      <c r="P23" s="4" t="str">
        <f t="shared" si="9"/>
        <v/>
      </c>
      <c r="Q23" s="4" t="str">
        <f t="shared" si="9"/>
        <v/>
      </c>
      <c r="R23" s="4" t="str">
        <f t="shared" si="9"/>
        <v/>
      </c>
      <c r="S23" s="4" t="str">
        <f t="shared" si="9"/>
        <v/>
      </c>
      <c r="T23" s="4" t="str">
        <f t="shared" si="9"/>
        <v/>
      </c>
      <c r="U23" s="4" t="str">
        <f t="shared" si="9"/>
        <v/>
      </c>
      <c r="V23" s="4" t="str">
        <f t="shared" si="6"/>
        <v/>
      </c>
      <c r="W23" s="4" t="str">
        <f t="shared" si="6"/>
        <v/>
      </c>
      <c r="X23" s="4" t="str">
        <f t="shared" si="6"/>
        <v/>
      </c>
      <c r="Y23" s="4" t="str">
        <f t="shared" si="6"/>
        <v/>
      </c>
      <c r="Z23" s="4" t="str">
        <f t="shared" si="6"/>
        <v/>
      </c>
      <c r="AA23" s="4" t="str">
        <f t="shared" si="6"/>
        <v/>
      </c>
      <c r="AB23" s="4" t="str">
        <f t="shared" si="6"/>
        <v/>
      </c>
      <c r="AC23" s="5" t="str">
        <f t="shared" si="6"/>
        <v/>
      </c>
      <c r="AD23" s="3" t="str">
        <f t="shared" si="10"/>
        <v/>
      </c>
      <c r="AE23" s="4" t="str">
        <f t="shared" si="10"/>
        <v/>
      </c>
      <c r="AF23" s="4" t="str">
        <f t="shared" si="10"/>
        <v/>
      </c>
      <c r="AG23" s="4" t="str">
        <f t="shared" si="10"/>
        <v/>
      </c>
      <c r="AH23" s="4" t="str">
        <f t="shared" si="10"/>
        <v/>
      </c>
      <c r="AI23" s="4" t="str">
        <f t="shared" si="10"/>
        <v/>
      </c>
      <c r="AJ23" s="4" t="str">
        <f t="shared" si="10"/>
        <v/>
      </c>
      <c r="AK23" s="4" t="str">
        <f t="shared" si="10"/>
        <v/>
      </c>
      <c r="AL23" s="4" t="str">
        <f t="shared" si="7"/>
        <v/>
      </c>
      <c r="AM23" s="4" t="str">
        <f t="shared" si="7"/>
        <v/>
      </c>
      <c r="AN23" s="4" t="str">
        <f t="shared" si="7"/>
        <v/>
      </c>
      <c r="AO23" s="4" t="str">
        <f t="shared" si="7"/>
        <v/>
      </c>
      <c r="AP23" s="4" t="str">
        <f t="shared" si="7"/>
        <v/>
      </c>
      <c r="AQ23" s="4" t="str">
        <f t="shared" si="7"/>
        <v/>
      </c>
      <c r="AR23" s="4" t="str">
        <f t="shared" si="7"/>
        <v/>
      </c>
      <c r="AS23" s="5" t="str">
        <f t="shared" si="7"/>
        <v/>
      </c>
      <c r="AT23" s="3" t="str">
        <f t="shared" si="11"/>
        <v/>
      </c>
      <c r="AU23" s="4">
        <f t="shared" si="11"/>
        <v>1</v>
      </c>
      <c r="AV23" s="4" t="str">
        <f t="shared" si="11"/>
        <v/>
      </c>
      <c r="AW23" s="4" t="str">
        <f t="shared" si="11"/>
        <v/>
      </c>
      <c r="AX23" s="4" t="str">
        <f t="shared" si="11"/>
        <v/>
      </c>
      <c r="AY23" s="4" t="str">
        <f t="shared" si="11"/>
        <v/>
      </c>
      <c r="AZ23" s="4" t="str">
        <f t="shared" si="11"/>
        <v/>
      </c>
      <c r="BA23" s="4" t="str">
        <f t="shared" si="11"/>
        <v/>
      </c>
      <c r="BB23" s="4" t="str">
        <f t="shared" si="8"/>
        <v/>
      </c>
      <c r="BC23" s="4" t="str">
        <f t="shared" si="8"/>
        <v/>
      </c>
      <c r="BD23" s="4" t="str">
        <f t="shared" si="8"/>
        <v/>
      </c>
      <c r="BE23" s="4" t="str">
        <f t="shared" si="8"/>
        <v/>
      </c>
      <c r="BF23" s="4" t="str">
        <f t="shared" si="8"/>
        <v/>
      </c>
      <c r="BG23" s="4" t="str">
        <f t="shared" si="8"/>
        <v/>
      </c>
      <c r="BH23" s="4" t="str">
        <f t="shared" si="8"/>
        <v/>
      </c>
      <c r="BI23" s="5" t="str">
        <f t="shared" si="8"/>
        <v/>
      </c>
    </row>
    <row r="24" spans="1:61" x14ac:dyDescent="0.25">
      <c r="A24">
        <v>497013</v>
      </c>
      <c r="B24" t="s">
        <v>14</v>
      </c>
      <c r="C24" t="s">
        <v>16</v>
      </c>
      <c r="D24">
        <v>93</v>
      </c>
      <c r="E24">
        <v>7314</v>
      </c>
      <c r="F24">
        <v>5</v>
      </c>
      <c r="G24">
        <v>20133</v>
      </c>
      <c r="H24" t="s">
        <v>0</v>
      </c>
      <c r="I24">
        <v>258250.00099999999</v>
      </c>
      <c r="J24">
        <v>8951</v>
      </c>
      <c r="K24">
        <v>154228.81</v>
      </c>
      <c r="L24">
        <v>148887.48000000001</v>
      </c>
      <c r="M24">
        <v>5341.33</v>
      </c>
      <c r="N24" s="3" t="str">
        <f t="shared" si="9"/>
        <v/>
      </c>
      <c r="O24" s="4" t="str">
        <f t="shared" si="9"/>
        <v/>
      </c>
      <c r="P24" s="4" t="str">
        <f t="shared" si="9"/>
        <v/>
      </c>
      <c r="Q24" s="4" t="str">
        <f t="shared" si="9"/>
        <v/>
      </c>
      <c r="R24" s="4" t="str">
        <f t="shared" si="9"/>
        <v/>
      </c>
      <c r="S24" s="4" t="str">
        <f t="shared" si="9"/>
        <v/>
      </c>
      <c r="T24" s="4" t="str">
        <f t="shared" si="9"/>
        <v/>
      </c>
      <c r="U24" s="4" t="str">
        <f t="shared" si="9"/>
        <v/>
      </c>
      <c r="V24" s="4" t="str">
        <f t="shared" si="6"/>
        <v/>
      </c>
      <c r="W24" s="4" t="str">
        <f t="shared" si="6"/>
        <v/>
      </c>
      <c r="X24" s="4" t="str">
        <f t="shared" si="6"/>
        <v/>
      </c>
      <c r="Y24" s="4" t="str">
        <f t="shared" si="6"/>
        <v/>
      </c>
      <c r="Z24" s="4" t="str">
        <f t="shared" si="6"/>
        <v/>
      </c>
      <c r="AA24" s="4" t="str">
        <f t="shared" si="6"/>
        <v/>
      </c>
      <c r="AB24" s="4" t="str">
        <f t="shared" si="6"/>
        <v/>
      </c>
      <c r="AC24" s="5" t="str">
        <f t="shared" si="6"/>
        <v/>
      </c>
      <c r="AD24" s="3" t="str">
        <f t="shared" si="10"/>
        <v/>
      </c>
      <c r="AE24" s="4" t="str">
        <f t="shared" si="10"/>
        <v/>
      </c>
      <c r="AF24" s="4" t="str">
        <f t="shared" si="10"/>
        <v/>
      </c>
      <c r="AG24" s="4" t="str">
        <f t="shared" si="10"/>
        <v/>
      </c>
      <c r="AH24" s="4" t="str">
        <f t="shared" si="10"/>
        <v/>
      </c>
      <c r="AI24" s="4" t="str">
        <f t="shared" si="10"/>
        <v/>
      </c>
      <c r="AJ24" s="4" t="str">
        <f t="shared" si="10"/>
        <v/>
      </c>
      <c r="AK24" s="4" t="str">
        <f t="shared" si="10"/>
        <v/>
      </c>
      <c r="AL24" s="4" t="str">
        <f t="shared" si="7"/>
        <v/>
      </c>
      <c r="AM24" s="4" t="str">
        <f t="shared" si="7"/>
        <v/>
      </c>
      <c r="AN24" s="4" t="str">
        <f t="shared" si="7"/>
        <v/>
      </c>
      <c r="AO24" s="4" t="str">
        <f t="shared" si="7"/>
        <v/>
      </c>
      <c r="AP24" s="4" t="str">
        <f t="shared" si="7"/>
        <v/>
      </c>
      <c r="AQ24" s="4" t="str">
        <f t="shared" si="7"/>
        <v/>
      </c>
      <c r="AR24" s="4" t="str">
        <f t="shared" si="7"/>
        <v/>
      </c>
      <c r="AS24" s="5" t="str">
        <f t="shared" si="7"/>
        <v/>
      </c>
      <c r="AT24" s="3" t="str">
        <f t="shared" si="11"/>
        <v/>
      </c>
      <c r="AU24" s="4" t="str">
        <f t="shared" si="11"/>
        <v/>
      </c>
      <c r="AV24" s="4">
        <f t="shared" si="11"/>
        <v>1</v>
      </c>
      <c r="AW24" s="4" t="str">
        <f t="shared" si="11"/>
        <v/>
      </c>
      <c r="AX24" s="4" t="str">
        <f t="shared" si="11"/>
        <v/>
      </c>
      <c r="AY24" s="4" t="str">
        <f t="shared" si="11"/>
        <v/>
      </c>
      <c r="AZ24" s="4" t="str">
        <f t="shared" si="11"/>
        <v/>
      </c>
      <c r="BA24" s="4" t="str">
        <f t="shared" si="11"/>
        <v/>
      </c>
      <c r="BB24" s="4" t="str">
        <f t="shared" si="8"/>
        <v/>
      </c>
      <c r="BC24" s="4" t="str">
        <f t="shared" si="8"/>
        <v/>
      </c>
      <c r="BD24" s="4" t="str">
        <f t="shared" si="8"/>
        <v/>
      </c>
      <c r="BE24" s="4" t="str">
        <f t="shared" si="8"/>
        <v/>
      </c>
      <c r="BF24" s="4" t="str">
        <f t="shared" si="8"/>
        <v/>
      </c>
      <c r="BG24" s="4" t="str">
        <f t="shared" si="8"/>
        <v/>
      </c>
      <c r="BH24" s="4" t="str">
        <f t="shared" si="8"/>
        <v/>
      </c>
      <c r="BI24" s="5" t="str">
        <f t="shared" si="8"/>
        <v/>
      </c>
    </row>
    <row r="25" spans="1:61" x14ac:dyDescent="0.25">
      <c r="A25">
        <v>497014</v>
      </c>
      <c r="B25" t="s">
        <v>14</v>
      </c>
      <c r="C25" t="s">
        <v>16</v>
      </c>
      <c r="D25">
        <v>93</v>
      </c>
      <c r="E25">
        <v>7314</v>
      </c>
      <c r="F25">
        <v>5</v>
      </c>
      <c r="G25">
        <v>20134</v>
      </c>
      <c r="H25" t="s">
        <v>0</v>
      </c>
      <c r="I25">
        <v>169967</v>
      </c>
      <c r="J25">
        <v>5968</v>
      </c>
      <c r="K25">
        <v>92435.97</v>
      </c>
      <c r="L25">
        <v>89260.66</v>
      </c>
      <c r="M25">
        <v>3175.31</v>
      </c>
      <c r="N25" s="3" t="str">
        <f t="shared" si="9"/>
        <v/>
      </c>
      <c r="O25" s="4" t="str">
        <f t="shared" si="9"/>
        <v/>
      </c>
      <c r="P25" s="4" t="str">
        <f t="shared" si="9"/>
        <v/>
      </c>
      <c r="Q25" s="4" t="str">
        <f t="shared" si="9"/>
        <v/>
      </c>
      <c r="R25" s="4" t="str">
        <f t="shared" si="9"/>
        <v/>
      </c>
      <c r="S25" s="4" t="str">
        <f t="shared" si="9"/>
        <v/>
      </c>
      <c r="T25" s="4" t="str">
        <f t="shared" si="9"/>
        <v/>
      </c>
      <c r="U25" s="4" t="str">
        <f t="shared" si="9"/>
        <v/>
      </c>
      <c r="V25" s="4" t="str">
        <f t="shared" si="6"/>
        <v/>
      </c>
      <c r="W25" s="4" t="str">
        <f t="shared" si="6"/>
        <v/>
      </c>
      <c r="X25" s="4" t="str">
        <f t="shared" si="6"/>
        <v/>
      </c>
      <c r="Y25" s="4" t="str">
        <f t="shared" si="6"/>
        <v/>
      </c>
      <c r="Z25" s="4" t="str">
        <f t="shared" si="6"/>
        <v/>
      </c>
      <c r="AA25" s="4" t="str">
        <f t="shared" si="6"/>
        <v/>
      </c>
      <c r="AB25" s="4" t="str">
        <f t="shared" si="6"/>
        <v/>
      </c>
      <c r="AC25" s="5" t="str">
        <f t="shared" si="6"/>
        <v/>
      </c>
      <c r="AD25" s="3" t="str">
        <f t="shared" si="10"/>
        <v/>
      </c>
      <c r="AE25" s="4" t="str">
        <f t="shared" si="10"/>
        <v/>
      </c>
      <c r="AF25" s="4" t="str">
        <f t="shared" si="10"/>
        <v/>
      </c>
      <c r="AG25" s="4" t="str">
        <f t="shared" si="10"/>
        <v/>
      </c>
      <c r="AH25" s="4" t="str">
        <f t="shared" si="10"/>
        <v/>
      </c>
      <c r="AI25" s="4" t="str">
        <f t="shared" si="10"/>
        <v/>
      </c>
      <c r="AJ25" s="4" t="str">
        <f t="shared" si="10"/>
        <v/>
      </c>
      <c r="AK25" s="4" t="str">
        <f t="shared" si="10"/>
        <v/>
      </c>
      <c r="AL25" s="4" t="str">
        <f t="shared" si="7"/>
        <v/>
      </c>
      <c r="AM25" s="4" t="str">
        <f t="shared" si="7"/>
        <v/>
      </c>
      <c r="AN25" s="4" t="str">
        <f t="shared" si="7"/>
        <v/>
      </c>
      <c r="AO25" s="4" t="str">
        <f t="shared" si="7"/>
        <v/>
      </c>
      <c r="AP25" s="4" t="str">
        <f t="shared" si="7"/>
        <v/>
      </c>
      <c r="AQ25" s="4" t="str">
        <f t="shared" si="7"/>
        <v/>
      </c>
      <c r="AR25" s="4" t="str">
        <f t="shared" si="7"/>
        <v/>
      </c>
      <c r="AS25" s="5" t="str">
        <f t="shared" si="7"/>
        <v/>
      </c>
      <c r="AT25" s="3" t="str">
        <f t="shared" si="11"/>
        <v/>
      </c>
      <c r="AU25" s="4" t="str">
        <f t="shared" si="11"/>
        <v/>
      </c>
      <c r="AV25" s="4" t="str">
        <f t="shared" si="11"/>
        <v/>
      </c>
      <c r="AW25" s="4">
        <f t="shared" si="11"/>
        <v>1</v>
      </c>
      <c r="AX25" s="4" t="str">
        <f t="shared" si="11"/>
        <v/>
      </c>
      <c r="AY25" s="4" t="str">
        <f t="shared" si="11"/>
        <v/>
      </c>
      <c r="AZ25" s="4" t="str">
        <f t="shared" si="11"/>
        <v/>
      </c>
      <c r="BA25" s="4" t="str">
        <f t="shared" si="11"/>
        <v/>
      </c>
      <c r="BB25" s="4" t="str">
        <f t="shared" si="8"/>
        <v/>
      </c>
      <c r="BC25" s="4" t="str">
        <f t="shared" si="8"/>
        <v/>
      </c>
      <c r="BD25" s="4" t="str">
        <f t="shared" si="8"/>
        <v/>
      </c>
      <c r="BE25" s="4" t="str">
        <f t="shared" si="8"/>
        <v/>
      </c>
      <c r="BF25" s="4" t="str">
        <f t="shared" si="8"/>
        <v/>
      </c>
      <c r="BG25" s="4" t="str">
        <f t="shared" si="8"/>
        <v/>
      </c>
      <c r="BH25" s="4" t="str">
        <f t="shared" si="8"/>
        <v/>
      </c>
      <c r="BI25" s="5" t="str">
        <f t="shared" si="8"/>
        <v/>
      </c>
    </row>
    <row r="26" spans="1:61" x14ac:dyDescent="0.25">
      <c r="A26">
        <v>497015</v>
      </c>
      <c r="B26" t="s">
        <v>14</v>
      </c>
      <c r="C26" t="s">
        <v>16</v>
      </c>
      <c r="D26">
        <v>93</v>
      </c>
      <c r="E26">
        <v>7314</v>
      </c>
      <c r="F26">
        <v>56</v>
      </c>
      <c r="G26">
        <v>20131</v>
      </c>
      <c r="H26" t="s">
        <v>0</v>
      </c>
      <c r="I26">
        <v>727767</v>
      </c>
      <c r="J26">
        <v>21613</v>
      </c>
      <c r="K26">
        <v>384384.96</v>
      </c>
      <c r="L26">
        <v>355270.9</v>
      </c>
      <c r="M26">
        <v>29114.06</v>
      </c>
      <c r="N26" s="3" t="str">
        <f t="shared" si="9"/>
        <v/>
      </c>
      <c r="O26" s="4" t="str">
        <f t="shared" si="9"/>
        <v/>
      </c>
      <c r="P26" s="4" t="str">
        <f t="shared" si="9"/>
        <v/>
      </c>
      <c r="Q26" s="4" t="str">
        <f t="shared" si="9"/>
        <v/>
      </c>
      <c r="R26" s="4" t="str">
        <f t="shared" si="9"/>
        <v/>
      </c>
      <c r="S26" s="4" t="str">
        <f t="shared" si="9"/>
        <v/>
      </c>
      <c r="T26" s="4" t="str">
        <f t="shared" si="9"/>
        <v/>
      </c>
      <c r="U26" s="4" t="str">
        <f t="shared" si="9"/>
        <v/>
      </c>
      <c r="V26" s="4" t="str">
        <f t="shared" si="6"/>
        <v/>
      </c>
      <c r="W26" s="4" t="str">
        <f t="shared" si="6"/>
        <v/>
      </c>
      <c r="X26" s="4" t="str">
        <f t="shared" si="6"/>
        <v/>
      </c>
      <c r="Y26" s="4" t="str">
        <f t="shared" si="6"/>
        <v/>
      </c>
      <c r="Z26" s="4" t="str">
        <f t="shared" si="6"/>
        <v/>
      </c>
      <c r="AA26" s="4" t="str">
        <f t="shared" si="6"/>
        <v/>
      </c>
      <c r="AB26" s="4" t="str">
        <f t="shared" si="6"/>
        <v/>
      </c>
      <c r="AC26" s="5" t="str">
        <f t="shared" si="6"/>
        <v/>
      </c>
      <c r="AD26" s="3" t="str">
        <f t="shared" si="10"/>
        <v/>
      </c>
      <c r="AE26" s="4" t="str">
        <f t="shared" si="10"/>
        <v/>
      </c>
      <c r="AF26" s="4" t="str">
        <f t="shared" si="10"/>
        <v/>
      </c>
      <c r="AG26" s="4" t="str">
        <f t="shared" si="10"/>
        <v/>
      </c>
      <c r="AH26" s="4" t="str">
        <f t="shared" si="10"/>
        <v/>
      </c>
      <c r="AI26" s="4" t="str">
        <f t="shared" si="10"/>
        <v/>
      </c>
      <c r="AJ26" s="4" t="str">
        <f t="shared" si="10"/>
        <v/>
      </c>
      <c r="AK26" s="4" t="str">
        <f t="shared" si="10"/>
        <v/>
      </c>
      <c r="AL26" s="4" t="str">
        <f t="shared" si="7"/>
        <v/>
      </c>
      <c r="AM26" s="4" t="str">
        <f t="shared" si="7"/>
        <v/>
      </c>
      <c r="AN26" s="4" t="str">
        <f t="shared" si="7"/>
        <v/>
      </c>
      <c r="AO26" s="4" t="str">
        <f t="shared" si="7"/>
        <v/>
      </c>
      <c r="AP26" s="4" t="str">
        <f t="shared" si="7"/>
        <v/>
      </c>
      <c r="AQ26" s="4" t="str">
        <f t="shared" si="7"/>
        <v/>
      </c>
      <c r="AR26" s="4" t="str">
        <f t="shared" si="7"/>
        <v/>
      </c>
      <c r="AS26" s="5" t="str">
        <f t="shared" si="7"/>
        <v/>
      </c>
      <c r="AT26" s="3">
        <f t="shared" si="11"/>
        <v>1</v>
      </c>
      <c r="AU26" s="4" t="str">
        <f t="shared" si="11"/>
        <v/>
      </c>
      <c r="AV26" s="4" t="str">
        <f t="shared" si="11"/>
        <v/>
      </c>
      <c r="AW26" s="4" t="str">
        <f t="shared" si="11"/>
        <v/>
      </c>
      <c r="AX26" s="4" t="str">
        <f t="shared" si="11"/>
        <v/>
      </c>
      <c r="AY26" s="4" t="str">
        <f t="shared" si="11"/>
        <v/>
      </c>
      <c r="AZ26" s="4" t="str">
        <f t="shared" si="11"/>
        <v/>
      </c>
      <c r="BA26" s="4" t="str">
        <f t="shared" si="11"/>
        <v/>
      </c>
      <c r="BB26" s="4" t="str">
        <f t="shared" si="8"/>
        <v/>
      </c>
      <c r="BC26" s="4" t="str">
        <f t="shared" si="8"/>
        <v/>
      </c>
      <c r="BD26" s="4" t="str">
        <f t="shared" si="8"/>
        <v/>
      </c>
      <c r="BE26" s="4" t="str">
        <f t="shared" si="8"/>
        <v/>
      </c>
      <c r="BF26" s="4" t="str">
        <f t="shared" si="8"/>
        <v/>
      </c>
      <c r="BG26" s="4" t="str">
        <f t="shared" si="8"/>
        <v/>
      </c>
      <c r="BH26" s="4" t="str">
        <f t="shared" si="8"/>
        <v/>
      </c>
      <c r="BI26" s="5" t="str">
        <f t="shared" si="8"/>
        <v/>
      </c>
    </row>
    <row r="27" spans="1:61" x14ac:dyDescent="0.25">
      <c r="A27">
        <v>497016</v>
      </c>
      <c r="B27" t="s">
        <v>14</v>
      </c>
      <c r="C27" t="s">
        <v>16</v>
      </c>
      <c r="D27">
        <v>93</v>
      </c>
      <c r="E27">
        <v>7314</v>
      </c>
      <c r="F27">
        <v>56</v>
      </c>
      <c r="G27">
        <v>20132</v>
      </c>
      <c r="H27" t="s">
        <v>0</v>
      </c>
      <c r="I27">
        <v>763425.46699999995</v>
      </c>
      <c r="J27">
        <v>22795</v>
      </c>
      <c r="K27">
        <v>369003.65</v>
      </c>
      <c r="L27">
        <v>336775.26</v>
      </c>
      <c r="M27">
        <v>32228.39</v>
      </c>
      <c r="N27" s="3" t="str">
        <f t="shared" si="9"/>
        <v/>
      </c>
      <c r="O27" s="4" t="str">
        <f t="shared" si="9"/>
        <v/>
      </c>
      <c r="P27" s="4" t="str">
        <f t="shared" si="9"/>
        <v/>
      </c>
      <c r="Q27" s="4" t="str">
        <f t="shared" si="9"/>
        <v/>
      </c>
      <c r="R27" s="4" t="str">
        <f t="shared" si="9"/>
        <v/>
      </c>
      <c r="S27" s="4" t="str">
        <f t="shared" si="9"/>
        <v/>
      </c>
      <c r="T27" s="4" t="str">
        <f t="shared" si="9"/>
        <v/>
      </c>
      <c r="U27" s="4" t="str">
        <f t="shared" si="9"/>
        <v/>
      </c>
      <c r="V27" s="4" t="str">
        <f t="shared" si="6"/>
        <v/>
      </c>
      <c r="W27" s="4" t="str">
        <f t="shared" si="6"/>
        <v/>
      </c>
      <c r="X27" s="4" t="str">
        <f t="shared" si="6"/>
        <v/>
      </c>
      <c r="Y27" s="4" t="str">
        <f t="shared" si="6"/>
        <v/>
      </c>
      <c r="Z27" s="4" t="str">
        <f t="shared" si="6"/>
        <v/>
      </c>
      <c r="AA27" s="4" t="str">
        <f t="shared" si="6"/>
        <v/>
      </c>
      <c r="AB27" s="4" t="str">
        <f t="shared" si="6"/>
        <v/>
      </c>
      <c r="AC27" s="5" t="str">
        <f t="shared" si="6"/>
        <v/>
      </c>
      <c r="AD27" s="3" t="str">
        <f t="shared" si="10"/>
        <v/>
      </c>
      <c r="AE27" s="4" t="str">
        <f t="shared" si="10"/>
        <v/>
      </c>
      <c r="AF27" s="4" t="str">
        <f t="shared" si="10"/>
        <v/>
      </c>
      <c r="AG27" s="4" t="str">
        <f t="shared" si="10"/>
        <v/>
      </c>
      <c r="AH27" s="4" t="str">
        <f t="shared" si="10"/>
        <v/>
      </c>
      <c r="AI27" s="4" t="str">
        <f t="shared" si="10"/>
        <v/>
      </c>
      <c r="AJ27" s="4" t="str">
        <f t="shared" si="10"/>
        <v/>
      </c>
      <c r="AK27" s="4" t="str">
        <f t="shared" si="10"/>
        <v/>
      </c>
      <c r="AL27" s="4" t="str">
        <f t="shared" si="7"/>
        <v/>
      </c>
      <c r="AM27" s="4" t="str">
        <f t="shared" si="7"/>
        <v/>
      </c>
      <c r="AN27" s="4" t="str">
        <f t="shared" si="7"/>
        <v/>
      </c>
      <c r="AO27" s="4" t="str">
        <f t="shared" si="7"/>
        <v/>
      </c>
      <c r="AP27" s="4" t="str">
        <f t="shared" si="7"/>
        <v/>
      </c>
      <c r="AQ27" s="4" t="str">
        <f t="shared" si="7"/>
        <v/>
      </c>
      <c r="AR27" s="4" t="str">
        <f t="shared" si="7"/>
        <v/>
      </c>
      <c r="AS27" s="5" t="str">
        <f t="shared" si="7"/>
        <v/>
      </c>
      <c r="AT27" s="3" t="str">
        <f t="shared" si="11"/>
        <v/>
      </c>
      <c r="AU27" s="4">
        <f t="shared" si="11"/>
        <v>1</v>
      </c>
      <c r="AV27" s="4" t="str">
        <f t="shared" si="11"/>
        <v/>
      </c>
      <c r="AW27" s="4" t="str">
        <f t="shared" si="11"/>
        <v/>
      </c>
      <c r="AX27" s="4" t="str">
        <f t="shared" si="11"/>
        <v/>
      </c>
      <c r="AY27" s="4" t="str">
        <f t="shared" si="11"/>
        <v/>
      </c>
      <c r="AZ27" s="4" t="str">
        <f t="shared" si="11"/>
        <v/>
      </c>
      <c r="BA27" s="4" t="str">
        <f t="shared" si="11"/>
        <v/>
      </c>
      <c r="BB27" s="4" t="str">
        <f t="shared" si="8"/>
        <v/>
      </c>
      <c r="BC27" s="4" t="str">
        <f t="shared" si="8"/>
        <v/>
      </c>
      <c r="BD27" s="4" t="str">
        <f t="shared" si="8"/>
        <v/>
      </c>
      <c r="BE27" s="4" t="str">
        <f t="shared" si="8"/>
        <v/>
      </c>
      <c r="BF27" s="4" t="str">
        <f t="shared" si="8"/>
        <v/>
      </c>
      <c r="BG27" s="4" t="str">
        <f t="shared" si="8"/>
        <v/>
      </c>
      <c r="BH27" s="4" t="str">
        <f t="shared" si="8"/>
        <v/>
      </c>
      <c r="BI27" s="5" t="str">
        <f t="shared" si="8"/>
        <v/>
      </c>
    </row>
    <row r="28" spans="1:61" x14ac:dyDescent="0.25">
      <c r="A28">
        <v>497017</v>
      </c>
      <c r="B28" t="s">
        <v>14</v>
      </c>
      <c r="C28" t="s">
        <v>16</v>
      </c>
      <c r="D28">
        <v>93</v>
      </c>
      <c r="E28">
        <v>7314</v>
      </c>
      <c r="F28">
        <v>56</v>
      </c>
      <c r="G28">
        <v>20133</v>
      </c>
      <c r="H28" t="s">
        <v>0</v>
      </c>
      <c r="I28">
        <v>736418.2</v>
      </c>
      <c r="J28">
        <v>21519</v>
      </c>
      <c r="K28">
        <v>360884.22</v>
      </c>
      <c r="L28">
        <v>330784.45</v>
      </c>
      <c r="M28">
        <v>30099.77</v>
      </c>
      <c r="N28" s="3" t="str">
        <f t="shared" si="9"/>
        <v/>
      </c>
      <c r="O28" s="4" t="str">
        <f t="shared" si="9"/>
        <v/>
      </c>
      <c r="P28" s="4" t="str">
        <f t="shared" si="9"/>
        <v/>
      </c>
      <c r="Q28" s="4" t="str">
        <f t="shared" si="9"/>
        <v/>
      </c>
      <c r="R28" s="4" t="str">
        <f t="shared" si="9"/>
        <v/>
      </c>
      <c r="S28" s="4" t="str">
        <f t="shared" si="9"/>
        <v/>
      </c>
      <c r="T28" s="4" t="str">
        <f t="shared" si="9"/>
        <v/>
      </c>
      <c r="U28" s="4" t="str">
        <f t="shared" si="9"/>
        <v/>
      </c>
      <c r="V28" s="4" t="str">
        <f t="shared" si="6"/>
        <v/>
      </c>
      <c r="W28" s="4" t="str">
        <f t="shared" si="6"/>
        <v/>
      </c>
      <c r="X28" s="4" t="str">
        <f t="shared" si="6"/>
        <v/>
      </c>
      <c r="Y28" s="4" t="str">
        <f t="shared" si="6"/>
        <v/>
      </c>
      <c r="Z28" s="4" t="str">
        <f t="shared" si="6"/>
        <v/>
      </c>
      <c r="AA28" s="4" t="str">
        <f t="shared" si="6"/>
        <v/>
      </c>
      <c r="AB28" s="4" t="str">
        <f t="shared" si="6"/>
        <v/>
      </c>
      <c r="AC28" s="5" t="str">
        <f t="shared" si="6"/>
        <v/>
      </c>
      <c r="AD28" s="3" t="str">
        <f t="shared" si="10"/>
        <v/>
      </c>
      <c r="AE28" s="4" t="str">
        <f t="shared" si="10"/>
        <v/>
      </c>
      <c r="AF28" s="4" t="str">
        <f t="shared" si="10"/>
        <v/>
      </c>
      <c r="AG28" s="4" t="str">
        <f t="shared" si="10"/>
        <v/>
      </c>
      <c r="AH28" s="4" t="str">
        <f t="shared" si="10"/>
        <v/>
      </c>
      <c r="AI28" s="4" t="str">
        <f t="shared" si="10"/>
        <v/>
      </c>
      <c r="AJ28" s="4" t="str">
        <f t="shared" si="10"/>
        <v/>
      </c>
      <c r="AK28" s="4" t="str">
        <f t="shared" si="10"/>
        <v/>
      </c>
      <c r="AL28" s="4" t="str">
        <f t="shared" si="7"/>
        <v/>
      </c>
      <c r="AM28" s="4" t="str">
        <f t="shared" si="7"/>
        <v/>
      </c>
      <c r="AN28" s="4" t="str">
        <f t="shared" si="7"/>
        <v/>
      </c>
      <c r="AO28" s="4" t="str">
        <f t="shared" si="7"/>
        <v/>
      </c>
      <c r="AP28" s="4" t="str">
        <f t="shared" si="7"/>
        <v/>
      </c>
      <c r="AQ28" s="4" t="str">
        <f t="shared" si="7"/>
        <v/>
      </c>
      <c r="AR28" s="4" t="str">
        <f t="shared" si="7"/>
        <v/>
      </c>
      <c r="AS28" s="5" t="str">
        <f t="shared" si="7"/>
        <v/>
      </c>
      <c r="AT28" s="3" t="str">
        <f t="shared" si="11"/>
        <v/>
      </c>
      <c r="AU28" s="4" t="str">
        <f t="shared" si="11"/>
        <v/>
      </c>
      <c r="AV28" s="4">
        <f t="shared" si="11"/>
        <v>1</v>
      </c>
      <c r="AW28" s="4" t="str">
        <f t="shared" si="11"/>
        <v/>
      </c>
      <c r="AX28" s="4" t="str">
        <f t="shared" si="11"/>
        <v/>
      </c>
      <c r="AY28" s="4" t="str">
        <f t="shared" si="11"/>
        <v/>
      </c>
      <c r="AZ28" s="4" t="str">
        <f t="shared" si="11"/>
        <v/>
      </c>
      <c r="BA28" s="4" t="str">
        <f t="shared" si="11"/>
        <v/>
      </c>
      <c r="BB28" s="4" t="str">
        <f t="shared" si="8"/>
        <v/>
      </c>
      <c r="BC28" s="4" t="str">
        <f t="shared" si="8"/>
        <v/>
      </c>
      <c r="BD28" s="4" t="str">
        <f t="shared" si="8"/>
        <v/>
      </c>
      <c r="BE28" s="4" t="str">
        <f t="shared" si="8"/>
        <v/>
      </c>
      <c r="BF28" s="4" t="str">
        <f t="shared" si="8"/>
        <v/>
      </c>
      <c r="BG28" s="4" t="str">
        <f t="shared" si="8"/>
        <v/>
      </c>
      <c r="BH28" s="4" t="str">
        <f t="shared" si="8"/>
        <v/>
      </c>
      <c r="BI28" s="5" t="str">
        <f t="shared" si="8"/>
        <v/>
      </c>
    </row>
    <row r="29" spans="1:61" x14ac:dyDescent="0.25">
      <c r="A29">
        <v>497018</v>
      </c>
      <c r="B29" t="s">
        <v>14</v>
      </c>
      <c r="C29" t="s">
        <v>16</v>
      </c>
      <c r="D29">
        <v>93</v>
      </c>
      <c r="E29">
        <v>7314</v>
      </c>
      <c r="F29">
        <v>56</v>
      </c>
      <c r="G29">
        <v>20134</v>
      </c>
      <c r="H29" t="s">
        <v>0</v>
      </c>
      <c r="I29">
        <v>768981.40099999995</v>
      </c>
      <c r="J29">
        <v>22118</v>
      </c>
      <c r="K29">
        <v>342540.98</v>
      </c>
      <c r="L29">
        <v>309656.21999999997</v>
      </c>
      <c r="M29">
        <v>32884.76</v>
      </c>
      <c r="N29" s="3" t="str">
        <f t="shared" si="9"/>
        <v/>
      </c>
      <c r="O29" s="4" t="str">
        <f t="shared" si="9"/>
        <v/>
      </c>
      <c r="P29" s="4" t="str">
        <f t="shared" si="9"/>
        <v/>
      </c>
      <c r="Q29" s="4" t="str">
        <f t="shared" si="9"/>
        <v/>
      </c>
      <c r="R29" s="4" t="str">
        <f t="shared" si="9"/>
        <v/>
      </c>
      <c r="S29" s="4" t="str">
        <f t="shared" si="9"/>
        <v/>
      </c>
      <c r="T29" s="4" t="str">
        <f t="shared" si="9"/>
        <v/>
      </c>
      <c r="U29" s="4" t="str">
        <f t="shared" si="9"/>
        <v/>
      </c>
      <c r="V29" s="4" t="str">
        <f t="shared" si="6"/>
        <v/>
      </c>
      <c r="W29" s="4" t="str">
        <f t="shared" si="6"/>
        <v/>
      </c>
      <c r="X29" s="4" t="str">
        <f t="shared" si="6"/>
        <v/>
      </c>
      <c r="Y29" s="4" t="str">
        <f t="shared" si="6"/>
        <v/>
      </c>
      <c r="Z29" s="4" t="str">
        <f t="shared" si="6"/>
        <v/>
      </c>
      <c r="AA29" s="4" t="str">
        <f t="shared" si="6"/>
        <v/>
      </c>
      <c r="AB29" s="4" t="str">
        <f t="shared" si="6"/>
        <v/>
      </c>
      <c r="AC29" s="5" t="str">
        <f t="shared" si="6"/>
        <v/>
      </c>
      <c r="AD29" s="3" t="str">
        <f t="shared" si="10"/>
        <v/>
      </c>
      <c r="AE29" s="4" t="str">
        <f t="shared" si="10"/>
        <v/>
      </c>
      <c r="AF29" s="4" t="str">
        <f t="shared" si="10"/>
        <v/>
      </c>
      <c r="AG29" s="4" t="str">
        <f t="shared" si="10"/>
        <v/>
      </c>
      <c r="AH29" s="4" t="str">
        <f t="shared" si="10"/>
        <v/>
      </c>
      <c r="AI29" s="4" t="str">
        <f t="shared" si="10"/>
        <v/>
      </c>
      <c r="AJ29" s="4" t="str">
        <f t="shared" si="10"/>
        <v/>
      </c>
      <c r="AK29" s="4" t="str">
        <f t="shared" si="10"/>
        <v/>
      </c>
      <c r="AL29" s="4" t="str">
        <f t="shared" si="7"/>
        <v/>
      </c>
      <c r="AM29" s="4" t="str">
        <f t="shared" si="7"/>
        <v/>
      </c>
      <c r="AN29" s="4" t="str">
        <f t="shared" si="7"/>
        <v/>
      </c>
      <c r="AO29" s="4" t="str">
        <f t="shared" si="7"/>
        <v/>
      </c>
      <c r="AP29" s="4" t="str">
        <f t="shared" si="7"/>
        <v/>
      </c>
      <c r="AQ29" s="4" t="str">
        <f t="shared" si="7"/>
        <v/>
      </c>
      <c r="AR29" s="4" t="str">
        <f t="shared" si="7"/>
        <v/>
      </c>
      <c r="AS29" s="5" t="str">
        <f t="shared" si="7"/>
        <v/>
      </c>
      <c r="AT29" s="3" t="str">
        <f t="shared" si="11"/>
        <v/>
      </c>
      <c r="AU29" s="4" t="str">
        <f t="shared" si="11"/>
        <v/>
      </c>
      <c r="AV29" s="4" t="str">
        <f t="shared" si="11"/>
        <v/>
      </c>
      <c r="AW29" s="4">
        <f t="shared" si="11"/>
        <v>1</v>
      </c>
      <c r="AX29" s="4" t="str">
        <f t="shared" si="11"/>
        <v/>
      </c>
      <c r="AY29" s="4" t="str">
        <f t="shared" si="11"/>
        <v/>
      </c>
      <c r="AZ29" s="4" t="str">
        <f t="shared" si="11"/>
        <v/>
      </c>
      <c r="BA29" s="4" t="str">
        <f t="shared" si="11"/>
        <v/>
      </c>
      <c r="BB29" s="4" t="str">
        <f t="shared" si="8"/>
        <v/>
      </c>
      <c r="BC29" s="4" t="str">
        <f t="shared" si="8"/>
        <v/>
      </c>
      <c r="BD29" s="4" t="str">
        <f t="shared" si="8"/>
        <v/>
      </c>
      <c r="BE29" s="4" t="str">
        <f t="shared" si="8"/>
        <v/>
      </c>
      <c r="BF29" s="4" t="str">
        <f t="shared" si="8"/>
        <v/>
      </c>
      <c r="BG29" s="4" t="str">
        <f t="shared" si="8"/>
        <v/>
      </c>
      <c r="BH29" s="4" t="str">
        <f t="shared" si="8"/>
        <v/>
      </c>
      <c r="BI29" s="5" t="str">
        <f t="shared" si="8"/>
        <v/>
      </c>
    </row>
    <row r="30" spans="1:61" x14ac:dyDescent="0.25">
      <c r="A30">
        <v>497019</v>
      </c>
      <c r="B30" t="s">
        <v>14</v>
      </c>
      <c r="C30" t="s">
        <v>16</v>
      </c>
      <c r="D30">
        <v>93</v>
      </c>
      <c r="E30">
        <v>7314</v>
      </c>
      <c r="F30">
        <v>98</v>
      </c>
      <c r="G30">
        <v>20131</v>
      </c>
      <c r="H30" t="s">
        <v>0</v>
      </c>
      <c r="I30">
        <v>517222</v>
      </c>
      <c r="J30">
        <v>16083</v>
      </c>
      <c r="K30">
        <v>257914.46</v>
      </c>
      <c r="L30">
        <v>239364.2</v>
      </c>
      <c r="M30">
        <v>18550.259999999998</v>
      </c>
      <c r="N30" s="3" t="str">
        <f t="shared" si="9"/>
        <v/>
      </c>
      <c r="O30" s="4" t="str">
        <f t="shared" si="9"/>
        <v/>
      </c>
      <c r="P30" s="4" t="str">
        <f t="shared" si="9"/>
        <v/>
      </c>
      <c r="Q30" s="4" t="str">
        <f t="shared" si="9"/>
        <v/>
      </c>
      <c r="R30" s="4" t="str">
        <f t="shared" si="9"/>
        <v/>
      </c>
      <c r="S30" s="4" t="str">
        <f t="shared" si="9"/>
        <v/>
      </c>
      <c r="T30" s="4" t="str">
        <f t="shared" si="9"/>
        <v/>
      </c>
      <c r="U30" s="4" t="str">
        <f t="shared" si="9"/>
        <v/>
      </c>
      <c r="V30" s="4" t="str">
        <f t="shared" si="6"/>
        <v/>
      </c>
      <c r="W30" s="4" t="str">
        <f t="shared" si="6"/>
        <v/>
      </c>
      <c r="X30" s="4" t="str">
        <f t="shared" si="6"/>
        <v/>
      </c>
      <c r="Y30" s="4" t="str">
        <f t="shared" si="6"/>
        <v/>
      </c>
      <c r="Z30" s="4" t="str">
        <f t="shared" si="6"/>
        <v/>
      </c>
      <c r="AA30" s="4" t="str">
        <f t="shared" si="6"/>
        <v/>
      </c>
      <c r="AB30" s="4" t="str">
        <f t="shared" si="6"/>
        <v/>
      </c>
      <c r="AC30" s="5" t="str">
        <f t="shared" si="6"/>
        <v/>
      </c>
      <c r="AD30" s="3" t="str">
        <f t="shared" si="10"/>
        <v/>
      </c>
      <c r="AE30" s="4" t="str">
        <f t="shared" si="10"/>
        <v/>
      </c>
      <c r="AF30" s="4" t="str">
        <f t="shared" si="10"/>
        <v/>
      </c>
      <c r="AG30" s="4" t="str">
        <f t="shared" si="10"/>
        <v/>
      </c>
      <c r="AH30" s="4" t="str">
        <f t="shared" si="10"/>
        <v/>
      </c>
      <c r="AI30" s="4" t="str">
        <f t="shared" si="10"/>
        <v/>
      </c>
      <c r="AJ30" s="4" t="str">
        <f t="shared" si="10"/>
        <v/>
      </c>
      <c r="AK30" s="4" t="str">
        <f t="shared" si="10"/>
        <v/>
      </c>
      <c r="AL30" s="4" t="str">
        <f t="shared" si="7"/>
        <v/>
      </c>
      <c r="AM30" s="4" t="str">
        <f t="shared" si="7"/>
        <v/>
      </c>
      <c r="AN30" s="4" t="str">
        <f t="shared" si="7"/>
        <v/>
      </c>
      <c r="AO30" s="4" t="str">
        <f t="shared" si="7"/>
        <v/>
      </c>
      <c r="AP30" s="4" t="str">
        <f t="shared" si="7"/>
        <v/>
      </c>
      <c r="AQ30" s="4" t="str">
        <f t="shared" si="7"/>
        <v/>
      </c>
      <c r="AR30" s="4" t="str">
        <f t="shared" si="7"/>
        <v/>
      </c>
      <c r="AS30" s="5" t="str">
        <f t="shared" si="7"/>
        <v/>
      </c>
      <c r="AT30" s="3">
        <f t="shared" si="11"/>
        <v>1</v>
      </c>
      <c r="AU30" s="4" t="str">
        <f t="shared" si="11"/>
        <v/>
      </c>
      <c r="AV30" s="4" t="str">
        <f t="shared" si="11"/>
        <v/>
      </c>
      <c r="AW30" s="4" t="str">
        <f t="shared" si="11"/>
        <v/>
      </c>
      <c r="AX30" s="4" t="str">
        <f t="shared" si="11"/>
        <v/>
      </c>
      <c r="AY30" s="4" t="str">
        <f t="shared" si="11"/>
        <v/>
      </c>
      <c r="AZ30" s="4" t="str">
        <f t="shared" si="11"/>
        <v/>
      </c>
      <c r="BA30" s="4" t="str">
        <f t="shared" si="11"/>
        <v/>
      </c>
      <c r="BB30" s="4" t="str">
        <f t="shared" si="8"/>
        <v/>
      </c>
      <c r="BC30" s="4" t="str">
        <f t="shared" si="8"/>
        <v/>
      </c>
      <c r="BD30" s="4" t="str">
        <f t="shared" si="8"/>
        <v/>
      </c>
      <c r="BE30" s="4" t="str">
        <f t="shared" si="8"/>
        <v/>
      </c>
      <c r="BF30" s="4" t="str">
        <f t="shared" si="8"/>
        <v/>
      </c>
      <c r="BG30" s="4" t="str">
        <f t="shared" si="8"/>
        <v/>
      </c>
      <c r="BH30" s="4" t="str">
        <f t="shared" si="8"/>
        <v/>
      </c>
      <c r="BI30" s="5" t="str">
        <f t="shared" si="8"/>
        <v/>
      </c>
    </row>
    <row r="31" spans="1:61" x14ac:dyDescent="0.25">
      <c r="A31">
        <v>497020</v>
      </c>
      <c r="B31" t="s">
        <v>14</v>
      </c>
      <c r="C31" t="s">
        <v>16</v>
      </c>
      <c r="D31">
        <v>93</v>
      </c>
      <c r="E31">
        <v>7314</v>
      </c>
      <c r="F31">
        <v>98</v>
      </c>
      <c r="G31">
        <v>20132</v>
      </c>
      <c r="H31" t="s">
        <v>0</v>
      </c>
      <c r="I31">
        <v>221194</v>
      </c>
      <c r="J31">
        <v>6813</v>
      </c>
      <c r="K31">
        <v>107752.98</v>
      </c>
      <c r="L31">
        <v>99851.839999999997</v>
      </c>
      <c r="M31">
        <v>7901.14</v>
      </c>
      <c r="N31" s="3" t="str">
        <f t="shared" si="9"/>
        <v/>
      </c>
      <c r="O31" s="4" t="str">
        <f t="shared" si="9"/>
        <v/>
      </c>
      <c r="P31" s="4" t="str">
        <f t="shared" si="9"/>
        <v/>
      </c>
      <c r="Q31" s="4" t="str">
        <f t="shared" si="9"/>
        <v/>
      </c>
      <c r="R31" s="4" t="str">
        <f t="shared" si="9"/>
        <v/>
      </c>
      <c r="S31" s="4" t="str">
        <f t="shared" si="9"/>
        <v/>
      </c>
      <c r="T31" s="4" t="str">
        <f t="shared" si="9"/>
        <v/>
      </c>
      <c r="U31" s="4" t="str">
        <f t="shared" si="9"/>
        <v/>
      </c>
      <c r="V31" s="4" t="str">
        <f t="shared" si="6"/>
        <v/>
      </c>
      <c r="W31" s="4" t="str">
        <f t="shared" si="6"/>
        <v/>
      </c>
      <c r="X31" s="4" t="str">
        <f t="shared" si="6"/>
        <v/>
      </c>
      <c r="Y31" s="4" t="str">
        <f t="shared" si="6"/>
        <v/>
      </c>
      <c r="Z31" s="4" t="str">
        <f t="shared" si="6"/>
        <v/>
      </c>
      <c r="AA31" s="4" t="str">
        <f t="shared" si="6"/>
        <v/>
      </c>
      <c r="AB31" s="4" t="str">
        <f t="shared" si="6"/>
        <v/>
      </c>
      <c r="AC31" s="5" t="str">
        <f t="shared" si="6"/>
        <v/>
      </c>
      <c r="AD31" s="3" t="str">
        <f t="shared" si="10"/>
        <v/>
      </c>
      <c r="AE31" s="4" t="str">
        <f t="shared" si="10"/>
        <v/>
      </c>
      <c r="AF31" s="4" t="str">
        <f t="shared" si="10"/>
        <v/>
      </c>
      <c r="AG31" s="4" t="str">
        <f t="shared" si="10"/>
        <v/>
      </c>
      <c r="AH31" s="4" t="str">
        <f t="shared" si="10"/>
        <v/>
      </c>
      <c r="AI31" s="4" t="str">
        <f t="shared" si="10"/>
        <v/>
      </c>
      <c r="AJ31" s="4" t="str">
        <f t="shared" si="10"/>
        <v/>
      </c>
      <c r="AK31" s="4" t="str">
        <f t="shared" si="10"/>
        <v/>
      </c>
      <c r="AL31" s="4" t="str">
        <f t="shared" si="7"/>
        <v/>
      </c>
      <c r="AM31" s="4" t="str">
        <f t="shared" si="7"/>
        <v/>
      </c>
      <c r="AN31" s="4" t="str">
        <f t="shared" si="7"/>
        <v/>
      </c>
      <c r="AO31" s="4" t="str">
        <f t="shared" si="7"/>
        <v/>
      </c>
      <c r="AP31" s="4" t="str">
        <f t="shared" si="7"/>
        <v/>
      </c>
      <c r="AQ31" s="4" t="str">
        <f t="shared" si="7"/>
        <v/>
      </c>
      <c r="AR31" s="4" t="str">
        <f t="shared" si="7"/>
        <v/>
      </c>
      <c r="AS31" s="5" t="str">
        <f t="shared" si="7"/>
        <v/>
      </c>
      <c r="AT31" s="3" t="str">
        <f t="shared" si="11"/>
        <v/>
      </c>
      <c r="AU31" s="4">
        <f t="shared" si="11"/>
        <v>1</v>
      </c>
      <c r="AV31" s="4" t="str">
        <f t="shared" si="11"/>
        <v/>
      </c>
      <c r="AW31" s="4" t="str">
        <f t="shared" si="11"/>
        <v/>
      </c>
      <c r="AX31" s="4" t="str">
        <f t="shared" si="11"/>
        <v/>
      </c>
      <c r="AY31" s="4" t="str">
        <f t="shared" si="11"/>
        <v/>
      </c>
      <c r="AZ31" s="4" t="str">
        <f t="shared" si="11"/>
        <v/>
      </c>
      <c r="BA31" s="4" t="str">
        <f t="shared" si="11"/>
        <v/>
      </c>
      <c r="BB31" s="4" t="str">
        <f t="shared" si="8"/>
        <v/>
      </c>
      <c r="BC31" s="4" t="str">
        <f t="shared" si="8"/>
        <v/>
      </c>
      <c r="BD31" s="4" t="str">
        <f t="shared" si="8"/>
        <v/>
      </c>
      <c r="BE31" s="4" t="str">
        <f t="shared" si="8"/>
        <v/>
      </c>
      <c r="BF31" s="4" t="str">
        <f t="shared" si="8"/>
        <v/>
      </c>
      <c r="BG31" s="4" t="str">
        <f t="shared" si="8"/>
        <v/>
      </c>
      <c r="BH31" s="4" t="str">
        <f t="shared" si="8"/>
        <v/>
      </c>
      <c r="BI31" s="5" t="str">
        <f t="shared" si="8"/>
        <v/>
      </c>
    </row>
    <row r="32" spans="1:61" x14ac:dyDescent="0.25">
      <c r="A32">
        <v>497021</v>
      </c>
      <c r="B32" t="s">
        <v>14</v>
      </c>
      <c r="C32" t="s">
        <v>16</v>
      </c>
      <c r="D32">
        <v>93</v>
      </c>
      <c r="E32">
        <v>7314</v>
      </c>
      <c r="F32">
        <v>98</v>
      </c>
      <c r="G32">
        <v>20133</v>
      </c>
      <c r="H32" t="s">
        <v>0</v>
      </c>
      <c r="I32">
        <v>201458</v>
      </c>
      <c r="J32">
        <v>6157</v>
      </c>
      <c r="K32">
        <v>101185.5</v>
      </c>
      <c r="L32">
        <v>95038.2</v>
      </c>
      <c r="M32">
        <v>6147.3</v>
      </c>
      <c r="N32" s="3" t="str">
        <f t="shared" si="9"/>
        <v/>
      </c>
      <c r="O32" s="4" t="str">
        <f t="shared" si="9"/>
        <v/>
      </c>
      <c r="P32" s="4" t="str">
        <f t="shared" si="9"/>
        <v/>
      </c>
      <c r="Q32" s="4" t="str">
        <f t="shared" si="9"/>
        <v/>
      </c>
      <c r="R32" s="4" t="str">
        <f t="shared" si="9"/>
        <v/>
      </c>
      <c r="S32" s="4" t="str">
        <f t="shared" si="9"/>
        <v/>
      </c>
      <c r="T32" s="4" t="str">
        <f t="shared" si="9"/>
        <v/>
      </c>
      <c r="U32" s="4" t="str">
        <f t="shared" si="9"/>
        <v/>
      </c>
      <c r="V32" s="4" t="str">
        <f t="shared" si="6"/>
        <v/>
      </c>
      <c r="W32" s="4" t="str">
        <f t="shared" si="6"/>
        <v/>
      </c>
      <c r="X32" s="4" t="str">
        <f t="shared" si="6"/>
        <v/>
      </c>
      <c r="Y32" s="4" t="str">
        <f t="shared" si="6"/>
        <v/>
      </c>
      <c r="Z32" s="4" t="str">
        <f t="shared" si="6"/>
        <v/>
      </c>
      <c r="AA32" s="4" t="str">
        <f t="shared" si="6"/>
        <v/>
      </c>
      <c r="AB32" s="4" t="str">
        <f t="shared" si="6"/>
        <v/>
      </c>
      <c r="AC32" s="5" t="str">
        <f t="shared" si="6"/>
        <v/>
      </c>
      <c r="AD32" s="3" t="str">
        <f t="shared" si="10"/>
        <v/>
      </c>
      <c r="AE32" s="4" t="str">
        <f t="shared" si="10"/>
        <v/>
      </c>
      <c r="AF32" s="4" t="str">
        <f t="shared" si="10"/>
        <v/>
      </c>
      <c r="AG32" s="4" t="str">
        <f t="shared" si="10"/>
        <v/>
      </c>
      <c r="AH32" s="4" t="str">
        <f t="shared" si="10"/>
        <v/>
      </c>
      <c r="AI32" s="4" t="str">
        <f t="shared" si="10"/>
        <v/>
      </c>
      <c r="AJ32" s="4" t="str">
        <f t="shared" si="10"/>
        <v/>
      </c>
      <c r="AK32" s="4" t="str">
        <f t="shared" si="10"/>
        <v/>
      </c>
      <c r="AL32" s="4" t="str">
        <f t="shared" si="7"/>
        <v/>
      </c>
      <c r="AM32" s="4" t="str">
        <f t="shared" si="7"/>
        <v/>
      </c>
      <c r="AN32" s="4" t="str">
        <f t="shared" si="7"/>
        <v/>
      </c>
      <c r="AO32" s="4" t="str">
        <f t="shared" si="7"/>
        <v/>
      </c>
      <c r="AP32" s="4" t="str">
        <f t="shared" si="7"/>
        <v/>
      </c>
      <c r="AQ32" s="4" t="str">
        <f t="shared" si="7"/>
        <v/>
      </c>
      <c r="AR32" s="4" t="str">
        <f t="shared" si="7"/>
        <v/>
      </c>
      <c r="AS32" s="5" t="str">
        <f t="shared" si="7"/>
        <v/>
      </c>
      <c r="AT32" s="3" t="str">
        <f t="shared" si="11"/>
        <v/>
      </c>
      <c r="AU32" s="4" t="str">
        <f t="shared" si="11"/>
        <v/>
      </c>
      <c r="AV32" s="4">
        <f t="shared" si="11"/>
        <v>1</v>
      </c>
      <c r="AW32" s="4" t="str">
        <f t="shared" si="11"/>
        <v/>
      </c>
      <c r="AX32" s="4" t="str">
        <f t="shared" si="11"/>
        <v/>
      </c>
      <c r="AY32" s="4" t="str">
        <f t="shared" si="11"/>
        <v/>
      </c>
      <c r="AZ32" s="4" t="str">
        <f t="shared" si="11"/>
        <v/>
      </c>
      <c r="BA32" s="4" t="str">
        <f t="shared" si="11"/>
        <v/>
      </c>
      <c r="BB32" s="4" t="str">
        <f t="shared" si="8"/>
        <v/>
      </c>
      <c r="BC32" s="4" t="str">
        <f t="shared" si="8"/>
        <v/>
      </c>
      <c r="BD32" s="4" t="str">
        <f t="shared" si="8"/>
        <v/>
      </c>
      <c r="BE32" s="4" t="str">
        <f t="shared" si="8"/>
        <v/>
      </c>
      <c r="BF32" s="4" t="str">
        <f t="shared" si="8"/>
        <v/>
      </c>
      <c r="BG32" s="4" t="str">
        <f t="shared" si="8"/>
        <v/>
      </c>
      <c r="BH32" s="4" t="str">
        <f t="shared" si="8"/>
        <v/>
      </c>
      <c r="BI32" s="5" t="str">
        <f t="shared" si="8"/>
        <v/>
      </c>
    </row>
    <row r="33" spans="1:61" x14ac:dyDescent="0.25">
      <c r="A33">
        <v>497022</v>
      </c>
      <c r="B33" t="s">
        <v>14</v>
      </c>
      <c r="C33" t="s">
        <v>16</v>
      </c>
      <c r="D33">
        <v>93</v>
      </c>
      <c r="E33">
        <v>7314</v>
      </c>
      <c r="F33">
        <v>98</v>
      </c>
      <c r="G33">
        <v>20134</v>
      </c>
      <c r="H33" t="s">
        <v>0</v>
      </c>
      <c r="I33">
        <v>132436.29999999999</v>
      </c>
      <c r="J33">
        <v>3974</v>
      </c>
      <c r="K33">
        <v>55403.71</v>
      </c>
      <c r="L33">
        <v>51555.42</v>
      </c>
      <c r="M33">
        <v>3848.29</v>
      </c>
      <c r="N33" s="3" t="str">
        <f t="shared" si="9"/>
        <v/>
      </c>
      <c r="O33" s="4" t="str">
        <f t="shared" si="9"/>
        <v/>
      </c>
      <c r="P33" s="4" t="str">
        <f t="shared" si="9"/>
        <v/>
      </c>
      <c r="Q33" s="4" t="str">
        <f t="shared" si="9"/>
        <v/>
      </c>
      <c r="R33" s="4" t="str">
        <f t="shared" si="9"/>
        <v/>
      </c>
      <c r="S33" s="4" t="str">
        <f t="shared" si="9"/>
        <v/>
      </c>
      <c r="T33" s="4" t="str">
        <f t="shared" si="9"/>
        <v/>
      </c>
      <c r="U33" s="4" t="str">
        <f t="shared" si="9"/>
        <v/>
      </c>
      <c r="V33" s="4" t="str">
        <f t="shared" si="6"/>
        <v/>
      </c>
      <c r="W33" s="4" t="str">
        <f t="shared" si="6"/>
        <v/>
      </c>
      <c r="X33" s="4" t="str">
        <f t="shared" si="6"/>
        <v/>
      </c>
      <c r="Y33" s="4" t="str">
        <f t="shared" si="6"/>
        <v/>
      </c>
      <c r="Z33" s="4" t="str">
        <f t="shared" si="6"/>
        <v/>
      </c>
      <c r="AA33" s="4" t="str">
        <f t="shared" si="6"/>
        <v/>
      </c>
      <c r="AB33" s="4" t="str">
        <f t="shared" si="6"/>
        <v/>
      </c>
      <c r="AC33" s="5" t="str">
        <f t="shared" si="6"/>
        <v/>
      </c>
      <c r="AD33" s="3" t="str">
        <f t="shared" si="10"/>
        <v/>
      </c>
      <c r="AE33" s="4" t="str">
        <f t="shared" si="10"/>
        <v/>
      </c>
      <c r="AF33" s="4" t="str">
        <f t="shared" si="10"/>
        <v/>
      </c>
      <c r="AG33" s="4" t="str">
        <f t="shared" si="10"/>
        <v/>
      </c>
      <c r="AH33" s="4" t="str">
        <f t="shared" si="10"/>
        <v/>
      </c>
      <c r="AI33" s="4" t="str">
        <f t="shared" si="10"/>
        <v/>
      </c>
      <c r="AJ33" s="4" t="str">
        <f t="shared" si="10"/>
        <v/>
      </c>
      <c r="AK33" s="4" t="str">
        <f t="shared" si="10"/>
        <v/>
      </c>
      <c r="AL33" s="4" t="str">
        <f t="shared" si="7"/>
        <v/>
      </c>
      <c r="AM33" s="4" t="str">
        <f t="shared" si="7"/>
        <v/>
      </c>
      <c r="AN33" s="4" t="str">
        <f t="shared" si="7"/>
        <v/>
      </c>
      <c r="AO33" s="4" t="str">
        <f t="shared" si="7"/>
        <v/>
      </c>
      <c r="AP33" s="4" t="str">
        <f t="shared" si="7"/>
        <v/>
      </c>
      <c r="AQ33" s="4" t="str">
        <f t="shared" si="7"/>
        <v/>
      </c>
      <c r="AR33" s="4" t="str">
        <f t="shared" si="7"/>
        <v/>
      </c>
      <c r="AS33" s="5" t="str">
        <f t="shared" si="7"/>
        <v/>
      </c>
      <c r="AT33" s="3" t="str">
        <f t="shared" si="11"/>
        <v/>
      </c>
      <c r="AU33" s="4" t="str">
        <f t="shared" si="11"/>
        <v/>
      </c>
      <c r="AV33" s="4" t="str">
        <f t="shared" si="11"/>
        <v/>
      </c>
      <c r="AW33" s="4">
        <f t="shared" si="11"/>
        <v>1</v>
      </c>
      <c r="AX33" s="4" t="str">
        <f t="shared" si="11"/>
        <v/>
      </c>
      <c r="AY33" s="4" t="str">
        <f t="shared" si="11"/>
        <v/>
      </c>
      <c r="AZ33" s="4" t="str">
        <f t="shared" si="11"/>
        <v/>
      </c>
      <c r="BA33" s="4" t="str">
        <f t="shared" si="11"/>
        <v/>
      </c>
      <c r="BB33" s="4" t="str">
        <f t="shared" si="8"/>
        <v/>
      </c>
      <c r="BC33" s="4" t="str">
        <f t="shared" si="8"/>
        <v/>
      </c>
      <c r="BD33" s="4" t="str">
        <f t="shared" si="8"/>
        <v/>
      </c>
      <c r="BE33" s="4" t="str">
        <f t="shared" si="8"/>
        <v/>
      </c>
      <c r="BF33" s="4" t="str">
        <f t="shared" si="8"/>
        <v/>
      </c>
      <c r="BG33" s="4" t="str">
        <f t="shared" si="8"/>
        <v/>
      </c>
      <c r="BH33" s="4" t="str">
        <f t="shared" si="8"/>
        <v/>
      </c>
      <c r="BI33" s="5" t="str">
        <f t="shared" si="8"/>
        <v/>
      </c>
    </row>
    <row r="34" spans="1:61" x14ac:dyDescent="0.25">
      <c r="A34">
        <v>624499</v>
      </c>
      <c r="B34" t="s">
        <v>15</v>
      </c>
      <c r="C34" t="s">
        <v>16</v>
      </c>
      <c r="D34">
        <v>93</v>
      </c>
      <c r="E34">
        <v>7314</v>
      </c>
      <c r="F34">
        <v>5</v>
      </c>
      <c r="G34">
        <v>20131</v>
      </c>
      <c r="H34" t="s">
        <v>0</v>
      </c>
      <c r="I34">
        <v>110059.242</v>
      </c>
      <c r="J34">
        <v>3738</v>
      </c>
      <c r="K34">
        <v>168674.43</v>
      </c>
      <c r="L34">
        <v>142930.78</v>
      </c>
      <c r="M34">
        <v>25743.65</v>
      </c>
      <c r="N34" s="3" t="str">
        <f t="shared" si="9"/>
        <v/>
      </c>
      <c r="O34" s="4" t="str">
        <f t="shared" si="9"/>
        <v/>
      </c>
      <c r="P34" s="4" t="str">
        <f t="shared" si="9"/>
        <v/>
      </c>
      <c r="Q34" s="4" t="str">
        <f t="shared" si="9"/>
        <v/>
      </c>
      <c r="R34" s="4" t="str">
        <f t="shared" si="9"/>
        <v/>
      </c>
      <c r="S34" s="4" t="str">
        <f t="shared" si="9"/>
        <v/>
      </c>
      <c r="T34" s="4" t="str">
        <f t="shared" si="9"/>
        <v/>
      </c>
      <c r="U34" s="4" t="str">
        <f t="shared" si="9"/>
        <v/>
      </c>
      <c r="V34" s="4" t="str">
        <f t="shared" si="6"/>
        <v/>
      </c>
      <c r="W34" s="4" t="str">
        <f t="shared" si="6"/>
        <v/>
      </c>
      <c r="X34" s="4" t="str">
        <f t="shared" si="6"/>
        <v/>
      </c>
      <c r="Y34" s="4" t="str">
        <f t="shared" si="6"/>
        <v/>
      </c>
      <c r="Z34" s="4" t="str">
        <f t="shared" si="6"/>
        <v/>
      </c>
      <c r="AA34" s="4" t="str">
        <f t="shared" si="6"/>
        <v/>
      </c>
      <c r="AB34" s="4" t="str">
        <f t="shared" si="6"/>
        <v/>
      </c>
      <c r="AC34" s="5" t="str">
        <f t="shared" si="6"/>
        <v/>
      </c>
      <c r="AD34" s="3" t="str">
        <f t="shared" si="10"/>
        <v/>
      </c>
      <c r="AE34" s="4" t="str">
        <f t="shared" si="10"/>
        <v/>
      </c>
      <c r="AF34" s="4" t="str">
        <f t="shared" si="10"/>
        <v/>
      </c>
      <c r="AG34" s="4" t="str">
        <f t="shared" si="10"/>
        <v/>
      </c>
      <c r="AH34" s="4" t="str">
        <f t="shared" si="10"/>
        <v/>
      </c>
      <c r="AI34" s="4" t="str">
        <f t="shared" si="10"/>
        <v/>
      </c>
      <c r="AJ34" s="4" t="str">
        <f t="shared" si="10"/>
        <v/>
      </c>
      <c r="AK34" s="4" t="str">
        <f t="shared" si="10"/>
        <v/>
      </c>
      <c r="AL34" s="4" t="str">
        <f t="shared" si="7"/>
        <v/>
      </c>
      <c r="AM34" s="4" t="str">
        <f t="shared" si="7"/>
        <v/>
      </c>
      <c r="AN34" s="4" t="str">
        <f t="shared" si="7"/>
        <v/>
      </c>
      <c r="AO34" s="4" t="str">
        <f t="shared" si="7"/>
        <v/>
      </c>
      <c r="AP34" s="4" t="str">
        <f t="shared" si="7"/>
        <v/>
      </c>
      <c r="AQ34" s="4" t="str">
        <f t="shared" si="7"/>
        <v/>
      </c>
      <c r="AR34" s="4" t="str">
        <f t="shared" si="7"/>
        <v/>
      </c>
      <c r="AS34" s="5" t="str">
        <f t="shared" si="7"/>
        <v/>
      </c>
      <c r="AT34" s="3" t="str">
        <f t="shared" si="11"/>
        <v/>
      </c>
      <c r="AU34" s="4" t="str">
        <f t="shared" si="11"/>
        <v/>
      </c>
      <c r="AV34" s="4" t="str">
        <f t="shared" si="11"/>
        <v/>
      </c>
      <c r="AW34" s="4" t="str">
        <f t="shared" si="11"/>
        <v/>
      </c>
      <c r="AX34" s="4">
        <f t="shared" si="11"/>
        <v>1</v>
      </c>
      <c r="AY34" s="4" t="str">
        <f t="shared" si="11"/>
        <v/>
      </c>
      <c r="AZ34" s="4" t="str">
        <f t="shared" si="11"/>
        <v/>
      </c>
      <c r="BA34" s="4" t="str">
        <f t="shared" si="11"/>
        <v/>
      </c>
      <c r="BB34" s="4" t="str">
        <f t="shared" si="8"/>
        <v/>
      </c>
      <c r="BC34" s="4" t="str">
        <f t="shared" si="8"/>
        <v/>
      </c>
      <c r="BD34" s="4" t="str">
        <f t="shared" si="8"/>
        <v/>
      </c>
      <c r="BE34" s="4" t="str">
        <f t="shared" si="8"/>
        <v/>
      </c>
      <c r="BF34" s="4" t="str">
        <f t="shared" si="8"/>
        <v/>
      </c>
      <c r="BG34" s="4" t="str">
        <f t="shared" si="8"/>
        <v/>
      </c>
      <c r="BH34" s="4" t="str">
        <f t="shared" si="8"/>
        <v/>
      </c>
      <c r="BI34" s="5" t="str">
        <f t="shared" si="8"/>
        <v/>
      </c>
    </row>
    <row r="35" spans="1:61" x14ac:dyDescent="0.25">
      <c r="A35">
        <v>624500</v>
      </c>
      <c r="B35" t="s">
        <v>15</v>
      </c>
      <c r="C35" t="s">
        <v>16</v>
      </c>
      <c r="D35">
        <v>93</v>
      </c>
      <c r="E35">
        <v>7314</v>
      </c>
      <c r="F35">
        <v>5</v>
      </c>
      <c r="G35">
        <v>20132</v>
      </c>
      <c r="H35" t="s">
        <v>0</v>
      </c>
      <c r="I35">
        <v>147921.00099999999</v>
      </c>
      <c r="J35">
        <v>4743</v>
      </c>
      <c r="K35">
        <v>127751.23</v>
      </c>
      <c r="L35">
        <v>125023.61</v>
      </c>
      <c r="M35">
        <v>2727.62</v>
      </c>
      <c r="N35" s="3" t="str">
        <f t="shared" si="9"/>
        <v/>
      </c>
      <c r="O35" s="4" t="str">
        <f t="shared" si="9"/>
        <v/>
      </c>
      <c r="P35" s="4" t="str">
        <f t="shared" si="9"/>
        <v/>
      </c>
      <c r="Q35" s="4" t="str">
        <f t="shared" si="9"/>
        <v/>
      </c>
      <c r="R35" s="4" t="str">
        <f t="shared" si="9"/>
        <v/>
      </c>
      <c r="S35" s="4" t="str">
        <f t="shared" si="9"/>
        <v/>
      </c>
      <c r="T35" s="4" t="str">
        <f t="shared" si="9"/>
        <v/>
      </c>
      <c r="U35" s="4" t="str">
        <f t="shared" si="9"/>
        <v/>
      </c>
      <c r="V35" s="4" t="str">
        <f t="shared" si="6"/>
        <v/>
      </c>
      <c r="W35" s="4" t="str">
        <f t="shared" si="6"/>
        <v/>
      </c>
      <c r="X35" s="4" t="str">
        <f t="shared" si="6"/>
        <v/>
      </c>
      <c r="Y35" s="4" t="str">
        <f t="shared" si="6"/>
        <v/>
      </c>
      <c r="Z35" s="4" t="str">
        <f t="shared" si="6"/>
        <v/>
      </c>
      <c r="AA35" s="4" t="str">
        <f t="shared" si="6"/>
        <v/>
      </c>
      <c r="AB35" s="4" t="str">
        <f t="shared" si="6"/>
        <v/>
      </c>
      <c r="AC35" s="5" t="str">
        <f t="shared" si="6"/>
        <v/>
      </c>
      <c r="AD35" s="3" t="str">
        <f t="shared" si="10"/>
        <v/>
      </c>
      <c r="AE35" s="4" t="str">
        <f t="shared" si="10"/>
        <v/>
      </c>
      <c r="AF35" s="4" t="str">
        <f t="shared" si="10"/>
        <v/>
      </c>
      <c r="AG35" s="4" t="str">
        <f t="shared" si="10"/>
        <v/>
      </c>
      <c r="AH35" s="4" t="str">
        <f t="shared" si="10"/>
        <v/>
      </c>
      <c r="AI35" s="4" t="str">
        <f t="shared" si="10"/>
        <v/>
      </c>
      <c r="AJ35" s="4" t="str">
        <f t="shared" si="10"/>
        <v/>
      </c>
      <c r="AK35" s="4" t="str">
        <f t="shared" si="10"/>
        <v/>
      </c>
      <c r="AL35" s="4" t="str">
        <f t="shared" si="7"/>
        <v/>
      </c>
      <c r="AM35" s="4" t="str">
        <f t="shared" si="7"/>
        <v/>
      </c>
      <c r="AN35" s="4" t="str">
        <f t="shared" si="7"/>
        <v/>
      </c>
      <c r="AO35" s="4" t="str">
        <f t="shared" si="7"/>
        <v/>
      </c>
      <c r="AP35" s="4" t="str">
        <f t="shared" si="7"/>
        <v/>
      </c>
      <c r="AQ35" s="4" t="str">
        <f t="shared" si="7"/>
        <v/>
      </c>
      <c r="AR35" s="4" t="str">
        <f t="shared" si="7"/>
        <v/>
      </c>
      <c r="AS35" s="5" t="str">
        <f t="shared" si="7"/>
        <v/>
      </c>
      <c r="AT35" s="3" t="str">
        <f t="shared" si="11"/>
        <v/>
      </c>
      <c r="AU35" s="4" t="str">
        <f t="shared" si="11"/>
        <v/>
      </c>
      <c r="AV35" s="4" t="str">
        <f t="shared" si="11"/>
        <v/>
      </c>
      <c r="AW35" s="4" t="str">
        <f t="shared" si="11"/>
        <v/>
      </c>
      <c r="AX35" s="4" t="str">
        <f t="shared" si="11"/>
        <v/>
      </c>
      <c r="AY35" s="4">
        <f t="shared" si="11"/>
        <v>1</v>
      </c>
      <c r="AZ35" s="4" t="str">
        <f t="shared" si="11"/>
        <v/>
      </c>
      <c r="BA35" s="4" t="str">
        <f t="shared" si="11"/>
        <v/>
      </c>
      <c r="BB35" s="4" t="str">
        <f t="shared" si="8"/>
        <v/>
      </c>
      <c r="BC35" s="4" t="str">
        <f t="shared" si="8"/>
        <v/>
      </c>
      <c r="BD35" s="4" t="str">
        <f t="shared" si="8"/>
        <v/>
      </c>
      <c r="BE35" s="4" t="str">
        <f t="shared" si="8"/>
        <v/>
      </c>
      <c r="BF35" s="4" t="str">
        <f t="shared" si="8"/>
        <v/>
      </c>
      <c r="BG35" s="4" t="str">
        <f t="shared" si="8"/>
        <v/>
      </c>
      <c r="BH35" s="4" t="str">
        <f t="shared" si="8"/>
        <v/>
      </c>
      <c r="BI35" s="5" t="str">
        <f t="shared" si="8"/>
        <v/>
      </c>
    </row>
    <row r="36" spans="1:61" x14ac:dyDescent="0.25">
      <c r="A36">
        <v>624501</v>
      </c>
      <c r="B36" t="s">
        <v>15</v>
      </c>
      <c r="C36" t="s">
        <v>16</v>
      </c>
      <c r="D36">
        <v>93</v>
      </c>
      <c r="E36">
        <v>7314</v>
      </c>
      <c r="F36">
        <v>5</v>
      </c>
      <c r="G36">
        <v>20133</v>
      </c>
      <c r="H36" t="s">
        <v>0</v>
      </c>
      <c r="I36">
        <v>156844.06</v>
      </c>
      <c r="J36">
        <v>5236</v>
      </c>
      <c r="K36">
        <v>127012.93</v>
      </c>
      <c r="L36">
        <v>126483.71</v>
      </c>
      <c r="M36">
        <v>529.22</v>
      </c>
      <c r="N36" s="3" t="str">
        <f t="shared" si="9"/>
        <v/>
      </c>
      <c r="O36" s="4" t="str">
        <f t="shared" si="9"/>
        <v/>
      </c>
      <c r="P36" s="4" t="str">
        <f t="shared" si="9"/>
        <v/>
      </c>
      <c r="Q36" s="4" t="str">
        <f t="shared" si="9"/>
        <v/>
      </c>
      <c r="R36" s="4" t="str">
        <f t="shared" si="9"/>
        <v/>
      </c>
      <c r="S36" s="4" t="str">
        <f t="shared" si="9"/>
        <v/>
      </c>
      <c r="T36" s="4" t="str">
        <f t="shared" si="9"/>
        <v/>
      </c>
      <c r="U36" s="4" t="str">
        <f t="shared" si="9"/>
        <v/>
      </c>
      <c r="V36" s="4" t="str">
        <f t="shared" si="6"/>
        <v/>
      </c>
      <c r="W36" s="4" t="str">
        <f t="shared" si="6"/>
        <v/>
      </c>
      <c r="X36" s="4" t="str">
        <f t="shared" si="6"/>
        <v/>
      </c>
      <c r="Y36" s="4" t="str">
        <f t="shared" si="6"/>
        <v/>
      </c>
      <c r="Z36" s="4" t="str">
        <f t="shared" si="6"/>
        <v/>
      </c>
      <c r="AA36" s="4" t="str">
        <f t="shared" si="6"/>
        <v/>
      </c>
      <c r="AB36" s="4" t="str">
        <f t="shared" si="6"/>
        <v/>
      </c>
      <c r="AC36" s="5" t="str">
        <f t="shared" si="6"/>
        <v/>
      </c>
      <c r="AD36" s="3" t="str">
        <f t="shared" si="10"/>
        <v/>
      </c>
      <c r="AE36" s="4" t="str">
        <f t="shared" si="10"/>
        <v/>
      </c>
      <c r="AF36" s="4" t="str">
        <f t="shared" si="10"/>
        <v/>
      </c>
      <c r="AG36" s="4" t="str">
        <f t="shared" si="10"/>
        <v/>
      </c>
      <c r="AH36" s="4" t="str">
        <f t="shared" si="10"/>
        <v/>
      </c>
      <c r="AI36" s="4" t="str">
        <f t="shared" si="10"/>
        <v/>
      </c>
      <c r="AJ36" s="4" t="str">
        <f t="shared" si="10"/>
        <v/>
      </c>
      <c r="AK36" s="4" t="str">
        <f t="shared" si="10"/>
        <v/>
      </c>
      <c r="AL36" s="4" t="str">
        <f t="shared" si="7"/>
        <v/>
      </c>
      <c r="AM36" s="4" t="str">
        <f t="shared" si="7"/>
        <v/>
      </c>
      <c r="AN36" s="4" t="str">
        <f t="shared" si="7"/>
        <v/>
      </c>
      <c r="AO36" s="4" t="str">
        <f t="shared" si="7"/>
        <v/>
      </c>
      <c r="AP36" s="4" t="str">
        <f t="shared" si="7"/>
        <v/>
      </c>
      <c r="AQ36" s="4" t="str">
        <f t="shared" si="7"/>
        <v/>
      </c>
      <c r="AR36" s="4" t="str">
        <f t="shared" si="7"/>
        <v/>
      </c>
      <c r="AS36" s="5" t="str">
        <f t="shared" si="7"/>
        <v/>
      </c>
      <c r="AT36" s="3" t="str">
        <f t="shared" si="11"/>
        <v/>
      </c>
      <c r="AU36" s="4" t="str">
        <f t="shared" si="11"/>
        <v/>
      </c>
      <c r="AV36" s="4" t="str">
        <f t="shared" si="11"/>
        <v/>
      </c>
      <c r="AW36" s="4" t="str">
        <f t="shared" si="11"/>
        <v/>
      </c>
      <c r="AX36" s="4" t="str">
        <f t="shared" si="11"/>
        <v/>
      </c>
      <c r="AY36" s="4" t="str">
        <f t="shared" si="11"/>
        <v/>
      </c>
      <c r="AZ36" s="4">
        <f t="shared" si="11"/>
        <v>1</v>
      </c>
      <c r="BA36" s="4" t="str">
        <f t="shared" si="11"/>
        <v/>
      </c>
      <c r="BB36" s="4" t="str">
        <f t="shared" si="8"/>
        <v/>
      </c>
      <c r="BC36" s="4" t="str">
        <f t="shared" si="8"/>
        <v/>
      </c>
      <c r="BD36" s="4" t="str">
        <f t="shared" si="8"/>
        <v/>
      </c>
      <c r="BE36" s="4" t="str">
        <f t="shared" si="8"/>
        <v/>
      </c>
      <c r="BF36" s="4" t="str">
        <f t="shared" si="8"/>
        <v/>
      </c>
      <c r="BG36" s="4" t="str">
        <f t="shared" si="8"/>
        <v/>
      </c>
      <c r="BH36" s="4" t="str">
        <f t="shared" si="8"/>
        <v/>
      </c>
      <c r="BI36" s="5" t="str">
        <f t="shared" si="8"/>
        <v/>
      </c>
    </row>
    <row r="37" spans="1:61" x14ac:dyDescent="0.25">
      <c r="A37">
        <v>624502</v>
      </c>
      <c r="B37" t="s">
        <v>15</v>
      </c>
      <c r="C37" t="s">
        <v>16</v>
      </c>
      <c r="D37">
        <v>93</v>
      </c>
      <c r="E37">
        <v>7314</v>
      </c>
      <c r="F37">
        <v>5</v>
      </c>
      <c r="G37">
        <v>20134</v>
      </c>
      <c r="H37" t="s">
        <v>0</v>
      </c>
      <c r="I37">
        <v>108720.058</v>
      </c>
      <c r="J37">
        <v>3697</v>
      </c>
      <c r="K37">
        <v>84662.36</v>
      </c>
      <c r="L37">
        <v>83872.320000000007</v>
      </c>
      <c r="M37">
        <v>790.04</v>
      </c>
      <c r="N37" s="3" t="str">
        <f t="shared" si="9"/>
        <v/>
      </c>
      <c r="O37" s="4" t="str">
        <f t="shared" si="9"/>
        <v/>
      </c>
      <c r="P37" s="4" t="str">
        <f t="shared" si="9"/>
        <v/>
      </c>
      <c r="Q37" s="4" t="str">
        <f t="shared" si="9"/>
        <v/>
      </c>
      <c r="R37" s="4" t="str">
        <f t="shared" si="9"/>
        <v/>
      </c>
      <c r="S37" s="4" t="str">
        <f t="shared" si="9"/>
        <v/>
      </c>
      <c r="T37" s="4" t="str">
        <f t="shared" si="9"/>
        <v/>
      </c>
      <c r="U37" s="4" t="str">
        <f t="shared" si="9"/>
        <v/>
      </c>
      <c r="V37" s="4" t="str">
        <f t="shared" si="6"/>
        <v/>
      </c>
      <c r="W37" s="4" t="str">
        <f t="shared" si="6"/>
        <v/>
      </c>
      <c r="X37" s="4" t="str">
        <f t="shared" si="6"/>
        <v/>
      </c>
      <c r="Y37" s="4" t="str">
        <f t="shared" si="6"/>
        <v/>
      </c>
      <c r="Z37" s="4" t="str">
        <f t="shared" si="6"/>
        <v/>
      </c>
      <c r="AA37" s="4" t="str">
        <f t="shared" si="6"/>
        <v/>
      </c>
      <c r="AB37" s="4" t="str">
        <f t="shared" si="6"/>
        <v/>
      </c>
      <c r="AC37" s="5" t="str">
        <f t="shared" si="6"/>
        <v/>
      </c>
      <c r="AD37" s="3" t="str">
        <f t="shared" si="10"/>
        <v/>
      </c>
      <c r="AE37" s="4" t="str">
        <f t="shared" si="10"/>
        <v/>
      </c>
      <c r="AF37" s="4" t="str">
        <f t="shared" si="10"/>
        <v/>
      </c>
      <c r="AG37" s="4" t="str">
        <f t="shared" si="10"/>
        <v/>
      </c>
      <c r="AH37" s="4" t="str">
        <f t="shared" si="10"/>
        <v/>
      </c>
      <c r="AI37" s="4" t="str">
        <f t="shared" si="10"/>
        <v/>
      </c>
      <c r="AJ37" s="4" t="str">
        <f t="shared" si="10"/>
        <v/>
      </c>
      <c r="AK37" s="4" t="str">
        <f t="shared" si="10"/>
        <v/>
      </c>
      <c r="AL37" s="4" t="str">
        <f t="shared" si="7"/>
        <v/>
      </c>
      <c r="AM37" s="4" t="str">
        <f t="shared" si="7"/>
        <v/>
      </c>
      <c r="AN37" s="4" t="str">
        <f t="shared" si="7"/>
        <v/>
      </c>
      <c r="AO37" s="4" t="str">
        <f t="shared" si="7"/>
        <v/>
      </c>
      <c r="AP37" s="4" t="str">
        <f t="shared" si="7"/>
        <v/>
      </c>
      <c r="AQ37" s="4" t="str">
        <f t="shared" si="7"/>
        <v/>
      </c>
      <c r="AR37" s="4" t="str">
        <f t="shared" si="7"/>
        <v/>
      </c>
      <c r="AS37" s="5" t="str">
        <f t="shared" si="7"/>
        <v/>
      </c>
      <c r="AT37" s="3" t="str">
        <f t="shared" si="11"/>
        <v/>
      </c>
      <c r="AU37" s="4" t="str">
        <f t="shared" si="11"/>
        <v/>
      </c>
      <c r="AV37" s="4" t="str">
        <f t="shared" si="11"/>
        <v/>
      </c>
      <c r="AW37" s="4" t="str">
        <f t="shared" si="11"/>
        <v/>
      </c>
      <c r="AX37" s="4" t="str">
        <f t="shared" si="11"/>
        <v/>
      </c>
      <c r="AY37" s="4" t="str">
        <f t="shared" si="11"/>
        <v/>
      </c>
      <c r="AZ37" s="4" t="str">
        <f t="shared" si="11"/>
        <v/>
      </c>
      <c r="BA37" s="4">
        <f t="shared" si="11"/>
        <v>1</v>
      </c>
      <c r="BB37" s="4" t="str">
        <f t="shared" si="8"/>
        <v/>
      </c>
      <c r="BC37" s="4" t="str">
        <f t="shared" si="8"/>
        <v/>
      </c>
      <c r="BD37" s="4" t="str">
        <f t="shared" si="8"/>
        <v/>
      </c>
      <c r="BE37" s="4" t="str">
        <f t="shared" si="8"/>
        <v/>
      </c>
      <c r="BF37" s="4" t="str">
        <f t="shared" si="8"/>
        <v/>
      </c>
      <c r="BG37" s="4" t="str">
        <f t="shared" si="8"/>
        <v/>
      </c>
      <c r="BH37" s="4" t="str">
        <f t="shared" si="8"/>
        <v/>
      </c>
      <c r="BI37" s="5" t="str">
        <f t="shared" si="8"/>
        <v/>
      </c>
    </row>
    <row r="38" spans="1:61" x14ac:dyDescent="0.25">
      <c r="A38">
        <v>624503</v>
      </c>
      <c r="B38" t="s">
        <v>15</v>
      </c>
      <c r="C38" t="s">
        <v>16</v>
      </c>
      <c r="D38">
        <v>93</v>
      </c>
      <c r="E38">
        <v>7314</v>
      </c>
      <c r="F38">
        <v>56</v>
      </c>
      <c r="G38">
        <v>20131</v>
      </c>
      <c r="H38" t="s">
        <v>0</v>
      </c>
      <c r="I38">
        <v>774546.81</v>
      </c>
      <c r="J38">
        <v>25426</v>
      </c>
      <c r="K38">
        <v>1449074.72</v>
      </c>
      <c r="L38">
        <v>1251788.05</v>
      </c>
      <c r="M38">
        <v>197286.67</v>
      </c>
      <c r="N38" s="3" t="str">
        <f t="shared" si="9"/>
        <v/>
      </c>
      <c r="O38" s="4" t="str">
        <f t="shared" si="9"/>
        <v/>
      </c>
      <c r="P38" s="4" t="str">
        <f t="shared" si="9"/>
        <v/>
      </c>
      <c r="Q38" s="4" t="str">
        <f t="shared" si="9"/>
        <v/>
      </c>
      <c r="R38" s="4" t="str">
        <f t="shared" si="9"/>
        <v/>
      </c>
      <c r="S38" s="4" t="str">
        <f t="shared" si="9"/>
        <v/>
      </c>
      <c r="T38" s="4" t="str">
        <f t="shared" si="9"/>
        <v/>
      </c>
      <c r="U38" s="4" t="str">
        <f t="shared" si="9"/>
        <v/>
      </c>
      <c r="V38" s="4" t="str">
        <f t="shared" si="6"/>
        <v/>
      </c>
      <c r="W38" s="4" t="str">
        <f t="shared" si="6"/>
        <v/>
      </c>
      <c r="X38" s="4" t="str">
        <f t="shared" si="6"/>
        <v/>
      </c>
      <c r="Y38" s="4" t="str">
        <f t="shared" si="6"/>
        <v/>
      </c>
      <c r="Z38" s="4" t="str">
        <f t="shared" si="6"/>
        <v/>
      </c>
      <c r="AA38" s="4" t="str">
        <f t="shared" si="6"/>
        <v/>
      </c>
      <c r="AB38" s="4" t="str">
        <f t="shared" si="6"/>
        <v/>
      </c>
      <c r="AC38" s="5" t="str">
        <f t="shared" si="6"/>
        <v/>
      </c>
      <c r="AD38" s="3" t="str">
        <f t="shared" si="10"/>
        <v/>
      </c>
      <c r="AE38" s="4" t="str">
        <f t="shared" si="10"/>
        <v/>
      </c>
      <c r="AF38" s="4" t="str">
        <f t="shared" si="10"/>
        <v/>
      </c>
      <c r="AG38" s="4" t="str">
        <f t="shared" si="10"/>
        <v/>
      </c>
      <c r="AH38" s="4" t="str">
        <f t="shared" si="10"/>
        <v/>
      </c>
      <c r="AI38" s="4" t="str">
        <f t="shared" si="10"/>
        <v/>
      </c>
      <c r="AJ38" s="4" t="str">
        <f t="shared" si="10"/>
        <v/>
      </c>
      <c r="AK38" s="4" t="str">
        <f t="shared" si="10"/>
        <v/>
      </c>
      <c r="AL38" s="4" t="str">
        <f t="shared" si="7"/>
        <v/>
      </c>
      <c r="AM38" s="4" t="str">
        <f t="shared" si="7"/>
        <v/>
      </c>
      <c r="AN38" s="4" t="str">
        <f t="shared" si="7"/>
        <v/>
      </c>
      <c r="AO38" s="4" t="str">
        <f t="shared" si="7"/>
        <v/>
      </c>
      <c r="AP38" s="4" t="str">
        <f t="shared" si="7"/>
        <v/>
      </c>
      <c r="AQ38" s="4" t="str">
        <f t="shared" si="7"/>
        <v/>
      </c>
      <c r="AR38" s="4" t="str">
        <f t="shared" si="7"/>
        <v/>
      </c>
      <c r="AS38" s="5" t="str">
        <f t="shared" si="7"/>
        <v/>
      </c>
      <c r="AT38" s="3" t="str">
        <f t="shared" si="11"/>
        <v/>
      </c>
      <c r="AU38" s="4" t="str">
        <f t="shared" si="11"/>
        <v/>
      </c>
      <c r="AV38" s="4" t="str">
        <f t="shared" si="11"/>
        <v/>
      </c>
      <c r="AW38" s="4" t="str">
        <f t="shared" si="11"/>
        <v/>
      </c>
      <c r="AX38" s="4">
        <f t="shared" si="11"/>
        <v>1</v>
      </c>
      <c r="AY38" s="4" t="str">
        <f t="shared" si="11"/>
        <v/>
      </c>
      <c r="AZ38" s="4" t="str">
        <f t="shared" si="11"/>
        <v/>
      </c>
      <c r="BA38" s="4" t="str">
        <f t="shared" si="11"/>
        <v/>
      </c>
      <c r="BB38" s="4" t="str">
        <f t="shared" si="8"/>
        <v/>
      </c>
      <c r="BC38" s="4" t="str">
        <f t="shared" si="8"/>
        <v/>
      </c>
      <c r="BD38" s="4" t="str">
        <f t="shared" si="8"/>
        <v/>
      </c>
      <c r="BE38" s="4" t="str">
        <f t="shared" si="8"/>
        <v/>
      </c>
      <c r="BF38" s="4" t="str">
        <f t="shared" si="8"/>
        <v/>
      </c>
      <c r="BG38" s="4" t="str">
        <f t="shared" si="8"/>
        <v/>
      </c>
      <c r="BH38" s="4" t="str">
        <f t="shared" si="8"/>
        <v/>
      </c>
      <c r="BI38" s="5" t="str">
        <f t="shared" si="8"/>
        <v/>
      </c>
    </row>
    <row r="39" spans="1:61" x14ac:dyDescent="0.25">
      <c r="A39">
        <v>624504</v>
      </c>
      <c r="B39" t="s">
        <v>15</v>
      </c>
      <c r="C39" t="s">
        <v>16</v>
      </c>
      <c r="D39">
        <v>93</v>
      </c>
      <c r="E39">
        <v>7314</v>
      </c>
      <c r="F39">
        <v>56</v>
      </c>
      <c r="G39">
        <v>20132</v>
      </c>
      <c r="H39" t="s">
        <v>0</v>
      </c>
      <c r="I39">
        <v>758485.00100000005</v>
      </c>
      <c r="J39">
        <v>24683</v>
      </c>
      <c r="K39">
        <v>877529.47</v>
      </c>
      <c r="L39">
        <v>866207.61</v>
      </c>
      <c r="M39">
        <v>11321.86</v>
      </c>
      <c r="N39" s="3" t="str">
        <f t="shared" si="9"/>
        <v/>
      </c>
      <c r="O39" s="4" t="str">
        <f t="shared" si="9"/>
        <v/>
      </c>
      <c r="P39" s="4" t="str">
        <f t="shared" si="9"/>
        <v/>
      </c>
      <c r="Q39" s="4" t="str">
        <f t="shared" si="9"/>
        <v/>
      </c>
      <c r="R39" s="4" t="str">
        <f t="shared" si="9"/>
        <v/>
      </c>
      <c r="S39" s="4" t="str">
        <f t="shared" si="9"/>
        <v/>
      </c>
      <c r="T39" s="4" t="str">
        <f t="shared" si="9"/>
        <v/>
      </c>
      <c r="U39" s="4" t="str">
        <f t="shared" si="9"/>
        <v/>
      </c>
      <c r="V39" s="4" t="str">
        <f t="shared" si="6"/>
        <v/>
      </c>
      <c r="W39" s="4" t="str">
        <f t="shared" si="6"/>
        <v/>
      </c>
      <c r="X39" s="4" t="str">
        <f t="shared" si="6"/>
        <v/>
      </c>
      <c r="Y39" s="4" t="str">
        <f t="shared" si="6"/>
        <v/>
      </c>
      <c r="Z39" s="4" t="str">
        <f t="shared" si="6"/>
        <v/>
      </c>
      <c r="AA39" s="4" t="str">
        <f t="shared" si="6"/>
        <v/>
      </c>
      <c r="AB39" s="4" t="str">
        <f t="shared" si="6"/>
        <v/>
      </c>
      <c r="AC39" s="5" t="str">
        <f t="shared" si="6"/>
        <v/>
      </c>
      <c r="AD39" s="3" t="str">
        <f t="shared" si="10"/>
        <v/>
      </c>
      <c r="AE39" s="4" t="str">
        <f t="shared" si="10"/>
        <v/>
      </c>
      <c r="AF39" s="4" t="str">
        <f t="shared" si="10"/>
        <v/>
      </c>
      <c r="AG39" s="4" t="str">
        <f t="shared" si="10"/>
        <v/>
      </c>
      <c r="AH39" s="4" t="str">
        <f t="shared" si="10"/>
        <v/>
      </c>
      <c r="AI39" s="4" t="str">
        <f t="shared" si="10"/>
        <v/>
      </c>
      <c r="AJ39" s="4" t="str">
        <f t="shared" si="10"/>
        <v/>
      </c>
      <c r="AK39" s="4" t="str">
        <f t="shared" si="10"/>
        <v/>
      </c>
      <c r="AL39" s="4" t="str">
        <f t="shared" si="7"/>
        <v/>
      </c>
      <c r="AM39" s="4" t="str">
        <f t="shared" si="7"/>
        <v/>
      </c>
      <c r="AN39" s="4" t="str">
        <f t="shared" si="7"/>
        <v/>
      </c>
      <c r="AO39" s="4" t="str">
        <f t="shared" si="7"/>
        <v/>
      </c>
      <c r="AP39" s="4" t="str">
        <f t="shared" si="7"/>
        <v/>
      </c>
      <c r="AQ39" s="4" t="str">
        <f t="shared" si="7"/>
        <v/>
      </c>
      <c r="AR39" s="4" t="str">
        <f t="shared" si="7"/>
        <v/>
      </c>
      <c r="AS39" s="5" t="str">
        <f t="shared" si="7"/>
        <v/>
      </c>
      <c r="AT39" s="3" t="str">
        <f t="shared" si="11"/>
        <v/>
      </c>
      <c r="AU39" s="4" t="str">
        <f t="shared" si="11"/>
        <v/>
      </c>
      <c r="AV39" s="4" t="str">
        <f t="shared" si="11"/>
        <v/>
      </c>
      <c r="AW39" s="4" t="str">
        <f t="shared" si="11"/>
        <v/>
      </c>
      <c r="AX39" s="4" t="str">
        <f t="shared" si="11"/>
        <v/>
      </c>
      <c r="AY39" s="4">
        <f t="shared" si="11"/>
        <v>1</v>
      </c>
      <c r="AZ39" s="4" t="str">
        <f t="shared" si="11"/>
        <v/>
      </c>
      <c r="BA39" s="4" t="str">
        <f t="shared" si="11"/>
        <v/>
      </c>
      <c r="BB39" s="4" t="str">
        <f t="shared" si="8"/>
        <v/>
      </c>
      <c r="BC39" s="4" t="str">
        <f t="shared" si="8"/>
        <v/>
      </c>
      <c r="BD39" s="4" t="str">
        <f t="shared" si="8"/>
        <v/>
      </c>
      <c r="BE39" s="4" t="str">
        <f t="shared" si="8"/>
        <v/>
      </c>
      <c r="BF39" s="4" t="str">
        <f t="shared" si="8"/>
        <v/>
      </c>
      <c r="BG39" s="4" t="str">
        <f t="shared" si="8"/>
        <v/>
      </c>
      <c r="BH39" s="4" t="str">
        <f t="shared" si="8"/>
        <v/>
      </c>
      <c r="BI39" s="5" t="str">
        <f t="shared" si="8"/>
        <v/>
      </c>
    </row>
    <row r="40" spans="1:61" x14ac:dyDescent="0.25">
      <c r="A40">
        <v>624505</v>
      </c>
      <c r="B40" t="s">
        <v>15</v>
      </c>
      <c r="C40" t="s">
        <v>16</v>
      </c>
      <c r="D40">
        <v>93</v>
      </c>
      <c r="E40">
        <v>7314</v>
      </c>
      <c r="F40">
        <v>56</v>
      </c>
      <c r="G40">
        <v>20133</v>
      </c>
      <c r="H40" t="s">
        <v>0</v>
      </c>
      <c r="I40">
        <v>777668.00300000003</v>
      </c>
      <c r="J40">
        <v>25135</v>
      </c>
      <c r="K40">
        <v>803428.7</v>
      </c>
      <c r="L40">
        <v>799622.1</v>
      </c>
      <c r="M40">
        <v>3806.6</v>
      </c>
      <c r="N40" s="3" t="str">
        <f t="shared" si="9"/>
        <v/>
      </c>
      <c r="O40" s="4" t="str">
        <f t="shared" si="9"/>
        <v/>
      </c>
      <c r="P40" s="4" t="str">
        <f t="shared" si="9"/>
        <v/>
      </c>
      <c r="Q40" s="4" t="str">
        <f t="shared" si="9"/>
        <v/>
      </c>
      <c r="R40" s="4" t="str">
        <f t="shared" si="9"/>
        <v/>
      </c>
      <c r="S40" s="4" t="str">
        <f t="shared" si="9"/>
        <v/>
      </c>
      <c r="T40" s="4" t="str">
        <f t="shared" si="9"/>
        <v/>
      </c>
      <c r="U40" s="4" t="str">
        <f t="shared" si="9"/>
        <v/>
      </c>
      <c r="V40" s="4" t="str">
        <f t="shared" si="6"/>
        <v/>
      </c>
      <c r="W40" s="4" t="str">
        <f t="shared" si="6"/>
        <v/>
      </c>
      <c r="X40" s="4" t="str">
        <f t="shared" si="6"/>
        <v/>
      </c>
      <c r="Y40" s="4" t="str">
        <f t="shared" si="6"/>
        <v/>
      </c>
      <c r="Z40" s="4" t="str">
        <f t="shared" si="6"/>
        <v/>
      </c>
      <c r="AA40" s="4" t="str">
        <f t="shared" si="6"/>
        <v/>
      </c>
      <c r="AB40" s="4" t="str">
        <f t="shared" si="6"/>
        <v/>
      </c>
      <c r="AC40" s="5" t="str">
        <f t="shared" si="6"/>
        <v/>
      </c>
      <c r="AD40" s="3" t="str">
        <f t="shared" si="10"/>
        <v/>
      </c>
      <c r="AE40" s="4" t="str">
        <f t="shared" si="10"/>
        <v/>
      </c>
      <c r="AF40" s="4" t="str">
        <f t="shared" si="10"/>
        <v/>
      </c>
      <c r="AG40" s="4" t="str">
        <f t="shared" si="10"/>
        <v/>
      </c>
      <c r="AH40" s="4" t="str">
        <f t="shared" si="10"/>
        <v/>
      </c>
      <c r="AI40" s="4" t="str">
        <f t="shared" si="10"/>
        <v/>
      </c>
      <c r="AJ40" s="4" t="str">
        <f t="shared" si="10"/>
        <v/>
      </c>
      <c r="AK40" s="4" t="str">
        <f t="shared" si="10"/>
        <v/>
      </c>
      <c r="AL40" s="4" t="str">
        <f t="shared" si="7"/>
        <v/>
      </c>
      <c r="AM40" s="4" t="str">
        <f t="shared" si="7"/>
        <v/>
      </c>
      <c r="AN40" s="4" t="str">
        <f t="shared" si="7"/>
        <v/>
      </c>
      <c r="AO40" s="4" t="str">
        <f t="shared" si="7"/>
        <v/>
      </c>
      <c r="AP40" s="4" t="str">
        <f t="shared" si="7"/>
        <v/>
      </c>
      <c r="AQ40" s="4" t="str">
        <f t="shared" si="7"/>
        <v/>
      </c>
      <c r="AR40" s="4" t="str">
        <f t="shared" si="7"/>
        <v/>
      </c>
      <c r="AS40" s="5" t="str">
        <f t="shared" si="7"/>
        <v/>
      </c>
      <c r="AT40" s="3" t="str">
        <f t="shared" si="11"/>
        <v/>
      </c>
      <c r="AU40" s="4" t="str">
        <f t="shared" si="11"/>
        <v/>
      </c>
      <c r="AV40" s="4" t="str">
        <f t="shared" si="11"/>
        <v/>
      </c>
      <c r="AW40" s="4" t="str">
        <f t="shared" si="11"/>
        <v/>
      </c>
      <c r="AX40" s="4" t="str">
        <f t="shared" si="11"/>
        <v/>
      </c>
      <c r="AY40" s="4" t="str">
        <f t="shared" si="11"/>
        <v/>
      </c>
      <c r="AZ40" s="4">
        <f t="shared" si="11"/>
        <v>1</v>
      </c>
      <c r="BA40" s="4" t="str">
        <f t="shared" si="11"/>
        <v/>
      </c>
      <c r="BB40" s="4" t="str">
        <f t="shared" si="8"/>
        <v/>
      </c>
      <c r="BC40" s="4" t="str">
        <f t="shared" si="8"/>
        <v/>
      </c>
      <c r="BD40" s="4" t="str">
        <f t="shared" si="8"/>
        <v/>
      </c>
      <c r="BE40" s="4" t="str">
        <f t="shared" si="8"/>
        <v/>
      </c>
      <c r="BF40" s="4" t="str">
        <f t="shared" si="8"/>
        <v/>
      </c>
      <c r="BG40" s="4" t="str">
        <f t="shared" si="8"/>
        <v/>
      </c>
      <c r="BH40" s="4" t="str">
        <f t="shared" si="8"/>
        <v/>
      </c>
      <c r="BI40" s="5" t="str">
        <f t="shared" si="8"/>
        <v/>
      </c>
    </row>
    <row r="41" spans="1:61" x14ac:dyDescent="0.25">
      <c r="A41">
        <v>624506</v>
      </c>
      <c r="B41" t="s">
        <v>15</v>
      </c>
      <c r="C41" t="s">
        <v>16</v>
      </c>
      <c r="D41">
        <v>93</v>
      </c>
      <c r="E41">
        <v>7314</v>
      </c>
      <c r="F41">
        <v>56</v>
      </c>
      <c r="G41">
        <v>20134</v>
      </c>
      <c r="H41" t="s">
        <v>0</v>
      </c>
      <c r="I41">
        <v>795986</v>
      </c>
      <c r="J41">
        <v>26058</v>
      </c>
      <c r="K41">
        <v>607138.17000000004</v>
      </c>
      <c r="L41">
        <v>600058.82999999996</v>
      </c>
      <c r="M41">
        <v>7079.34</v>
      </c>
      <c r="N41" s="3" t="str">
        <f t="shared" si="9"/>
        <v/>
      </c>
      <c r="O41" s="4" t="str">
        <f t="shared" si="9"/>
        <v/>
      </c>
      <c r="P41" s="4" t="str">
        <f t="shared" si="9"/>
        <v/>
      </c>
      <c r="Q41" s="4" t="str">
        <f t="shared" si="9"/>
        <v/>
      </c>
      <c r="R41" s="4" t="str">
        <f t="shared" si="9"/>
        <v/>
      </c>
      <c r="S41" s="4" t="str">
        <f t="shared" si="9"/>
        <v/>
      </c>
      <c r="T41" s="4" t="str">
        <f t="shared" si="9"/>
        <v/>
      </c>
      <c r="U41" s="4" t="str">
        <f t="shared" si="9"/>
        <v/>
      </c>
      <c r="V41" s="4" t="str">
        <f t="shared" si="6"/>
        <v/>
      </c>
      <c r="W41" s="4" t="str">
        <f t="shared" si="6"/>
        <v/>
      </c>
      <c r="X41" s="4" t="str">
        <f t="shared" si="6"/>
        <v/>
      </c>
      <c r="Y41" s="4" t="str">
        <f t="shared" si="6"/>
        <v/>
      </c>
      <c r="Z41" s="4" t="str">
        <f t="shared" si="6"/>
        <v/>
      </c>
      <c r="AA41" s="4" t="str">
        <f t="shared" si="6"/>
        <v/>
      </c>
      <c r="AB41" s="4" t="str">
        <f t="shared" si="6"/>
        <v/>
      </c>
      <c r="AC41" s="5" t="str">
        <f t="shared" si="6"/>
        <v/>
      </c>
      <c r="AD41" s="3" t="str">
        <f t="shared" si="10"/>
        <v/>
      </c>
      <c r="AE41" s="4" t="str">
        <f t="shared" si="10"/>
        <v/>
      </c>
      <c r="AF41" s="4" t="str">
        <f t="shared" si="10"/>
        <v/>
      </c>
      <c r="AG41" s="4" t="str">
        <f t="shared" si="10"/>
        <v/>
      </c>
      <c r="AH41" s="4" t="str">
        <f t="shared" si="10"/>
        <v/>
      </c>
      <c r="AI41" s="4" t="str">
        <f t="shared" si="10"/>
        <v/>
      </c>
      <c r="AJ41" s="4" t="str">
        <f t="shared" si="10"/>
        <v/>
      </c>
      <c r="AK41" s="4" t="str">
        <f t="shared" si="10"/>
        <v/>
      </c>
      <c r="AL41" s="4" t="str">
        <f t="shared" si="7"/>
        <v/>
      </c>
      <c r="AM41" s="4" t="str">
        <f t="shared" si="7"/>
        <v/>
      </c>
      <c r="AN41" s="4" t="str">
        <f t="shared" si="7"/>
        <v/>
      </c>
      <c r="AO41" s="4" t="str">
        <f t="shared" si="7"/>
        <v/>
      </c>
      <c r="AP41" s="4" t="str">
        <f t="shared" si="7"/>
        <v/>
      </c>
      <c r="AQ41" s="4" t="str">
        <f t="shared" si="7"/>
        <v/>
      </c>
      <c r="AR41" s="4" t="str">
        <f t="shared" si="7"/>
        <v/>
      </c>
      <c r="AS41" s="5" t="str">
        <f t="shared" si="7"/>
        <v/>
      </c>
      <c r="AT41" s="3" t="str">
        <f t="shared" si="11"/>
        <v/>
      </c>
      <c r="AU41" s="4" t="str">
        <f t="shared" si="11"/>
        <v/>
      </c>
      <c r="AV41" s="4" t="str">
        <f t="shared" si="11"/>
        <v/>
      </c>
      <c r="AW41" s="4" t="str">
        <f t="shared" si="11"/>
        <v/>
      </c>
      <c r="AX41" s="4" t="str">
        <f t="shared" si="11"/>
        <v/>
      </c>
      <c r="AY41" s="4" t="str">
        <f t="shared" si="11"/>
        <v/>
      </c>
      <c r="AZ41" s="4" t="str">
        <f t="shared" si="11"/>
        <v/>
      </c>
      <c r="BA41" s="4">
        <f t="shared" si="11"/>
        <v>1</v>
      </c>
      <c r="BB41" s="4" t="str">
        <f t="shared" si="8"/>
        <v/>
      </c>
      <c r="BC41" s="4" t="str">
        <f t="shared" si="8"/>
        <v/>
      </c>
      <c r="BD41" s="4" t="str">
        <f t="shared" si="8"/>
        <v/>
      </c>
      <c r="BE41" s="4" t="str">
        <f t="shared" si="8"/>
        <v/>
      </c>
      <c r="BF41" s="4" t="str">
        <f t="shared" si="8"/>
        <v/>
      </c>
      <c r="BG41" s="4" t="str">
        <f t="shared" si="8"/>
        <v/>
      </c>
      <c r="BH41" s="4" t="str">
        <f t="shared" si="8"/>
        <v/>
      </c>
      <c r="BI41" s="5" t="str">
        <f t="shared" si="8"/>
        <v/>
      </c>
    </row>
    <row r="42" spans="1:61" x14ac:dyDescent="0.25">
      <c r="A42">
        <v>624507</v>
      </c>
      <c r="B42" t="s">
        <v>15</v>
      </c>
      <c r="C42" t="s">
        <v>16</v>
      </c>
      <c r="D42">
        <v>93</v>
      </c>
      <c r="E42">
        <v>7314</v>
      </c>
      <c r="F42">
        <v>98</v>
      </c>
      <c r="G42">
        <v>20131</v>
      </c>
      <c r="H42" t="s">
        <v>0</v>
      </c>
      <c r="I42">
        <v>844542.78</v>
      </c>
      <c r="J42">
        <v>22533</v>
      </c>
      <c r="K42">
        <v>938833.68</v>
      </c>
      <c r="L42">
        <v>929078.92</v>
      </c>
      <c r="M42">
        <v>9754.76</v>
      </c>
      <c r="N42" s="3" t="str">
        <f t="shared" si="9"/>
        <v/>
      </c>
      <c r="O42" s="4" t="str">
        <f t="shared" si="9"/>
        <v/>
      </c>
      <c r="P42" s="4" t="str">
        <f t="shared" si="9"/>
        <v/>
      </c>
      <c r="Q42" s="4" t="str">
        <f t="shared" si="9"/>
        <v/>
      </c>
      <c r="R42" s="4" t="str">
        <f t="shared" si="9"/>
        <v/>
      </c>
      <c r="S42" s="4" t="str">
        <f t="shared" si="9"/>
        <v/>
      </c>
      <c r="T42" s="4" t="str">
        <f t="shared" si="9"/>
        <v/>
      </c>
      <c r="U42" s="4" t="str">
        <f t="shared" si="9"/>
        <v/>
      </c>
      <c r="V42" s="4" t="str">
        <f t="shared" si="6"/>
        <v/>
      </c>
      <c r="W42" s="4" t="str">
        <f t="shared" si="6"/>
        <v/>
      </c>
      <c r="X42" s="4" t="str">
        <f t="shared" si="6"/>
        <v/>
      </c>
      <c r="Y42" s="4" t="str">
        <f t="shared" si="6"/>
        <v/>
      </c>
      <c r="Z42" s="4" t="str">
        <f t="shared" si="6"/>
        <v/>
      </c>
      <c r="AA42" s="4" t="str">
        <f t="shared" si="6"/>
        <v/>
      </c>
      <c r="AB42" s="4" t="str">
        <f t="shared" si="6"/>
        <v/>
      </c>
      <c r="AC42" s="5" t="str">
        <f t="shared" si="6"/>
        <v/>
      </c>
      <c r="AD42" s="3" t="str">
        <f t="shared" si="10"/>
        <v/>
      </c>
      <c r="AE42" s="4" t="str">
        <f t="shared" si="10"/>
        <v/>
      </c>
      <c r="AF42" s="4" t="str">
        <f t="shared" si="10"/>
        <v/>
      </c>
      <c r="AG42" s="4" t="str">
        <f t="shared" si="10"/>
        <v/>
      </c>
      <c r="AH42" s="4" t="str">
        <f t="shared" si="10"/>
        <v/>
      </c>
      <c r="AI42" s="4" t="str">
        <f t="shared" si="10"/>
        <v/>
      </c>
      <c r="AJ42" s="4" t="str">
        <f t="shared" si="10"/>
        <v/>
      </c>
      <c r="AK42" s="4" t="str">
        <f t="shared" si="10"/>
        <v/>
      </c>
      <c r="AL42" s="4" t="str">
        <f t="shared" si="7"/>
        <v/>
      </c>
      <c r="AM42" s="4" t="str">
        <f t="shared" si="7"/>
        <v/>
      </c>
      <c r="AN42" s="4" t="str">
        <f t="shared" si="7"/>
        <v/>
      </c>
      <c r="AO42" s="4" t="str">
        <f t="shared" si="7"/>
        <v/>
      </c>
      <c r="AP42" s="4" t="str">
        <f t="shared" si="7"/>
        <v/>
      </c>
      <c r="AQ42" s="4" t="str">
        <f t="shared" si="7"/>
        <v/>
      </c>
      <c r="AR42" s="4" t="str">
        <f t="shared" si="7"/>
        <v/>
      </c>
      <c r="AS42" s="5" t="str">
        <f t="shared" si="7"/>
        <v/>
      </c>
      <c r="AT42" s="3" t="str">
        <f t="shared" si="11"/>
        <v/>
      </c>
      <c r="AU42" s="4" t="str">
        <f t="shared" si="11"/>
        <v/>
      </c>
      <c r="AV42" s="4" t="str">
        <f t="shared" si="11"/>
        <v/>
      </c>
      <c r="AW42" s="4" t="str">
        <f t="shared" si="11"/>
        <v/>
      </c>
      <c r="AX42" s="4">
        <f t="shared" si="11"/>
        <v>1</v>
      </c>
      <c r="AY42" s="4" t="str">
        <f t="shared" si="11"/>
        <v/>
      </c>
      <c r="AZ42" s="4" t="str">
        <f t="shared" si="11"/>
        <v/>
      </c>
      <c r="BA42" s="4" t="str">
        <f t="shared" si="11"/>
        <v/>
      </c>
      <c r="BB42" s="4" t="str">
        <f t="shared" si="8"/>
        <v/>
      </c>
      <c r="BC42" s="4" t="str">
        <f t="shared" si="8"/>
        <v/>
      </c>
      <c r="BD42" s="4" t="str">
        <f t="shared" si="8"/>
        <v/>
      </c>
      <c r="BE42" s="4" t="str">
        <f t="shared" si="8"/>
        <v/>
      </c>
      <c r="BF42" s="4" t="str">
        <f t="shared" si="8"/>
        <v/>
      </c>
      <c r="BG42" s="4" t="str">
        <f t="shared" si="8"/>
        <v/>
      </c>
      <c r="BH42" s="4" t="str">
        <f t="shared" si="8"/>
        <v/>
      </c>
      <c r="BI42" s="5" t="str">
        <f t="shared" si="8"/>
        <v/>
      </c>
    </row>
    <row r="43" spans="1:61" x14ac:dyDescent="0.25">
      <c r="A43">
        <v>624508</v>
      </c>
      <c r="B43" t="s">
        <v>15</v>
      </c>
      <c r="C43" t="s">
        <v>16</v>
      </c>
      <c r="D43">
        <v>93</v>
      </c>
      <c r="E43">
        <v>7314</v>
      </c>
      <c r="F43">
        <v>98</v>
      </c>
      <c r="G43">
        <v>20132</v>
      </c>
      <c r="H43" t="s">
        <v>0</v>
      </c>
      <c r="I43">
        <v>549962</v>
      </c>
      <c r="J43">
        <v>18126</v>
      </c>
      <c r="K43">
        <v>640500.62</v>
      </c>
      <c r="L43">
        <v>638344.03</v>
      </c>
      <c r="M43">
        <v>2156.59</v>
      </c>
      <c r="N43" s="3" t="str">
        <f t="shared" si="9"/>
        <v/>
      </c>
      <c r="O43" s="4" t="str">
        <f t="shared" si="9"/>
        <v/>
      </c>
      <c r="P43" s="4" t="str">
        <f t="shared" si="9"/>
        <v/>
      </c>
      <c r="Q43" s="4" t="str">
        <f t="shared" si="9"/>
        <v/>
      </c>
      <c r="R43" s="4" t="str">
        <f t="shared" si="9"/>
        <v/>
      </c>
      <c r="S43" s="4" t="str">
        <f t="shared" si="9"/>
        <v/>
      </c>
      <c r="T43" s="4" t="str">
        <f t="shared" si="9"/>
        <v/>
      </c>
      <c r="U43" s="4" t="str">
        <f t="shared" si="9"/>
        <v/>
      </c>
      <c r="V43" s="4" t="str">
        <f t="shared" si="6"/>
        <v/>
      </c>
      <c r="W43" s="4" t="str">
        <f t="shared" si="6"/>
        <v/>
      </c>
      <c r="X43" s="4" t="str">
        <f t="shared" si="6"/>
        <v/>
      </c>
      <c r="Y43" s="4" t="str">
        <f t="shared" si="6"/>
        <v/>
      </c>
      <c r="Z43" s="4" t="str">
        <f t="shared" si="6"/>
        <v/>
      </c>
      <c r="AA43" s="4" t="str">
        <f t="shared" si="6"/>
        <v/>
      </c>
      <c r="AB43" s="4" t="str">
        <f t="shared" si="6"/>
        <v/>
      </c>
      <c r="AC43" s="5" t="str">
        <f t="shared" si="6"/>
        <v/>
      </c>
      <c r="AD43" s="3" t="str">
        <f t="shared" si="10"/>
        <v/>
      </c>
      <c r="AE43" s="4" t="str">
        <f t="shared" si="10"/>
        <v/>
      </c>
      <c r="AF43" s="4" t="str">
        <f t="shared" si="10"/>
        <v/>
      </c>
      <c r="AG43" s="4" t="str">
        <f t="shared" si="10"/>
        <v/>
      </c>
      <c r="AH43" s="4" t="str">
        <f t="shared" si="10"/>
        <v/>
      </c>
      <c r="AI43" s="4" t="str">
        <f t="shared" si="10"/>
        <v/>
      </c>
      <c r="AJ43" s="4" t="str">
        <f t="shared" si="10"/>
        <v/>
      </c>
      <c r="AK43" s="4" t="str">
        <f t="shared" si="10"/>
        <v/>
      </c>
      <c r="AL43" s="4" t="str">
        <f t="shared" si="7"/>
        <v/>
      </c>
      <c r="AM43" s="4" t="str">
        <f t="shared" si="7"/>
        <v/>
      </c>
      <c r="AN43" s="4" t="str">
        <f t="shared" si="7"/>
        <v/>
      </c>
      <c r="AO43" s="4" t="str">
        <f t="shared" si="7"/>
        <v/>
      </c>
      <c r="AP43" s="4" t="str">
        <f t="shared" si="7"/>
        <v/>
      </c>
      <c r="AQ43" s="4" t="str">
        <f t="shared" si="7"/>
        <v/>
      </c>
      <c r="AR43" s="4" t="str">
        <f t="shared" si="7"/>
        <v/>
      </c>
      <c r="AS43" s="5" t="str">
        <f t="shared" si="7"/>
        <v/>
      </c>
      <c r="AT43" s="3" t="str">
        <f t="shared" si="11"/>
        <v/>
      </c>
      <c r="AU43" s="4" t="str">
        <f t="shared" si="11"/>
        <v/>
      </c>
      <c r="AV43" s="4" t="str">
        <f t="shared" si="11"/>
        <v/>
      </c>
      <c r="AW43" s="4" t="str">
        <f t="shared" si="11"/>
        <v/>
      </c>
      <c r="AX43" s="4" t="str">
        <f t="shared" si="11"/>
        <v/>
      </c>
      <c r="AY43" s="4">
        <f t="shared" si="11"/>
        <v>1</v>
      </c>
      <c r="AZ43" s="4" t="str">
        <f t="shared" si="11"/>
        <v/>
      </c>
      <c r="BA43" s="4" t="str">
        <f t="shared" si="11"/>
        <v/>
      </c>
      <c r="BB43" s="4" t="str">
        <f t="shared" si="8"/>
        <v/>
      </c>
      <c r="BC43" s="4" t="str">
        <f t="shared" si="8"/>
        <v/>
      </c>
      <c r="BD43" s="4" t="str">
        <f t="shared" si="8"/>
        <v/>
      </c>
      <c r="BE43" s="4" t="str">
        <f t="shared" si="8"/>
        <v/>
      </c>
      <c r="BF43" s="4" t="str">
        <f t="shared" si="8"/>
        <v/>
      </c>
      <c r="BG43" s="4" t="str">
        <f t="shared" si="8"/>
        <v/>
      </c>
      <c r="BH43" s="4" t="str">
        <f t="shared" si="8"/>
        <v/>
      </c>
      <c r="BI43" s="5" t="str">
        <f t="shared" si="8"/>
        <v/>
      </c>
    </row>
    <row r="44" spans="1:61" x14ac:dyDescent="0.25">
      <c r="A44">
        <v>624509</v>
      </c>
      <c r="B44" t="s">
        <v>15</v>
      </c>
      <c r="C44" t="s">
        <v>16</v>
      </c>
      <c r="D44">
        <v>93</v>
      </c>
      <c r="E44">
        <v>7314</v>
      </c>
      <c r="F44">
        <v>98</v>
      </c>
      <c r="G44">
        <v>20133</v>
      </c>
      <c r="H44" t="s">
        <v>0</v>
      </c>
      <c r="I44">
        <v>470433</v>
      </c>
      <c r="J44">
        <v>15420</v>
      </c>
      <c r="K44">
        <v>468873.53</v>
      </c>
      <c r="L44">
        <v>467703.34</v>
      </c>
      <c r="M44">
        <v>1170.19</v>
      </c>
      <c r="N44" s="3" t="str">
        <f t="shared" si="9"/>
        <v/>
      </c>
      <c r="O44" s="4" t="str">
        <f t="shared" si="9"/>
        <v/>
      </c>
      <c r="P44" s="4" t="str">
        <f t="shared" si="9"/>
        <v/>
      </c>
      <c r="Q44" s="4" t="str">
        <f t="shared" si="9"/>
        <v/>
      </c>
      <c r="R44" s="4" t="str">
        <f t="shared" si="9"/>
        <v/>
      </c>
      <c r="S44" s="4" t="str">
        <f t="shared" si="9"/>
        <v/>
      </c>
      <c r="T44" s="4" t="str">
        <f t="shared" si="9"/>
        <v/>
      </c>
      <c r="U44" s="4" t="str">
        <f t="shared" si="9"/>
        <v/>
      </c>
      <c r="V44" s="4" t="str">
        <f t="shared" si="6"/>
        <v/>
      </c>
      <c r="W44" s="4" t="str">
        <f t="shared" si="6"/>
        <v/>
      </c>
      <c r="X44" s="4" t="str">
        <f t="shared" si="6"/>
        <v/>
      </c>
      <c r="Y44" s="4" t="str">
        <f t="shared" si="6"/>
        <v/>
      </c>
      <c r="Z44" s="4" t="str">
        <f t="shared" si="6"/>
        <v/>
      </c>
      <c r="AA44" s="4" t="str">
        <f t="shared" si="6"/>
        <v/>
      </c>
      <c r="AB44" s="4" t="str">
        <f t="shared" si="6"/>
        <v/>
      </c>
      <c r="AC44" s="5" t="str">
        <f t="shared" si="6"/>
        <v/>
      </c>
      <c r="AD44" s="3" t="str">
        <f t="shared" si="10"/>
        <v/>
      </c>
      <c r="AE44" s="4" t="str">
        <f t="shared" si="10"/>
        <v/>
      </c>
      <c r="AF44" s="4" t="str">
        <f t="shared" si="10"/>
        <v/>
      </c>
      <c r="AG44" s="4" t="str">
        <f t="shared" si="10"/>
        <v/>
      </c>
      <c r="AH44" s="4" t="str">
        <f t="shared" si="10"/>
        <v/>
      </c>
      <c r="AI44" s="4" t="str">
        <f t="shared" si="10"/>
        <v/>
      </c>
      <c r="AJ44" s="4" t="str">
        <f t="shared" si="10"/>
        <v/>
      </c>
      <c r="AK44" s="4" t="str">
        <f t="shared" si="10"/>
        <v/>
      </c>
      <c r="AL44" s="4" t="str">
        <f t="shared" si="7"/>
        <v/>
      </c>
      <c r="AM44" s="4" t="str">
        <f t="shared" si="7"/>
        <v/>
      </c>
      <c r="AN44" s="4" t="str">
        <f t="shared" si="7"/>
        <v/>
      </c>
      <c r="AO44" s="4" t="str">
        <f t="shared" si="7"/>
        <v/>
      </c>
      <c r="AP44" s="4" t="str">
        <f t="shared" si="7"/>
        <v/>
      </c>
      <c r="AQ44" s="4" t="str">
        <f t="shared" si="7"/>
        <v/>
      </c>
      <c r="AR44" s="4" t="str">
        <f t="shared" si="7"/>
        <v/>
      </c>
      <c r="AS44" s="5" t="str">
        <f t="shared" si="7"/>
        <v/>
      </c>
      <c r="AT44" s="3" t="str">
        <f t="shared" si="11"/>
        <v/>
      </c>
      <c r="AU44" s="4" t="str">
        <f t="shared" si="11"/>
        <v/>
      </c>
      <c r="AV44" s="4" t="str">
        <f t="shared" si="11"/>
        <v/>
      </c>
      <c r="AW44" s="4" t="str">
        <f t="shared" si="11"/>
        <v/>
      </c>
      <c r="AX44" s="4" t="str">
        <f t="shared" si="11"/>
        <v/>
      </c>
      <c r="AY44" s="4" t="str">
        <f t="shared" si="11"/>
        <v/>
      </c>
      <c r="AZ44" s="4">
        <f t="shared" si="11"/>
        <v>1</v>
      </c>
      <c r="BA44" s="4" t="str">
        <f t="shared" si="11"/>
        <v/>
      </c>
      <c r="BB44" s="4" t="str">
        <f t="shared" si="8"/>
        <v/>
      </c>
      <c r="BC44" s="4" t="str">
        <f t="shared" si="8"/>
        <v/>
      </c>
      <c r="BD44" s="4" t="str">
        <f t="shared" si="8"/>
        <v/>
      </c>
      <c r="BE44" s="4" t="str">
        <f t="shared" si="8"/>
        <v/>
      </c>
      <c r="BF44" s="4" t="str">
        <f t="shared" si="8"/>
        <v/>
      </c>
      <c r="BG44" s="4" t="str">
        <f t="shared" si="8"/>
        <v/>
      </c>
      <c r="BH44" s="4" t="str">
        <f t="shared" si="8"/>
        <v/>
      </c>
      <c r="BI44" s="5" t="str">
        <f t="shared" si="8"/>
        <v/>
      </c>
    </row>
    <row r="45" spans="1:61" x14ac:dyDescent="0.25">
      <c r="A45">
        <v>624510</v>
      </c>
      <c r="B45" t="s">
        <v>15</v>
      </c>
      <c r="C45" t="s">
        <v>16</v>
      </c>
      <c r="D45">
        <v>93</v>
      </c>
      <c r="E45">
        <v>7314</v>
      </c>
      <c r="F45">
        <v>98</v>
      </c>
      <c r="G45">
        <v>20134</v>
      </c>
      <c r="H45" t="s">
        <v>0</v>
      </c>
      <c r="I45">
        <v>292675</v>
      </c>
      <c r="J45">
        <v>9855</v>
      </c>
      <c r="K45">
        <v>269003.2</v>
      </c>
      <c r="L45">
        <v>266430.17</v>
      </c>
      <c r="M45">
        <v>2573.0300000000002</v>
      </c>
      <c r="N45" s="3" t="str">
        <f t="shared" si="9"/>
        <v/>
      </c>
      <c r="O45" s="4" t="str">
        <f t="shared" si="9"/>
        <v/>
      </c>
      <c r="P45" s="4" t="str">
        <f t="shared" si="9"/>
        <v/>
      </c>
      <c r="Q45" s="4" t="str">
        <f t="shared" si="9"/>
        <v/>
      </c>
      <c r="R45" s="4" t="str">
        <f t="shared" si="9"/>
        <v/>
      </c>
      <c r="S45" s="4" t="str">
        <f t="shared" si="9"/>
        <v/>
      </c>
      <c r="T45" s="4" t="str">
        <f t="shared" si="9"/>
        <v/>
      </c>
      <c r="U45" s="4" t="str">
        <f t="shared" si="9"/>
        <v/>
      </c>
      <c r="V45" s="4" t="str">
        <f t="shared" si="6"/>
        <v/>
      </c>
      <c r="W45" s="4" t="str">
        <f t="shared" si="6"/>
        <v/>
      </c>
      <c r="X45" s="4" t="str">
        <f t="shared" si="6"/>
        <v/>
      </c>
      <c r="Y45" s="4" t="str">
        <f t="shared" si="6"/>
        <v/>
      </c>
      <c r="Z45" s="4" t="str">
        <f t="shared" si="6"/>
        <v/>
      </c>
      <c r="AA45" s="4" t="str">
        <f t="shared" si="6"/>
        <v/>
      </c>
      <c r="AB45" s="4" t="str">
        <f t="shared" si="6"/>
        <v/>
      </c>
      <c r="AC45" s="5" t="str">
        <f t="shared" si="6"/>
        <v/>
      </c>
      <c r="AD45" s="3" t="str">
        <f t="shared" si="10"/>
        <v/>
      </c>
      <c r="AE45" s="4" t="str">
        <f t="shared" si="10"/>
        <v/>
      </c>
      <c r="AF45" s="4" t="str">
        <f t="shared" si="10"/>
        <v/>
      </c>
      <c r="AG45" s="4" t="str">
        <f t="shared" si="10"/>
        <v/>
      </c>
      <c r="AH45" s="4" t="str">
        <f t="shared" si="10"/>
        <v/>
      </c>
      <c r="AI45" s="4" t="str">
        <f t="shared" si="10"/>
        <v/>
      </c>
      <c r="AJ45" s="4" t="str">
        <f t="shared" si="10"/>
        <v/>
      </c>
      <c r="AK45" s="4" t="str">
        <f t="shared" si="10"/>
        <v/>
      </c>
      <c r="AL45" s="4" t="str">
        <f t="shared" si="7"/>
        <v/>
      </c>
      <c r="AM45" s="4" t="str">
        <f t="shared" si="7"/>
        <v/>
      </c>
      <c r="AN45" s="4" t="str">
        <f t="shared" si="7"/>
        <v/>
      </c>
      <c r="AO45" s="4" t="str">
        <f t="shared" si="7"/>
        <v/>
      </c>
      <c r="AP45" s="4" t="str">
        <f t="shared" si="7"/>
        <v/>
      </c>
      <c r="AQ45" s="4" t="str">
        <f t="shared" si="7"/>
        <v/>
      </c>
      <c r="AR45" s="4" t="str">
        <f t="shared" si="7"/>
        <v/>
      </c>
      <c r="AS45" s="5" t="str">
        <f t="shared" si="7"/>
        <v/>
      </c>
      <c r="AT45" s="3" t="str">
        <f t="shared" si="11"/>
        <v/>
      </c>
      <c r="AU45" s="4" t="str">
        <f t="shared" si="11"/>
        <v/>
      </c>
      <c r="AV45" s="4" t="str">
        <f t="shared" si="11"/>
        <v/>
      </c>
      <c r="AW45" s="4" t="str">
        <f t="shared" si="11"/>
        <v/>
      </c>
      <c r="AX45" s="4" t="str">
        <f t="shared" si="11"/>
        <v/>
      </c>
      <c r="AY45" s="4" t="str">
        <f t="shared" si="11"/>
        <v/>
      </c>
      <c r="AZ45" s="4" t="str">
        <f t="shared" si="11"/>
        <v/>
      </c>
      <c r="BA45" s="4">
        <f t="shared" si="11"/>
        <v>1</v>
      </c>
      <c r="BB45" s="4" t="str">
        <f t="shared" si="8"/>
        <v/>
      </c>
      <c r="BC45" s="4" t="str">
        <f t="shared" si="8"/>
        <v/>
      </c>
      <c r="BD45" s="4" t="str">
        <f t="shared" si="8"/>
        <v/>
      </c>
      <c r="BE45" s="4" t="str">
        <f t="shared" si="8"/>
        <v/>
      </c>
      <c r="BF45" s="4" t="str">
        <f t="shared" si="8"/>
        <v/>
      </c>
      <c r="BG45" s="4" t="str">
        <f t="shared" si="8"/>
        <v/>
      </c>
      <c r="BH45" s="4" t="str">
        <f t="shared" si="8"/>
        <v/>
      </c>
      <c r="BI45" s="5" t="str">
        <f t="shared" si="8"/>
        <v/>
      </c>
    </row>
    <row r="46" spans="1:61" x14ac:dyDescent="0.25">
      <c r="A46">
        <v>265828</v>
      </c>
      <c r="B46" t="s">
        <v>14</v>
      </c>
      <c r="C46" t="s">
        <v>16</v>
      </c>
      <c r="D46">
        <v>378</v>
      </c>
      <c r="E46">
        <v>3627</v>
      </c>
      <c r="F46">
        <v>5</v>
      </c>
      <c r="G46">
        <v>20122</v>
      </c>
      <c r="H46" t="s">
        <v>0</v>
      </c>
      <c r="I46">
        <v>58534.932999999997</v>
      </c>
      <c r="J46">
        <v>1944</v>
      </c>
      <c r="K46">
        <v>70224.38</v>
      </c>
      <c r="L46">
        <v>65844.45</v>
      </c>
      <c r="M46">
        <v>4379.93</v>
      </c>
      <c r="N46" s="3" t="str">
        <f t="shared" si="9"/>
        <v/>
      </c>
      <c r="O46" s="4" t="str">
        <f t="shared" si="9"/>
        <v/>
      </c>
      <c r="P46" s="4" t="str">
        <f t="shared" si="9"/>
        <v/>
      </c>
      <c r="Q46" s="4" t="str">
        <f t="shared" si="9"/>
        <v/>
      </c>
      <c r="R46" s="4" t="str">
        <f t="shared" si="9"/>
        <v/>
      </c>
      <c r="S46" s="4" t="str">
        <f t="shared" si="9"/>
        <v/>
      </c>
      <c r="T46" s="4" t="str">
        <f t="shared" si="9"/>
        <v/>
      </c>
      <c r="U46" s="4" t="str">
        <f t="shared" si="9"/>
        <v/>
      </c>
      <c r="V46" s="4" t="str">
        <f t="shared" si="6"/>
        <v/>
      </c>
      <c r="W46" s="4" t="str">
        <f t="shared" si="6"/>
        <v/>
      </c>
      <c r="X46" s="4" t="str">
        <f t="shared" si="6"/>
        <v/>
      </c>
      <c r="Y46" s="4" t="str">
        <f t="shared" si="6"/>
        <v/>
      </c>
      <c r="Z46" s="4" t="str">
        <f t="shared" si="6"/>
        <v/>
      </c>
      <c r="AA46" s="4" t="str">
        <f t="shared" si="6"/>
        <v/>
      </c>
      <c r="AB46" s="4" t="str">
        <f t="shared" si="6"/>
        <v/>
      </c>
      <c r="AC46" s="5" t="str">
        <f t="shared" si="6"/>
        <v/>
      </c>
      <c r="AD46" s="3" t="str">
        <f t="shared" si="10"/>
        <v/>
      </c>
      <c r="AE46" s="4">
        <f t="shared" si="10"/>
        <v>1</v>
      </c>
      <c r="AF46" s="4" t="str">
        <f t="shared" si="10"/>
        <v/>
      </c>
      <c r="AG46" s="4" t="str">
        <f t="shared" si="10"/>
        <v/>
      </c>
      <c r="AH46" s="4" t="str">
        <f t="shared" si="10"/>
        <v/>
      </c>
      <c r="AI46" s="4" t="str">
        <f t="shared" si="10"/>
        <v/>
      </c>
      <c r="AJ46" s="4" t="str">
        <f t="shared" si="10"/>
        <v/>
      </c>
      <c r="AK46" s="4" t="str">
        <f t="shared" si="10"/>
        <v/>
      </c>
      <c r="AL46" s="4" t="str">
        <f t="shared" si="7"/>
        <v/>
      </c>
      <c r="AM46" s="4" t="str">
        <f t="shared" si="7"/>
        <v/>
      </c>
      <c r="AN46" s="4" t="str">
        <f t="shared" si="7"/>
        <v/>
      </c>
      <c r="AO46" s="4" t="str">
        <f t="shared" si="7"/>
        <v/>
      </c>
      <c r="AP46" s="4" t="str">
        <f t="shared" si="7"/>
        <v/>
      </c>
      <c r="AQ46" s="4" t="str">
        <f t="shared" si="7"/>
        <v/>
      </c>
      <c r="AR46" s="4" t="str">
        <f t="shared" si="7"/>
        <v/>
      </c>
      <c r="AS46" s="5" t="str">
        <f t="shared" si="7"/>
        <v/>
      </c>
      <c r="AT46" s="3" t="str">
        <f t="shared" si="11"/>
        <v/>
      </c>
      <c r="AU46" s="4" t="str">
        <f t="shared" si="11"/>
        <v/>
      </c>
      <c r="AV46" s="4" t="str">
        <f t="shared" si="11"/>
        <v/>
      </c>
      <c r="AW46" s="4" t="str">
        <f t="shared" si="11"/>
        <v/>
      </c>
      <c r="AX46" s="4" t="str">
        <f t="shared" si="11"/>
        <v/>
      </c>
      <c r="AY46" s="4" t="str">
        <f t="shared" si="11"/>
        <v/>
      </c>
      <c r="AZ46" s="4" t="str">
        <f t="shared" si="11"/>
        <v/>
      </c>
      <c r="BA46" s="4" t="str">
        <f t="shared" si="11"/>
        <v/>
      </c>
      <c r="BB46" s="4" t="str">
        <f t="shared" si="8"/>
        <v/>
      </c>
      <c r="BC46" s="4" t="str">
        <f t="shared" si="8"/>
        <v/>
      </c>
      <c r="BD46" s="4" t="str">
        <f t="shared" si="8"/>
        <v/>
      </c>
      <c r="BE46" s="4" t="str">
        <f t="shared" si="8"/>
        <v/>
      </c>
      <c r="BF46" s="4" t="str">
        <f t="shared" si="8"/>
        <v/>
      </c>
      <c r="BG46" s="4" t="str">
        <f t="shared" si="8"/>
        <v/>
      </c>
      <c r="BH46" s="4" t="str">
        <f t="shared" si="8"/>
        <v/>
      </c>
      <c r="BI46" s="5" t="str">
        <f t="shared" si="8"/>
        <v/>
      </c>
    </row>
    <row r="47" spans="1:61" x14ac:dyDescent="0.25">
      <c r="A47">
        <v>265829</v>
      </c>
      <c r="B47" t="s">
        <v>14</v>
      </c>
      <c r="C47" t="s">
        <v>16</v>
      </c>
      <c r="D47">
        <v>378</v>
      </c>
      <c r="E47">
        <v>3627</v>
      </c>
      <c r="F47">
        <v>5</v>
      </c>
      <c r="G47">
        <v>20123</v>
      </c>
      <c r="H47" t="s">
        <v>0</v>
      </c>
      <c r="I47">
        <v>193057.93299999999</v>
      </c>
      <c r="J47">
        <v>6476</v>
      </c>
      <c r="K47">
        <v>149264.23000000001</v>
      </c>
      <c r="L47">
        <v>144772.79</v>
      </c>
      <c r="M47">
        <v>4491.4399999999996</v>
      </c>
      <c r="N47" s="3" t="str">
        <f t="shared" si="9"/>
        <v/>
      </c>
      <c r="O47" s="4" t="str">
        <f t="shared" si="9"/>
        <v/>
      </c>
      <c r="P47" s="4" t="str">
        <f t="shared" si="9"/>
        <v/>
      </c>
      <c r="Q47" s="4" t="str">
        <f t="shared" si="9"/>
        <v/>
      </c>
      <c r="R47" s="4" t="str">
        <f t="shared" si="9"/>
        <v/>
      </c>
      <c r="S47" s="4" t="str">
        <f t="shared" si="9"/>
        <v/>
      </c>
      <c r="T47" s="4" t="str">
        <f t="shared" si="9"/>
        <v/>
      </c>
      <c r="U47" s="4" t="str">
        <f t="shared" si="9"/>
        <v/>
      </c>
      <c r="V47" s="4" t="str">
        <f t="shared" si="6"/>
        <v/>
      </c>
      <c r="W47" s="4" t="str">
        <f t="shared" si="6"/>
        <v/>
      </c>
      <c r="X47" s="4" t="str">
        <f t="shared" si="6"/>
        <v/>
      </c>
      <c r="Y47" s="4" t="str">
        <f t="shared" si="6"/>
        <v/>
      </c>
      <c r="Z47" s="4" t="str">
        <f t="shared" si="6"/>
        <v/>
      </c>
      <c r="AA47" s="4" t="str">
        <f t="shared" si="6"/>
        <v/>
      </c>
      <c r="AB47" s="4" t="str">
        <f t="shared" si="6"/>
        <v/>
      </c>
      <c r="AC47" s="5" t="str">
        <f t="shared" si="6"/>
        <v/>
      </c>
      <c r="AD47" s="3" t="str">
        <f t="shared" si="10"/>
        <v/>
      </c>
      <c r="AE47" s="4" t="str">
        <f t="shared" si="10"/>
        <v/>
      </c>
      <c r="AF47" s="4">
        <f t="shared" si="10"/>
        <v>1</v>
      </c>
      <c r="AG47" s="4" t="str">
        <f t="shared" si="10"/>
        <v/>
      </c>
      <c r="AH47" s="4" t="str">
        <f t="shared" si="10"/>
        <v/>
      </c>
      <c r="AI47" s="4" t="str">
        <f t="shared" si="10"/>
        <v/>
      </c>
      <c r="AJ47" s="4" t="str">
        <f t="shared" si="10"/>
        <v/>
      </c>
      <c r="AK47" s="4" t="str">
        <f t="shared" si="10"/>
        <v/>
      </c>
      <c r="AL47" s="4" t="str">
        <f t="shared" si="7"/>
        <v/>
      </c>
      <c r="AM47" s="4" t="str">
        <f t="shared" si="7"/>
        <v/>
      </c>
      <c r="AN47" s="4" t="str">
        <f t="shared" si="7"/>
        <v/>
      </c>
      <c r="AO47" s="4" t="str">
        <f t="shared" si="7"/>
        <v/>
      </c>
      <c r="AP47" s="4" t="str">
        <f t="shared" si="7"/>
        <v/>
      </c>
      <c r="AQ47" s="4" t="str">
        <f t="shared" si="7"/>
        <v/>
      </c>
      <c r="AR47" s="4" t="str">
        <f t="shared" si="7"/>
        <v/>
      </c>
      <c r="AS47" s="5" t="str">
        <f t="shared" si="7"/>
        <v/>
      </c>
      <c r="AT47" s="3" t="str">
        <f t="shared" si="11"/>
        <v/>
      </c>
      <c r="AU47" s="4" t="str">
        <f t="shared" si="11"/>
        <v/>
      </c>
      <c r="AV47" s="4" t="str">
        <f t="shared" si="11"/>
        <v/>
      </c>
      <c r="AW47" s="4" t="str">
        <f t="shared" si="11"/>
        <v/>
      </c>
      <c r="AX47" s="4" t="str">
        <f t="shared" si="11"/>
        <v/>
      </c>
      <c r="AY47" s="4" t="str">
        <f t="shared" si="11"/>
        <v/>
      </c>
      <c r="AZ47" s="4" t="str">
        <f t="shared" si="11"/>
        <v/>
      </c>
      <c r="BA47" s="4" t="str">
        <f t="shared" si="11"/>
        <v/>
      </c>
      <c r="BB47" s="4" t="str">
        <f t="shared" si="8"/>
        <v/>
      </c>
      <c r="BC47" s="4" t="str">
        <f t="shared" si="8"/>
        <v/>
      </c>
      <c r="BD47" s="4" t="str">
        <f t="shared" si="8"/>
        <v/>
      </c>
      <c r="BE47" s="4" t="str">
        <f t="shared" si="8"/>
        <v/>
      </c>
      <c r="BF47" s="4" t="str">
        <f t="shared" si="8"/>
        <v/>
      </c>
      <c r="BG47" s="4" t="str">
        <f t="shared" si="8"/>
        <v/>
      </c>
      <c r="BH47" s="4" t="str">
        <f t="shared" si="8"/>
        <v/>
      </c>
      <c r="BI47" s="5" t="str">
        <f t="shared" si="8"/>
        <v/>
      </c>
    </row>
    <row r="48" spans="1:61" x14ac:dyDescent="0.25">
      <c r="A48">
        <v>265830</v>
      </c>
      <c r="B48" t="s">
        <v>14</v>
      </c>
      <c r="C48" t="s">
        <v>16</v>
      </c>
      <c r="D48">
        <v>378</v>
      </c>
      <c r="E48">
        <v>3627</v>
      </c>
      <c r="F48">
        <v>5</v>
      </c>
      <c r="G48">
        <v>20124</v>
      </c>
      <c r="H48" t="s">
        <v>0</v>
      </c>
      <c r="I48">
        <v>215090</v>
      </c>
      <c r="J48">
        <v>7111</v>
      </c>
      <c r="K48">
        <v>113830.5</v>
      </c>
      <c r="L48">
        <v>109057.23</v>
      </c>
      <c r="M48">
        <v>4773.2700000000004</v>
      </c>
      <c r="N48" s="3" t="str">
        <f t="shared" si="9"/>
        <v/>
      </c>
      <c r="O48" s="4" t="str">
        <f t="shared" si="9"/>
        <v/>
      </c>
      <c r="P48" s="4" t="str">
        <f t="shared" si="9"/>
        <v/>
      </c>
      <c r="Q48" s="4" t="str">
        <f t="shared" si="9"/>
        <v/>
      </c>
      <c r="R48" s="4" t="str">
        <f t="shared" si="9"/>
        <v/>
      </c>
      <c r="S48" s="4" t="str">
        <f t="shared" si="9"/>
        <v/>
      </c>
      <c r="T48" s="4" t="str">
        <f t="shared" si="9"/>
        <v/>
      </c>
      <c r="U48" s="4" t="str">
        <f t="shared" si="9"/>
        <v/>
      </c>
      <c r="V48" s="4" t="str">
        <f t="shared" si="6"/>
        <v/>
      </c>
      <c r="W48" s="4" t="str">
        <f t="shared" si="6"/>
        <v/>
      </c>
      <c r="X48" s="4" t="str">
        <f t="shared" si="6"/>
        <v/>
      </c>
      <c r="Y48" s="4" t="str">
        <f t="shared" si="6"/>
        <v/>
      </c>
      <c r="Z48" s="4" t="str">
        <f t="shared" si="6"/>
        <v/>
      </c>
      <c r="AA48" s="4" t="str">
        <f t="shared" si="6"/>
        <v/>
      </c>
      <c r="AB48" s="4" t="str">
        <f t="shared" si="6"/>
        <v/>
      </c>
      <c r="AC48" s="5" t="str">
        <f t="shared" si="6"/>
        <v/>
      </c>
      <c r="AD48" s="3" t="str">
        <f t="shared" si="10"/>
        <v/>
      </c>
      <c r="AE48" s="4" t="str">
        <f t="shared" si="10"/>
        <v/>
      </c>
      <c r="AF48" s="4" t="str">
        <f t="shared" si="10"/>
        <v/>
      </c>
      <c r="AG48" s="4">
        <f t="shared" si="10"/>
        <v>1</v>
      </c>
      <c r="AH48" s="4" t="str">
        <f t="shared" si="10"/>
        <v/>
      </c>
      <c r="AI48" s="4" t="str">
        <f t="shared" si="10"/>
        <v/>
      </c>
      <c r="AJ48" s="4" t="str">
        <f t="shared" si="10"/>
        <v/>
      </c>
      <c r="AK48" s="4" t="str">
        <f t="shared" si="10"/>
        <v/>
      </c>
      <c r="AL48" s="4" t="str">
        <f t="shared" si="7"/>
        <v/>
      </c>
      <c r="AM48" s="4" t="str">
        <f t="shared" si="7"/>
        <v/>
      </c>
      <c r="AN48" s="4" t="str">
        <f t="shared" si="7"/>
        <v/>
      </c>
      <c r="AO48" s="4" t="str">
        <f t="shared" si="7"/>
        <v/>
      </c>
      <c r="AP48" s="4" t="str">
        <f t="shared" si="7"/>
        <v/>
      </c>
      <c r="AQ48" s="4" t="str">
        <f t="shared" si="7"/>
        <v/>
      </c>
      <c r="AR48" s="4" t="str">
        <f t="shared" si="7"/>
        <v/>
      </c>
      <c r="AS48" s="5" t="str">
        <f t="shared" si="7"/>
        <v/>
      </c>
      <c r="AT48" s="3" t="str">
        <f t="shared" si="11"/>
        <v/>
      </c>
      <c r="AU48" s="4" t="str">
        <f t="shared" si="11"/>
        <v/>
      </c>
      <c r="AV48" s="4" t="str">
        <f t="shared" si="11"/>
        <v/>
      </c>
      <c r="AW48" s="4" t="str">
        <f t="shared" si="11"/>
        <v/>
      </c>
      <c r="AX48" s="4" t="str">
        <f t="shared" si="11"/>
        <v/>
      </c>
      <c r="AY48" s="4" t="str">
        <f t="shared" si="11"/>
        <v/>
      </c>
      <c r="AZ48" s="4" t="str">
        <f t="shared" si="11"/>
        <v/>
      </c>
      <c r="BA48" s="4" t="str">
        <f t="shared" si="11"/>
        <v/>
      </c>
      <c r="BB48" s="4" t="str">
        <f t="shared" si="8"/>
        <v/>
      </c>
      <c r="BC48" s="4" t="str">
        <f t="shared" si="8"/>
        <v/>
      </c>
      <c r="BD48" s="4" t="str">
        <f t="shared" si="8"/>
        <v/>
      </c>
      <c r="BE48" s="4" t="str">
        <f t="shared" si="8"/>
        <v/>
      </c>
      <c r="BF48" s="4" t="str">
        <f t="shared" si="8"/>
        <v/>
      </c>
      <c r="BG48" s="4" t="str">
        <f t="shared" si="8"/>
        <v/>
      </c>
      <c r="BH48" s="4" t="str">
        <f t="shared" si="8"/>
        <v/>
      </c>
      <c r="BI48" s="5" t="str">
        <f t="shared" si="8"/>
        <v/>
      </c>
    </row>
    <row r="49" spans="1:61" x14ac:dyDescent="0.25">
      <c r="A49">
        <v>265831</v>
      </c>
      <c r="B49" t="s">
        <v>14</v>
      </c>
      <c r="C49" t="s">
        <v>16</v>
      </c>
      <c r="D49">
        <v>378</v>
      </c>
      <c r="E49">
        <v>3627</v>
      </c>
      <c r="F49">
        <v>77</v>
      </c>
      <c r="G49">
        <v>20122</v>
      </c>
      <c r="H49" t="s">
        <v>0</v>
      </c>
      <c r="I49">
        <v>155032</v>
      </c>
      <c r="J49">
        <v>4905</v>
      </c>
      <c r="K49">
        <v>199951.18</v>
      </c>
      <c r="L49">
        <v>189629.18</v>
      </c>
      <c r="M49">
        <v>10322</v>
      </c>
      <c r="N49" s="3" t="str">
        <f t="shared" si="9"/>
        <v/>
      </c>
      <c r="O49" s="4" t="str">
        <f t="shared" si="9"/>
        <v/>
      </c>
      <c r="P49" s="4" t="str">
        <f t="shared" si="9"/>
        <v/>
      </c>
      <c r="Q49" s="4" t="str">
        <f t="shared" si="9"/>
        <v/>
      </c>
      <c r="R49" s="4" t="str">
        <f t="shared" si="9"/>
        <v/>
      </c>
      <c r="S49" s="4" t="str">
        <f t="shared" si="9"/>
        <v/>
      </c>
      <c r="T49" s="4" t="str">
        <f t="shared" si="9"/>
        <v/>
      </c>
      <c r="U49" s="4" t="str">
        <f t="shared" si="9"/>
        <v/>
      </c>
      <c r="V49" s="4" t="str">
        <f t="shared" si="6"/>
        <v/>
      </c>
      <c r="W49" s="4" t="str">
        <f t="shared" si="6"/>
        <v/>
      </c>
      <c r="X49" s="4" t="str">
        <f t="shared" si="6"/>
        <v/>
      </c>
      <c r="Y49" s="4" t="str">
        <f t="shared" si="6"/>
        <v/>
      </c>
      <c r="Z49" s="4" t="str">
        <f t="shared" si="6"/>
        <v/>
      </c>
      <c r="AA49" s="4" t="str">
        <f t="shared" si="6"/>
        <v/>
      </c>
      <c r="AB49" s="4" t="str">
        <f t="shared" si="6"/>
        <v/>
      </c>
      <c r="AC49" s="5" t="str">
        <f t="shared" si="6"/>
        <v/>
      </c>
      <c r="AD49" s="3" t="str">
        <f t="shared" si="10"/>
        <v/>
      </c>
      <c r="AE49" s="4">
        <f t="shared" si="10"/>
        <v>1</v>
      </c>
      <c r="AF49" s="4" t="str">
        <f t="shared" si="10"/>
        <v/>
      </c>
      <c r="AG49" s="4" t="str">
        <f t="shared" si="10"/>
        <v/>
      </c>
      <c r="AH49" s="4" t="str">
        <f t="shared" si="10"/>
        <v/>
      </c>
      <c r="AI49" s="4" t="str">
        <f t="shared" si="10"/>
        <v/>
      </c>
      <c r="AJ49" s="4" t="str">
        <f t="shared" si="10"/>
        <v/>
      </c>
      <c r="AK49" s="4" t="str">
        <f t="shared" si="10"/>
        <v/>
      </c>
      <c r="AL49" s="4" t="str">
        <f t="shared" si="7"/>
        <v/>
      </c>
      <c r="AM49" s="4" t="str">
        <f t="shared" si="7"/>
        <v/>
      </c>
      <c r="AN49" s="4" t="str">
        <f t="shared" si="7"/>
        <v/>
      </c>
      <c r="AO49" s="4" t="str">
        <f t="shared" si="7"/>
        <v/>
      </c>
      <c r="AP49" s="4" t="str">
        <f t="shared" si="7"/>
        <v/>
      </c>
      <c r="AQ49" s="4" t="str">
        <f t="shared" si="7"/>
        <v/>
      </c>
      <c r="AR49" s="4" t="str">
        <f t="shared" si="7"/>
        <v/>
      </c>
      <c r="AS49" s="5" t="str">
        <f t="shared" si="7"/>
        <v/>
      </c>
      <c r="AT49" s="3" t="str">
        <f t="shared" si="11"/>
        <v/>
      </c>
      <c r="AU49" s="4" t="str">
        <f t="shared" si="11"/>
        <v/>
      </c>
      <c r="AV49" s="4" t="str">
        <f t="shared" si="11"/>
        <v/>
      </c>
      <c r="AW49" s="4" t="str">
        <f t="shared" si="11"/>
        <v/>
      </c>
      <c r="AX49" s="4" t="str">
        <f t="shared" si="11"/>
        <v/>
      </c>
      <c r="AY49" s="4" t="str">
        <f t="shared" si="11"/>
        <v/>
      </c>
      <c r="AZ49" s="4" t="str">
        <f t="shared" si="11"/>
        <v/>
      </c>
      <c r="BA49" s="4" t="str">
        <f t="shared" si="11"/>
        <v/>
      </c>
      <c r="BB49" s="4" t="str">
        <f t="shared" si="8"/>
        <v/>
      </c>
      <c r="BC49" s="4" t="str">
        <f t="shared" si="8"/>
        <v/>
      </c>
      <c r="BD49" s="4" t="str">
        <f t="shared" si="8"/>
        <v/>
      </c>
      <c r="BE49" s="4" t="str">
        <f t="shared" si="8"/>
        <v/>
      </c>
      <c r="BF49" s="4" t="str">
        <f t="shared" si="8"/>
        <v/>
      </c>
      <c r="BG49" s="4" t="str">
        <f t="shared" si="8"/>
        <v/>
      </c>
      <c r="BH49" s="4" t="str">
        <f t="shared" si="8"/>
        <v/>
      </c>
      <c r="BI49" s="5" t="str">
        <f t="shared" si="8"/>
        <v/>
      </c>
    </row>
    <row r="50" spans="1:61" x14ac:dyDescent="0.25">
      <c r="A50">
        <v>265832</v>
      </c>
      <c r="B50" t="s">
        <v>14</v>
      </c>
      <c r="C50" t="s">
        <v>16</v>
      </c>
      <c r="D50">
        <v>378</v>
      </c>
      <c r="E50">
        <v>3627</v>
      </c>
      <c r="F50">
        <v>77</v>
      </c>
      <c r="G50">
        <v>20123</v>
      </c>
      <c r="H50" t="s">
        <v>0</v>
      </c>
      <c r="I50">
        <v>585485</v>
      </c>
      <c r="J50">
        <v>18448</v>
      </c>
      <c r="K50">
        <v>396028.89</v>
      </c>
      <c r="L50">
        <v>372371.38</v>
      </c>
      <c r="M50">
        <v>23657.51</v>
      </c>
      <c r="N50" s="3" t="str">
        <f t="shared" si="9"/>
        <v/>
      </c>
      <c r="O50" s="4" t="str">
        <f t="shared" si="9"/>
        <v/>
      </c>
      <c r="P50" s="4" t="str">
        <f t="shared" si="9"/>
        <v/>
      </c>
      <c r="Q50" s="4" t="str">
        <f t="shared" si="9"/>
        <v/>
      </c>
      <c r="R50" s="4" t="str">
        <f t="shared" si="9"/>
        <v/>
      </c>
      <c r="S50" s="4" t="str">
        <f t="shared" si="9"/>
        <v/>
      </c>
      <c r="T50" s="4" t="str">
        <f t="shared" si="9"/>
        <v/>
      </c>
      <c r="U50" s="4" t="str">
        <f t="shared" si="9"/>
        <v/>
      </c>
      <c r="V50" s="4" t="str">
        <f t="shared" ref="V50:AC81" si="12">IF(AND($B50=V$3, $G50=V$2, LEFT($H50, 6)=V$1), 1, "")</f>
        <v/>
      </c>
      <c r="W50" s="4" t="str">
        <f t="shared" si="12"/>
        <v/>
      </c>
      <c r="X50" s="4" t="str">
        <f t="shared" si="12"/>
        <v/>
      </c>
      <c r="Y50" s="4" t="str">
        <f t="shared" si="12"/>
        <v/>
      </c>
      <c r="Z50" s="4" t="str">
        <f t="shared" si="12"/>
        <v/>
      </c>
      <c r="AA50" s="4" t="str">
        <f t="shared" si="12"/>
        <v/>
      </c>
      <c r="AB50" s="4" t="str">
        <f t="shared" si="12"/>
        <v/>
      </c>
      <c r="AC50" s="5" t="str">
        <f t="shared" si="12"/>
        <v/>
      </c>
      <c r="AD50" s="3" t="str">
        <f t="shared" si="10"/>
        <v/>
      </c>
      <c r="AE50" s="4" t="str">
        <f t="shared" si="10"/>
        <v/>
      </c>
      <c r="AF50" s="4">
        <f t="shared" si="10"/>
        <v>1</v>
      </c>
      <c r="AG50" s="4" t="str">
        <f t="shared" si="10"/>
        <v/>
      </c>
      <c r="AH50" s="4" t="str">
        <f t="shared" si="10"/>
        <v/>
      </c>
      <c r="AI50" s="4" t="str">
        <f t="shared" si="10"/>
        <v/>
      </c>
      <c r="AJ50" s="4" t="str">
        <f t="shared" si="10"/>
        <v/>
      </c>
      <c r="AK50" s="4" t="str">
        <f t="shared" si="10"/>
        <v/>
      </c>
      <c r="AL50" s="4" t="str">
        <f t="shared" ref="AL50:AS81" si="13">IF(AND($B50=AL$3, $G50=AL$2, LEFT($H50, 6)=AL$1), 1, "")</f>
        <v/>
      </c>
      <c r="AM50" s="4" t="str">
        <f t="shared" si="13"/>
        <v/>
      </c>
      <c r="AN50" s="4" t="str">
        <f t="shared" si="13"/>
        <v/>
      </c>
      <c r="AO50" s="4" t="str">
        <f t="shared" si="13"/>
        <v/>
      </c>
      <c r="AP50" s="4" t="str">
        <f t="shared" si="13"/>
        <v/>
      </c>
      <c r="AQ50" s="4" t="str">
        <f t="shared" si="13"/>
        <v/>
      </c>
      <c r="AR50" s="4" t="str">
        <f t="shared" si="13"/>
        <v/>
      </c>
      <c r="AS50" s="5" t="str">
        <f t="shared" si="13"/>
        <v/>
      </c>
      <c r="AT50" s="3" t="str">
        <f t="shared" si="11"/>
        <v/>
      </c>
      <c r="AU50" s="4" t="str">
        <f t="shared" si="11"/>
        <v/>
      </c>
      <c r="AV50" s="4" t="str">
        <f t="shared" si="11"/>
        <v/>
      </c>
      <c r="AW50" s="4" t="str">
        <f t="shared" si="11"/>
        <v/>
      </c>
      <c r="AX50" s="4" t="str">
        <f t="shared" si="11"/>
        <v/>
      </c>
      <c r="AY50" s="4" t="str">
        <f t="shared" si="11"/>
        <v/>
      </c>
      <c r="AZ50" s="4" t="str">
        <f t="shared" si="11"/>
        <v/>
      </c>
      <c r="BA50" s="4" t="str">
        <f t="shared" si="11"/>
        <v/>
      </c>
      <c r="BB50" s="4" t="str">
        <f t="shared" ref="BB50:BI81" si="14">IF(AND($B50=BB$3, $G50=BB$2, LEFT($H50, 6)=BB$1), 1, "")</f>
        <v/>
      </c>
      <c r="BC50" s="4" t="str">
        <f t="shared" si="14"/>
        <v/>
      </c>
      <c r="BD50" s="4" t="str">
        <f t="shared" si="14"/>
        <v/>
      </c>
      <c r="BE50" s="4" t="str">
        <f t="shared" si="14"/>
        <v/>
      </c>
      <c r="BF50" s="4" t="str">
        <f t="shared" si="14"/>
        <v/>
      </c>
      <c r="BG50" s="4" t="str">
        <f t="shared" si="14"/>
        <v/>
      </c>
      <c r="BH50" s="4" t="str">
        <f t="shared" si="14"/>
        <v/>
      </c>
      <c r="BI50" s="5" t="str">
        <f t="shared" si="14"/>
        <v/>
      </c>
    </row>
    <row r="51" spans="1:61" x14ac:dyDescent="0.25">
      <c r="A51">
        <v>265833</v>
      </c>
      <c r="B51" t="s">
        <v>14</v>
      </c>
      <c r="C51" t="s">
        <v>16</v>
      </c>
      <c r="D51">
        <v>378</v>
      </c>
      <c r="E51">
        <v>3627</v>
      </c>
      <c r="F51">
        <v>77</v>
      </c>
      <c r="G51">
        <v>20124</v>
      </c>
      <c r="H51" t="s">
        <v>0</v>
      </c>
      <c r="I51">
        <v>675993.25</v>
      </c>
      <c r="J51">
        <v>21100</v>
      </c>
      <c r="K51">
        <v>324442.59999999998</v>
      </c>
      <c r="L51">
        <v>303132.45</v>
      </c>
      <c r="M51">
        <v>21310.15</v>
      </c>
      <c r="N51" s="3" t="str">
        <f t="shared" si="9"/>
        <v/>
      </c>
      <c r="O51" s="4" t="str">
        <f t="shared" si="9"/>
        <v/>
      </c>
      <c r="P51" s="4" t="str">
        <f t="shared" si="9"/>
        <v/>
      </c>
      <c r="Q51" s="4" t="str">
        <f t="shared" si="9"/>
        <v/>
      </c>
      <c r="R51" s="4" t="str">
        <f t="shared" si="9"/>
        <v/>
      </c>
      <c r="S51" s="4" t="str">
        <f t="shared" si="9"/>
        <v/>
      </c>
      <c r="T51" s="4" t="str">
        <f t="shared" si="9"/>
        <v/>
      </c>
      <c r="U51" s="4" t="str">
        <f t="shared" ref="N51:U83" si="15">IF(AND($B51=U$3, $G51=U$2, $H51=U$1), 1, "")</f>
        <v/>
      </c>
      <c r="V51" s="4" t="str">
        <f t="shared" si="12"/>
        <v/>
      </c>
      <c r="W51" s="4" t="str">
        <f t="shared" si="12"/>
        <v/>
      </c>
      <c r="X51" s="4" t="str">
        <f t="shared" si="12"/>
        <v/>
      </c>
      <c r="Y51" s="4" t="str">
        <f t="shared" si="12"/>
        <v/>
      </c>
      <c r="Z51" s="4" t="str">
        <f t="shared" si="12"/>
        <v/>
      </c>
      <c r="AA51" s="4" t="str">
        <f t="shared" si="12"/>
        <v/>
      </c>
      <c r="AB51" s="4" t="str">
        <f t="shared" si="12"/>
        <v/>
      </c>
      <c r="AC51" s="5" t="str">
        <f t="shared" si="12"/>
        <v/>
      </c>
      <c r="AD51" s="3" t="str">
        <f t="shared" si="10"/>
        <v/>
      </c>
      <c r="AE51" s="4" t="str">
        <f t="shared" si="10"/>
        <v/>
      </c>
      <c r="AF51" s="4" t="str">
        <f t="shared" si="10"/>
        <v/>
      </c>
      <c r="AG51" s="4">
        <f t="shared" si="10"/>
        <v>1</v>
      </c>
      <c r="AH51" s="4" t="str">
        <f t="shared" si="10"/>
        <v/>
      </c>
      <c r="AI51" s="4" t="str">
        <f t="shared" si="10"/>
        <v/>
      </c>
      <c r="AJ51" s="4" t="str">
        <f t="shared" si="10"/>
        <v/>
      </c>
      <c r="AK51" s="4" t="str">
        <f t="shared" ref="AD51:AK83" si="16">IF(AND($B51=AK$3, $G51=AK$2, $H51=AK$1), 1, "")</f>
        <v/>
      </c>
      <c r="AL51" s="4" t="str">
        <f t="shared" si="13"/>
        <v/>
      </c>
      <c r="AM51" s="4" t="str">
        <f t="shared" si="13"/>
        <v/>
      </c>
      <c r="AN51" s="4" t="str">
        <f t="shared" si="13"/>
        <v/>
      </c>
      <c r="AO51" s="4" t="str">
        <f t="shared" si="13"/>
        <v/>
      </c>
      <c r="AP51" s="4" t="str">
        <f t="shared" si="13"/>
        <v/>
      </c>
      <c r="AQ51" s="4" t="str">
        <f t="shared" si="13"/>
        <v/>
      </c>
      <c r="AR51" s="4" t="str">
        <f t="shared" si="13"/>
        <v/>
      </c>
      <c r="AS51" s="5" t="str">
        <f t="shared" si="13"/>
        <v/>
      </c>
      <c r="AT51" s="3" t="str">
        <f t="shared" si="11"/>
        <v/>
      </c>
      <c r="AU51" s="4" t="str">
        <f t="shared" si="11"/>
        <v/>
      </c>
      <c r="AV51" s="4" t="str">
        <f t="shared" si="11"/>
        <v/>
      </c>
      <c r="AW51" s="4" t="str">
        <f t="shared" si="11"/>
        <v/>
      </c>
      <c r="AX51" s="4" t="str">
        <f t="shared" si="11"/>
        <v/>
      </c>
      <c r="AY51" s="4" t="str">
        <f t="shared" si="11"/>
        <v/>
      </c>
      <c r="AZ51" s="4" t="str">
        <f t="shared" si="11"/>
        <v/>
      </c>
      <c r="BA51" s="4" t="str">
        <f t="shared" ref="AT51:BA83" si="17">IF(AND($B51=BA$3, $G51=BA$2, $H51=BA$1), 1, "")</f>
        <v/>
      </c>
      <c r="BB51" s="4" t="str">
        <f t="shared" si="14"/>
        <v/>
      </c>
      <c r="BC51" s="4" t="str">
        <f t="shared" si="14"/>
        <v/>
      </c>
      <c r="BD51" s="4" t="str">
        <f t="shared" si="14"/>
        <v/>
      </c>
      <c r="BE51" s="4" t="str">
        <f t="shared" si="14"/>
        <v/>
      </c>
      <c r="BF51" s="4" t="str">
        <f t="shared" si="14"/>
        <v/>
      </c>
      <c r="BG51" s="4" t="str">
        <f t="shared" si="14"/>
        <v/>
      </c>
      <c r="BH51" s="4" t="str">
        <f t="shared" si="14"/>
        <v/>
      </c>
      <c r="BI51" s="5" t="str">
        <f t="shared" si="14"/>
        <v/>
      </c>
    </row>
    <row r="52" spans="1:61" x14ac:dyDescent="0.25">
      <c r="A52">
        <v>265834</v>
      </c>
      <c r="B52" t="s">
        <v>14</v>
      </c>
      <c r="C52" t="s">
        <v>16</v>
      </c>
      <c r="D52">
        <v>378</v>
      </c>
      <c r="E52">
        <v>3627</v>
      </c>
      <c r="F52">
        <v>93</v>
      </c>
      <c r="G52">
        <v>20122</v>
      </c>
      <c r="H52" t="s">
        <v>0</v>
      </c>
      <c r="I52">
        <v>109183.001</v>
      </c>
      <c r="J52">
        <v>3524</v>
      </c>
      <c r="K52">
        <v>182972.16</v>
      </c>
      <c r="L52">
        <v>174870.68</v>
      </c>
      <c r="M52">
        <v>8101.48</v>
      </c>
      <c r="N52" s="3" t="str">
        <f t="shared" si="15"/>
        <v/>
      </c>
      <c r="O52" s="4" t="str">
        <f t="shared" si="15"/>
        <v/>
      </c>
      <c r="P52" s="4" t="str">
        <f t="shared" si="15"/>
        <v/>
      </c>
      <c r="Q52" s="4" t="str">
        <f t="shared" si="15"/>
        <v/>
      </c>
      <c r="R52" s="4" t="str">
        <f t="shared" si="15"/>
        <v/>
      </c>
      <c r="S52" s="4" t="str">
        <f t="shared" si="15"/>
        <v/>
      </c>
      <c r="T52" s="4" t="str">
        <f t="shared" si="15"/>
        <v/>
      </c>
      <c r="U52" s="4" t="str">
        <f t="shared" si="15"/>
        <v/>
      </c>
      <c r="V52" s="4" t="str">
        <f t="shared" si="12"/>
        <v/>
      </c>
      <c r="W52" s="4" t="str">
        <f t="shared" si="12"/>
        <v/>
      </c>
      <c r="X52" s="4" t="str">
        <f t="shared" si="12"/>
        <v/>
      </c>
      <c r="Y52" s="4" t="str">
        <f t="shared" si="12"/>
        <v/>
      </c>
      <c r="Z52" s="4" t="str">
        <f t="shared" si="12"/>
        <v/>
      </c>
      <c r="AA52" s="4" t="str">
        <f t="shared" si="12"/>
        <v/>
      </c>
      <c r="AB52" s="4" t="str">
        <f t="shared" si="12"/>
        <v/>
      </c>
      <c r="AC52" s="5" t="str">
        <f t="shared" si="12"/>
        <v/>
      </c>
      <c r="AD52" s="3" t="str">
        <f t="shared" si="16"/>
        <v/>
      </c>
      <c r="AE52" s="4">
        <f t="shared" si="16"/>
        <v>1</v>
      </c>
      <c r="AF52" s="4" t="str">
        <f t="shared" si="16"/>
        <v/>
      </c>
      <c r="AG52" s="4" t="str">
        <f t="shared" si="16"/>
        <v/>
      </c>
      <c r="AH52" s="4" t="str">
        <f t="shared" si="16"/>
        <v/>
      </c>
      <c r="AI52" s="4" t="str">
        <f t="shared" si="16"/>
        <v/>
      </c>
      <c r="AJ52" s="4" t="str">
        <f t="shared" si="16"/>
        <v/>
      </c>
      <c r="AK52" s="4" t="str">
        <f t="shared" si="16"/>
        <v/>
      </c>
      <c r="AL52" s="4" t="str">
        <f t="shared" si="13"/>
        <v/>
      </c>
      <c r="AM52" s="4" t="str">
        <f t="shared" si="13"/>
        <v/>
      </c>
      <c r="AN52" s="4" t="str">
        <f t="shared" si="13"/>
        <v/>
      </c>
      <c r="AO52" s="4" t="str">
        <f t="shared" si="13"/>
        <v/>
      </c>
      <c r="AP52" s="4" t="str">
        <f t="shared" si="13"/>
        <v/>
      </c>
      <c r="AQ52" s="4" t="str">
        <f t="shared" si="13"/>
        <v/>
      </c>
      <c r="AR52" s="4" t="str">
        <f t="shared" si="13"/>
        <v/>
      </c>
      <c r="AS52" s="5" t="str">
        <f t="shared" si="13"/>
        <v/>
      </c>
      <c r="AT52" s="3" t="str">
        <f t="shared" si="17"/>
        <v/>
      </c>
      <c r="AU52" s="4" t="str">
        <f t="shared" si="17"/>
        <v/>
      </c>
      <c r="AV52" s="4" t="str">
        <f t="shared" si="17"/>
        <v/>
      </c>
      <c r="AW52" s="4" t="str">
        <f t="shared" si="17"/>
        <v/>
      </c>
      <c r="AX52" s="4" t="str">
        <f t="shared" si="17"/>
        <v/>
      </c>
      <c r="AY52" s="4" t="str">
        <f t="shared" si="17"/>
        <v/>
      </c>
      <c r="AZ52" s="4" t="str">
        <f t="shared" si="17"/>
        <v/>
      </c>
      <c r="BA52" s="4" t="str">
        <f t="shared" si="17"/>
        <v/>
      </c>
      <c r="BB52" s="4" t="str">
        <f t="shared" si="14"/>
        <v/>
      </c>
      <c r="BC52" s="4" t="str">
        <f t="shared" si="14"/>
        <v/>
      </c>
      <c r="BD52" s="4" t="str">
        <f t="shared" si="14"/>
        <v/>
      </c>
      <c r="BE52" s="4" t="str">
        <f t="shared" si="14"/>
        <v/>
      </c>
      <c r="BF52" s="4" t="str">
        <f t="shared" si="14"/>
        <v/>
      </c>
      <c r="BG52" s="4" t="str">
        <f t="shared" si="14"/>
        <v/>
      </c>
      <c r="BH52" s="4" t="str">
        <f t="shared" si="14"/>
        <v/>
      </c>
      <c r="BI52" s="5" t="str">
        <f t="shared" si="14"/>
        <v/>
      </c>
    </row>
    <row r="53" spans="1:61" x14ac:dyDescent="0.25">
      <c r="A53">
        <v>265835</v>
      </c>
      <c r="B53" t="s">
        <v>14</v>
      </c>
      <c r="C53" t="s">
        <v>16</v>
      </c>
      <c r="D53">
        <v>378</v>
      </c>
      <c r="E53">
        <v>3627</v>
      </c>
      <c r="F53">
        <v>93</v>
      </c>
      <c r="G53">
        <v>20123</v>
      </c>
      <c r="H53" t="s">
        <v>0</v>
      </c>
      <c r="I53">
        <v>271956.00099999999</v>
      </c>
      <c r="J53">
        <v>8797</v>
      </c>
      <c r="K53">
        <v>250802.39</v>
      </c>
      <c r="L53">
        <v>241328.21</v>
      </c>
      <c r="M53">
        <v>9474.18</v>
      </c>
      <c r="N53" s="3" t="str">
        <f t="shared" si="15"/>
        <v/>
      </c>
      <c r="O53" s="4" t="str">
        <f t="shared" si="15"/>
        <v/>
      </c>
      <c r="P53" s="4" t="str">
        <f t="shared" si="15"/>
        <v/>
      </c>
      <c r="Q53" s="4" t="str">
        <f t="shared" si="15"/>
        <v/>
      </c>
      <c r="R53" s="4" t="str">
        <f t="shared" si="15"/>
        <v/>
      </c>
      <c r="S53" s="4" t="str">
        <f t="shared" si="15"/>
        <v/>
      </c>
      <c r="T53" s="4" t="str">
        <f t="shared" si="15"/>
        <v/>
      </c>
      <c r="U53" s="4" t="str">
        <f t="shared" si="15"/>
        <v/>
      </c>
      <c r="V53" s="4" t="str">
        <f t="shared" si="12"/>
        <v/>
      </c>
      <c r="W53" s="4" t="str">
        <f t="shared" si="12"/>
        <v/>
      </c>
      <c r="X53" s="4" t="str">
        <f t="shared" si="12"/>
        <v/>
      </c>
      <c r="Y53" s="4" t="str">
        <f t="shared" si="12"/>
        <v/>
      </c>
      <c r="Z53" s="4" t="str">
        <f t="shared" si="12"/>
        <v/>
      </c>
      <c r="AA53" s="4" t="str">
        <f t="shared" si="12"/>
        <v/>
      </c>
      <c r="AB53" s="4" t="str">
        <f t="shared" si="12"/>
        <v/>
      </c>
      <c r="AC53" s="5" t="str">
        <f t="shared" si="12"/>
        <v/>
      </c>
      <c r="AD53" s="3" t="str">
        <f t="shared" si="16"/>
        <v/>
      </c>
      <c r="AE53" s="4" t="str">
        <f t="shared" si="16"/>
        <v/>
      </c>
      <c r="AF53" s="4">
        <f t="shared" si="16"/>
        <v>1</v>
      </c>
      <c r="AG53" s="4" t="str">
        <f t="shared" si="16"/>
        <v/>
      </c>
      <c r="AH53" s="4" t="str">
        <f t="shared" si="16"/>
        <v/>
      </c>
      <c r="AI53" s="4" t="str">
        <f t="shared" si="16"/>
        <v/>
      </c>
      <c r="AJ53" s="4" t="str">
        <f t="shared" si="16"/>
        <v/>
      </c>
      <c r="AK53" s="4" t="str">
        <f t="shared" si="16"/>
        <v/>
      </c>
      <c r="AL53" s="4" t="str">
        <f t="shared" si="13"/>
        <v/>
      </c>
      <c r="AM53" s="4" t="str">
        <f t="shared" si="13"/>
        <v/>
      </c>
      <c r="AN53" s="4" t="str">
        <f t="shared" si="13"/>
        <v/>
      </c>
      <c r="AO53" s="4" t="str">
        <f t="shared" si="13"/>
        <v/>
      </c>
      <c r="AP53" s="4" t="str">
        <f t="shared" si="13"/>
        <v/>
      </c>
      <c r="AQ53" s="4" t="str">
        <f t="shared" si="13"/>
        <v/>
      </c>
      <c r="AR53" s="4" t="str">
        <f t="shared" si="13"/>
        <v/>
      </c>
      <c r="AS53" s="5" t="str">
        <f t="shared" si="13"/>
        <v/>
      </c>
      <c r="AT53" s="3" t="str">
        <f t="shared" si="17"/>
        <v/>
      </c>
      <c r="AU53" s="4" t="str">
        <f t="shared" si="17"/>
        <v/>
      </c>
      <c r="AV53" s="4" t="str">
        <f t="shared" si="17"/>
        <v/>
      </c>
      <c r="AW53" s="4" t="str">
        <f t="shared" si="17"/>
        <v/>
      </c>
      <c r="AX53" s="4" t="str">
        <f t="shared" si="17"/>
        <v/>
      </c>
      <c r="AY53" s="4" t="str">
        <f t="shared" si="17"/>
        <v/>
      </c>
      <c r="AZ53" s="4" t="str">
        <f t="shared" si="17"/>
        <v/>
      </c>
      <c r="BA53" s="4" t="str">
        <f t="shared" si="17"/>
        <v/>
      </c>
      <c r="BB53" s="4" t="str">
        <f t="shared" si="14"/>
        <v/>
      </c>
      <c r="BC53" s="4" t="str">
        <f t="shared" si="14"/>
        <v/>
      </c>
      <c r="BD53" s="4" t="str">
        <f t="shared" si="14"/>
        <v/>
      </c>
      <c r="BE53" s="4" t="str">
        <f t="shared" si="14"/>
        <v/>
      </c>
      <c r="BF53" s="4" t="str">
        <f t="shared" si="14"/>
        <v/>
      </c>
      <c r="BG53" s="4" t="str">
        <f t="shared" si="14"/>
        <v/>
      </c>
      <c r="BH53" s="4" t="str">
        <f t="shared" si="14"/>
        <v/>
      </c>
      <c r="BI53" s="5" t="str">
        <f t="shared" si="14"/>
        <v/>
      </c>
    </row>
    <row r="54" spans="1:61" x14ac:dyDescent="0.25">
      <c r="A54">
        <v>265836</v>
      </c>
      <c r="B54" t="s">
        <v>14</v>
      </c>
      <c r="C54" t="s">
        <v>16</v>
      </c>
      <c r="D54">
        <v>378</v>
      </c>
      <c r="E54">
        <v>3627</v>
      </c>
      <c r="F54">
        <v>93</v>
      </c>
      <c r="G54">
        <v>20124</v>
      </c>
      <c r="H54" t="s">
        <v>0</v>
      </c>
      <c r="I54">
        <v>248049</v>
      </c>
      <c r="J54">
        <v>7989</v>
      </c>
      <c r="K54">
        <v>129690.54</v>
      </c>
      <c r="L54">
        <v>123153.1</v>
      </c>
      <c r="M54">
        <v>6537.44</v>
      </c>
      <c r="N54" s="3" t="str">
        <f t="shared" si="15"/>
        <v/>
      </c>
      <c r="O54" s="4" t="str">
        <f t="shared" si="15"/>
        <v/>
      </c>
      <c r="P54" s="4" t="str">
        <f t="shared" si="15"/>
        <v/>
      </c>
      <c r="Q54" s="4" t="str">
        <f t="shared" si="15"/>
        <v/>
      </c>
      <c r="R54" s="4" t="str">
        <f t="shared" si="15"/>
        <v/>
      </c>
      <c r="S54" s="4" t="str">
        <f t="shared" si="15"/>
        <v/>
      </c>
      <c r="T54" s="4" t="str">
        <f t="shared" si="15"/>
        <v/>
      </c>
      <c r="U54" s="4" t="str">
        <f t="shared" si="15"/>
        <v/>
      </c>
      <c r="V54" s="4" t="str">
        <f t="shared" si="12"/>
        <v/>
      </c>
      <c r="W54" s="4" t="str">
        <f t="shared" si="12"/>
        <v/>
      </c>
      <c r="X54" s="4" t="str">
        <f t="shared" si="12"/>
        <v/>
      </c>
      <c r="Y54" s="4" t="str">
        <f t="shared" si="12"/>
        <v/>
      </c>
      <c r="Z54" s="4" t="str">
        <f t="shared" si="12"/>
        <v/>
      </c>
      <c r="AA54" s="4" t="str">
        <f t="shared" si="12"/>
        <v/>
      </c>
      <c r="AB54" s="4" t="str">
        <f t="shared" si="12"/>
        <v/>
      </c>
      <c r="AC54" s="5" t="str">
        <f t="shared" si="12"/>
        <v/>
      </c>
      <c r="AD54" s="3" t="str">
        <f t="shared" si="16"/>
        <v/>
      </c>
      <c r="AE54" s="4" t="str">
        <f t="shared" si="16"/>
        <v/>
      </c>
      <c r="AF54" s="4" t="str">
        <f t="shared" si="16"/>
        <v/>
      </c>
      <c r="AG54" s="4">
        <f t="shared" si="16"/>
        <v>1</v>
      </c>
      <c r="AH54" s="4" t="str">
        <f t="shared" si="16"/>
        <v/>
      </c>
      <c r="AI54" s="4" t="str">
        <f t="shared" si="16"/>
        <v/>
      </c>
      <c r="AJ54" s="4" t="str">
        <f t="shared" si="16"/>
        <v/>
      </c>
      <c r="AK54" s="4" t="str">
        <f t="shared" si="16"/>
        <v/>
      </c>
      <c r="AL54" s="4" t="str">
        <f t="shared" si="13"/>
        <v/>
      </c>
      <c r="AM54" s="4" t="str">
        <f t="shared" si="13"/>
        <v/>
      </c>
      <c r="AN54" s="4" t="str">
        <f t="shared" si="13"/>
        <v/>
      </c>
      <c r="AO54" s="4" t="str">
        <f t="shared" si="13"/>
        <v/>
      </c>
      <c r="AP54" s="4" t="str">
        <f t="shared" si="13"/>
        <v/>
      </c>
      <c r="AQ54" s="4" t="str">
        <f t="shared" si="13"/>
        <v/>
      </c>
      <c r="AR54" s="4" t="str">
        <f t="shared" si="13"/>
        <v/>
      </c>
      <c r="AS54" s="5" t="str">
        <f t="shared" si="13"/>
        <v/>
      </c>
      <c r="AT54" s="3" t="str">
        <f t="shared" si="17"/>
        <v/>
      </c>
      <c r="AU54" s="4" t="str">
        <f t="shared" si="17"/>
        <v/>
      </c>
      <c r="AV54" s="4" t="str">
        <f t="shared" si="17"/>
        <v/>
      </c>
      <c r="AW54" s="4" t="str">
        <f t="shared" si="17"/>
        <v/>
      </c>
      <c r="AX54" s="4" t="str">
        <f t="shared" si="17"/>
        <v/>
      </c>
      <c r="AY54" s="4" t="str">
        <f t="shared" si="17"/>
        <v/>
      </c>
      <c r="AZ54" s="4" t="str">
        <f t="shared" si="17"/>
        <v/>
      </c>
      <c r="BA54" s="4" t="str">
        <f t="shared" si="17"/>
        <v/>
      </c>
      <c r="BB54" s="4" t="str">
        <f t="shared" si="14"/>
        <v/>
      </c>
      <c r="BC54" s="4" t="str">
        <f t="shared" si="14"/>
        <v/>
      </c>
      <c r="BD54" s="4" t="str">
        <f t="shared" si="14"/>
        <v/>
      </c>
      <c r="BE54" s="4" t="str">
        <f t="shared" si="14"/>
        <v/>
      </c>
      <c r="BF54" s="4" t="str">
        <f t="shared" si="14"/>
        <v/>
      </c>
      <c r="BG54" s="4" t="str">
        <f t="shared" si="14"/>
        <v/>
      </c>
      <c r="BH54" s="4" t="str">
        <f t="shared" si="14"/>
        <v/>
      </c>
      <c r="BI54" s="5" t="str">
        <f t="shared" si="14"/>
        <v/>
      </c>
    </row>
    <row r="55" spans="1:61" x14ac:dyDescent="0.25">
      <c r="A55">
        <v>392083</v>
      </c>
      <c r="B55" t="s">
        <v>15</v>
      </c>
      <c r="C55" t="s">
        <v>16</v>
      </c>
      <c r="D55">
        <v>378</v>
      </c>
      <c r="E55">
        <v>3627</v>
      </c>
      <c r="F55">
        <v>5</v>
      </c>
      <c r="G55">
        <v>20122</v>
      </c>
      <c r="H55" t="s">
        <v>0</v>
      </c>
      <c r="I55">
        <v>50443</v>
      </c>
      <c r="J55">
        <v>1689</v>
      </c>
      <c r="K55">
        <v>138468.32</v>
      </c>
      <c r="L55">
        <v>137013.04</v>
      </c>
      <c r="M55">
        <v>1455.28</v>
      </c>
      <c r="N55" s="3" t="str">
        <f t="shared" si="15"/>
        <v/>
      </c>
      <c r="O55" s="4" t="str">
        <f t="shared" si="15"/>
        <v/>
      </c>
      <c r="P55" s="4" t="str">
        <f t="shared" si="15"/>
        <v/>
      </c>
      <c r="Q55" s="4" t="str">
        <f t="shared" si="15"/>
        <v/>
      </c>
      <c r="R55" s="4" t="str">
        <f t="shared" si="15"/>
        <v/>
      </c>
      <c r="S55" s="4" t="str">
        <f t="shared" si="15"/>
        <v/>
      </c>
      <c r="T55" s="4" t="str">
        <f t="shared" si="15"/>
        <v/>
      </c>
      <c r="U55" s="4" t="str">
        <f t="shared" si="15"/>
        <v/>
      </c>
      <c r="V55" s="4" t="str">
        <f t="shared" si="12"/>
        <v/>
      </c>
      <c r="W55" s="4" t="str">
        <f t="shared" si="12"/>
        <v/>
      </c>
      <c r="X55" s="4" t="str">
        <f t="shared" si="12"/>
        <v/>
      </c>
      <c r="Y55" s="4" t="str">
        <f t="shared" si="12"/>
        <v/>
      </c>
      <c r="Z55" s="4" t="str">
        <f t="shared" si="12"/>
        <v/>
      </c>
      <c r="AA55" s="4" t="str">
        <f t="shared" si="12"/>
        <v/>
      </c>
      <c r="AB55" s="4" t="str">
        <f t="shared" si="12"/>
        <v/>
      </c>
      <c r="AC55" s="5" t="str">
        <f t="shared" si="12"/>
        <v/>
      </c>
      <c r="AD55" s="3" t="str">
        <f t="shared" si="16"/>
        <v/>
      </c>
      <c r="AE55" s="4" t="str">
        <f t="shared" si="16"/>
        <v/>
      </c>
      <c r="AF55" s="4" t="str">
        <f t="shared" si="16"/>
        <v/>
      </c>
      <c r="AG55" s="4" t="str">
        <f t="shared" si="16"/>
        <v/>
      </c>
      <c r="AH55" s="4" t="str">
        <f t="shared" si="16"/>
        <v/>
      </c>
      <c r="AI55" s="4">
        <f t="shared" si="16"/>
        <v>1</v>
      </c>
      <c r="AJ55" s="4" t="str">
        <f t="shared" si="16"/>
        <v/>
      </c>
      <c r="AK55" s="4" t="str">
        <f t="shared" si="16"/>
        <v/>
      </c>
      <c r="AL55" s="4" t="str">
        <f t="shared" si="13"/>
        <v/>
      </c>
      <c r="AM55" s="4" t="str">
        <f t="shared" si="13"/>
        <v/>
      </c>
      <c r="AN55" s="4" t="str">
        <f t="shared" si="13"/>
        <v/>
      </c>
      <c r="AO55" s="4" t="str">
        <f t="shared" si="13"/>
        <v/>
      </c>
      <c r="AP55" s="4" t="str">
        <f t="shared" si="13"/>
        <v/>
      </c>
      <c r="AQ55" s="4" t="str">
        <f t="shared" si="13"/>
        <v/>
      </c>
      <c r="AR55" s="4" t="str">
        <f t="shared" si="13"/>
        <v/>
      </c>
      <c r="AS55" s="5" t="str">
        <f t="shared" si="13"/>
        <v/>
      </c>
      <c r="AT55" s="3" t="str">
        <f t="shared" si="17"/>
        <v/>
      </c>
      <c r="AU55" s="4" t="str">
        <f t="shared" si="17"/>
        <v/>
      </c>
      <c r="AV55" s="4" t="str">
        <f t="shared" si="17"/>
        <v/>
      </c>
      <c r="AW55" s="4" t="str">
        <f t="shared" si="17"/>
        <v/>
      </c>
      <c r="AX55" s="4" t="str">
        <f t="shared" si="17"/>
        <v/>
      </c>
      <c r="AY55" s="4" t="str">
        <f t="shared" si="17"/>
        <v/>
      </c>
      <c r="AZ55" s="4" t="str">
        <f t="shared" si="17"/>
        <v/>
      </c>
      <c r="BA55" s="4" t="str">
        <f t="shared" si="17"/>
        <v/>
      </c>
      <c r="BB55" s="4" t="str">
        <f t="shared" si="14"/>
        <v/>
      </c>
      <c r="BC55" s="4" t="str">
        <f t="shared" si="14"/>
        <v/>
      </c>
      <c r="BD55" s="4" t="str">
        <f t="shared" si="14"/>
        <v/>
      </c>
      <c r="BE55" s="4" t="str">
        <f t="shared" si="14"/>
        <v/>
      </c>
      <c r="BF55" s="4" t="str">
        <f t="shared" si="14"/>
        <v/>
      </c>
      <c r="BG55" s="4" t="str">
        <f t="shared" si="14"/>
        <v/>
      </c>
      <c r="BH55" s="4" t="str">
        <f t="shared" si="14"/>
        <v/>
      </c>
      <c r="BI55" s="5" t="str">
        <f t="shared" si="14"/>
        <v/>
      </c>
    </row>
    <row r="56" spans="1:61" x14ac:dyDescent="0.25">
      <c r="A56">
        <v>392084</v>
      </c>
      <c r="B56" t="s">
        <v>15</v>
      </c>
      <c r="C56" t="s">
        <v>16</v>
      </c>
      <c r="D56">
        <v>378</v>
      </c>
      <c r="E56">
        <v>3627</v>
      </c>
      <c r="F56">
        <v>5</v>
      </c>
      <c r="G56">
        <v>20123</v>
      </c>
      <c r="H56" t="s">
        <v>0</v>
      </c>
      <c r="I56">
        <v>167981</v>
      </c>
      <c r="J56">
        <v>5569</v>
      </c>
      <c r="K56">
        <v>217088.22</v>
      </c>
      <c r="L56">
        <v>216357.25</v>
      </c>
      <c r="M56">
        <v>730.97</v>
      </c>
      <c r="N56" s="3" t="str">
        <f t="shared" si="15"/>
        <v/>
      </c>
      <c r="O56" s="4" t="str">
        <f t="shared" si="15"/>
        <v/>
      </c>
      <c r="P56" s="4" t="str">
        <f t="shared" si="15"/>
        <v/>
      </c>
      <c r="Q56" s="4" t="str">
        <f t="shared" si="15"/>
        <v/>
      </c>
      <c r="R56" s="4" t="str">
        <f t="shared" si="15"/>
        <v/>
      </c>
      <c r="S56" s="4" t="str">
        <f t="shared" si="15"/>
        <v/>
      </c>
      <c r="T56" s="4" t="str">
        <f t="shared" si="15"/>
        <v/>
      </c>
      <c r="U56" s="4" t="str">
        <f t="shared" si="15"/>
        <v/>
      </c>
      <c r="V56" s="4" t="str">
        <f t="shared" si="12"/>
        <v/>
      </c>
      <c r="W56" s="4" t="str">
        <f t="shared" si="12"/>
        <v/>
      </c>
      <c r="X56" s="4" t="str">
        <f t="shared" si="12"/>
        <v/>
      </c>
      <c r="Y56" s="4" t="str">
        <f t="shared" si="12"/>
        <v/>
      </c>
      <c r="Z56" s="4" t="str">
        <f t="shared" si="12"/>
        <v/>
      </c>
      <c r="AA56" s="4" t="str">
        <f t="shared" si="12"/>
        <v/>
      </c>
      <c r="AB56" s="4" t="str">
        <f t="shared" si="12"/>
        <v/>
      </c>
      <c r="AC56" s="5" t="str">
        <f t="shared" si="12"/>
        <v/>
      </c>
      <c r="AD56" s="3" t="str">
        <f t="shared" si="16"/>
        <v/>
      </c>
      <c r="AE56" s="4" t="str">
        <f t="shared" si="16"/>
        <v/>
      </c>
      <c r="AF56" s="4" t="str">
        <f t="shared" si="16"/>
        <v/>
      </c>
      <c r="AG56" s="4" t="str">
        <f t="shared" si="16"/>
        <v/>
      </c>
      <c r="AH56" s="4" t="str">
        <f t="shared" si="16"/>
        <v/>
      </c>
      <c r="AI56" s="4" t="str">
        <f t="shared" si="16"/>
        <v/>
      </c>
      <c r="AJ56" s="4">
        <f t="shared" si="16"/>
        <v>1</v>
      </c>
      <c r="AK56" s="4" t="str">
        <f t="shared" si="16"/>
        <v/>
      </c>
      <c r="AL56" s="4" t="str">
        <f t="shared" si="13"/>
        <v/>
      </c>
      <c r="AM56" s="4" t="str">
        <f t="shared" si="13"/>
        <v/>
      </c>
      <c r="AN56" s="4" t="str">
        <f t="shared" si="13"/>
        <v/>
      </c>
      <c r="AO56" s="4" t="str">
        <f t="shared" si="13"/>
        <v/>
      </c>
      <c r="AP56" s="4" t="str">
        <f t="shared" si="13"/>
        <v/>
      </c>
      <c r="AQ56" s="4" t="str">
        <f t="shared" si="13"/>
        <v/>
      </c>
      <c r="AR56" s="4" t="str">
        <f t="shared" si="13"/>
        <v/>
      </c>
      <c r="AS56" s="5" t="str">
        <f t="shared" si="13"/>
        <v/>
      </c>
      <c r="AT56" s="3" t="str">
        <f t="shared" si="17"/>
        <v/>
      </c>
      <c r="AU56" s="4" t="str">
        <f t="shared" si="17"/>
        <v/>
      </c>
      <c r="AV56" s="4" t="str">
        <f t="shared" si="17"/>
        <v/>
      </c>
      <c r="AW56" s="4" t="str">
        <f t="shared" si="17"/>
        <v/>
      </c>
      <c r="AX56" s="4" t="str">
        <f t="shared" si="17"/>
        <v/>
      </c>
      <c r="AY56" s="4" t="str">
        <f t="shared" si="17"/>
        <v/>
      </c>
      <c r="AZ56" s="4" t="str">
        <f t="shared" si="17"/>
        <v/>
      </c>
      <c r="BA56" s="4" t="str">
        <f t="shared" si="17"/>
        <v/>
      </c>
      <c r="BB56" s="4" t="str">
        <f t="shared" si="14"/>
        <v/>
      </c>
      <c r="BC56" s="4" t="str">
        <f t="shared" si="14"/>
        <v/>
      </c>
      <c r="BD56" s="4" t="str">
        <f t="shared" si="14"/>
        <v/>
      </c>
      <c r="BE56" s="4" t="str">
        <f t="shared" si="14"/>
        <v/>
      </c>
      <c r="BF56" s="4" t="str">
        <f t="shared" si="14"/>
        <v/>
      </c>
      <c r="BG56" s="4" t="str">
        <f t="shared" si="14"/>
        <v/>
      </c>
      <c r="BH56" s="4" t="str">
        <f t="shared" si="14"/>
        <v/>
      </c>
      <c r="BI56" s="5" t="str">
        <f t="shared" si="14"/>
        <v/>
      </c>
    </row>
    <row r="57" spans="1:61" x14ac:dyDescent="0.25">
      <c r="A57">
        <v>392085</v>
      </c>
      <c r="B57" t="s">
        <v>15</v>
      </c>
      <c r="C57" t="s">
        <v>16</v>
      </c>
      <c r="D57">
        <v>378</v>
      </c>
      <c r="E57">
        <v>3627</v>
      </c>
      <c r="F57">
        <v>5</v>
      </c>
      <c r="G57">
        <v>20124</v>
      </c>
      <c r="H57" t="s">
        <v>0</v>
      </c>
      <c r="I57">
        <v>194273</v>
      </c>
      <c r="J57">
        <v>6332</v>
      </c>
      <c r="K57">
        <v>233657.92</v>
      </c>
      <c r="L57">
        <v>233082.14</v>
      </c>
      <c r="M57">
        <v>575.78</v>
      </c>
      <c r="N57" s="3" t="str">
        <f t="shared" si="15"/>
        <v/>
      </c>
      <c r="O57" s="4" t="str">
        <f t="shared" si="15"/>
        <v/>
      </c>
      <c r="P57" s="4" t="str">
        <f t="shared" si="15"/>
        <v/>
      </c>
      <c r="Q57" s="4" t="str">
        <f t="shared" si="15"/>
        <v/>
      </c>
      <c r="R57" s="4" t="str">
        <f t="shared" si="15"/>
        <v/>
      </c>
      <c r="S57" s="4" t="str">
        <f t="shared" si="15"/>
        <v/>
      </c>
      <c r="T57" s="4" t="str">
        <f t="shared" si="15"/>
        <v/>
      </c>
      <c r="U57" s="4" t="str">
        <f t="shared" si="15"/>
        <v/>
      </c>
      <c r="V57" s="4" t="str">
        <f t="shared" si="12"/>
        <v/>
      </c>
      <c r="W57" s="4" t="str">
        <f t="shared" si="12"/>
        <v/>
      </c>
      <c r="X57" s="4" t="str">
        <f t="shared" si="12"/>
        <v/>
      </c>
      <c r="Y57" s="4" t="str">
        <f t="shared" si="12"/>
        <v/>
      </c>
      <c r="Z57" s="4" t="str">
        <f t="shared" si="12"/>
        <v/>
      </c>
      <c r="AA57" s="4" t="str">
        <f t="shared" si="12"/>
        <v/>
      </c>
      <c r="AB57" s="4" t="str">
        <f t="shared" si="12"/>
        <v/>
      </c>
      <c r="AC57" s="5" t="str">
        <f t="shared" si="12"/>
        <v/>
      </c>
      <c r="AD57" s="3" t="str">
        <f t="shared" si="16"/>
        <v/>
      </c>
      <c r="AE57" s="4" t="str">
        <f t="shared" si="16"/>
        <v/>
      </c>
      <c r="AF57" s="4" t="str">
        <f t="shared" si="16"/>
        <v/>
      </c>
      <c r="AG57" s="4" t="str">
        <f t="shared" si="16"/>
        <v/>
      </c>
      <c r="AH57" s="4" t="str">
        <f t="shared" si="16"/>
        <v/>
      </c>
      <c r="AI57" s="4" t="str">
        <f t="shared" si="16"/>
        <v/>
      </c>
      <c r="AJ57" s="4" t="str">
        <f t="shared" si="16"/>
        <v/>
      </c>
      <c r="AK57" s="4">
        <f t="shared" si="16"/>
        <v>1</v>
      </c>
      <c r="AL57" s="4" t="str">
        <f t="shared" si="13"/>
        <v/>
      </c>
      <c r="AM57" s="4" t="str">
        <f t="shared" si="13"/>
        <v/>
      </c>
      <c r="AN57" s="4" t="str">
        <f t="shared" si="13"/>
        <v/>
      </c>
      <c r="AO57" s="4" t="str">
        <f t="shared" si="13"/>
        <v/>
      </c>
      <c r="AP57" s="4" t="str">
        <f t="shared" si="13"/>
        <v/>
      </c>
      <c r="AQ57" s="4" t="str">
        <f t="shared" si="13"/>
        <v/>
      </c>
      <c r="AR57" s="4" t="str">
        <f t="shared" si="13"/>
        <v/>
      </c>
      <c r="AS57" s="5" t="str">
        <f t="shared" si="13"/>
        <v/>
      </c>
      <c r="AT57" s="3" t="str">
        <f t="shared" si="17"/>
        <v/>
      </c>
      <c r="AU57" s="4" t="str">
        <f t="shared" si="17"/>
        <v/>
      </c>
      <c r="AV57" s="4" t="str">
        <f t="shared" si="17"/>
        <v/>
      </c>
      <c r="AW57" s="4" t="str">
        <f t="shared" si="17"/>
        <v/>
      </c>
      <c r="AX57" s="4" t="str">
        <f t="shared" si="17"/>
        <v/>
      </c>
      <c r="AY57" s="4" t="str">
        <f t="shared" si="17"/>
        <v/>
      </c>
      <c r="AZ57" s="4" t="str">
        <f t="shared" si="17"/>
        <v/>
      </c>
      <c r="BA57" s="4" t="str">
        <f t="shared" si="17"/>
        <v/>
      </c>
      <c r="BB57" s="4" t="str">
        <f t="shared" si="14"/>
        <v/>
      </c>
      <c r="BC57" s="4" t="str">
        <f t="shared" si="14"/>
        <v/>
      </c>
      <c r="BD57" s="4" t="str">
        <f t="shared" si="14"/>
        <v/>
      </c>
      <c r="BE57" s="4" t="str">
        <f t="shared" si="14"/>
        <v/>
      </c>
      <c r="BF57" s="4" t="str">
        <f t="shared" si="14"/>
        <v/>
      </c>
      <c r="BG57" s="4" t="str">
        <f t="shared" si="14"/>
        <v/>
      </c>
      <c r="BH57" s="4" t="str">
        <f t="shared" si="14"/>
        <v/>
      </c>
      <c r="BI57" s="5" t="str">
        <f t="shared" si="14"/>
        <v/>
      </c>
    </row>
    <row r="58" spans="1:61" x14ac:dyDescent="0.25">
      <c r="A58">
        <v>392086</v>
      </c>
      <c r="B58" t="s">
        <v>15</v>
      </c>
      <c r="C58" t="s">
        <v>16</v>
      </c>
      <c r="D58">
        <v>378</v>
      </c>
      <c r="E58">
        <v>3627</v>
      </c>
      <c r="F58">
        <v>77</v>
      </c>
      <c r="G58">
        <v>20122</v>
      </c>
      <c r="H58" t="s">
        <v>0</v>
      </c>
      <c r="I58">
        <v>260577</v>
      </c>
      <c r="J58">
        <v>8639</v>
      </c>
      <c r="K58">
        <v>629917.21</v>
      </c>
      <c r="L58">
        <v>619723.91</v>
      </c>
      <c r="M58">
        <v>10193.299999999999</v>
      </c>
      <c r="N58" s="3" t="str">
        <f t="shared" si="15"/>
        <v/>
      </c>
      <c r="O58" s="4" t="str">
        <f t="shared" si="15"/>
        <v/>
      </c>
      <c r="P58" s="4" t="str">
        <f t="shared" si="15"/>
        <v/>
      </c>
      <c r="Q58" s="4" t="str">
        <f t="shared" si="15"/>
        <v/>
      </c>
      <c r="R58" s="4" t="str">
        <f t="shared" si="15"/>
        <v/>
      </c>
      <c r="S58" s="4" t="str">
        <f t="shared" si="15"/>
        <v/>
      </c>
      <c r="T58" s="4" t="str">
        <f t="shared" si="15"/>
        <v/>
      </c>
      <c r="U58" s="4" t="str">
        <f t="shared" si="15"/>
        <v/>
      </c>
      <c r="V58" s="4" t="str">
        <f t="shared" si="12"/>
        <v/>
      </c>
      <c r="W58" s="4" t="str">
        <f t="shared" si="12"/>
        <v/>
      </c>
      <c r="X58" s="4" t="str">
        <f t="shared" si="12"/>
        <v/>
      </c>
      <c r="Y58" s="4" t="str">
        <f t="shared" si="12"/>
        <v/>
      </c>
      <c r="Z58" s="4" t="str">
        <f t="shared" si="12"/>
        <v/>
      </c>
      <c r="AA58" s="4" t="str">
        <f t="shared" si="12"/>
        <v/>
      </c>
      <c r="AB58" s="4" t="str">
        <f t="shared" si="12"/>
        <v/>
      </c>
      <c r="AC58" s="5" t="str">
        <f t="shared" si="12"/>
        <v/>
      </c>
      <c r="AD58" s="3" t="str">
        <f t="shared" si="16"/>
        <v/>
      </c>
      <c r="AE58" s="4" t="str">
        <f t="shared" si="16"/>
        <v/>
      </c>
      <c r="AF58" s="4" t="str">
        <f t="shared" si="16"/>
        <v/>
      </c>
      <c r="AG58" s="4" t="str">
        <f t="shared" si="16"/>
        <v/>
      </c>
      <c r="AH58" s="4" t="str">
        <f t="shared" si="16"/>
        <v/>
      </c>
      <c r="AI58" s="4">
        <f t="shared" si="16"/>
        <v>1</v>
      </c>
      <c r="AJ58" s="4" t="str">
        <f t="shared" si="16"/>
        <v/>
      </c>
      <c r="AK58" s="4" t="str">
        <f t="shared" si="16"/>
        <v/>
      </c>
      <c r="AL58" s="4" t="str">
        <f t="shared" si="13"/>
        <v/>
      </c>
      <c r="AM58" s="4" t="str">
        <f t="shared" si="13"/>
        <v/>
      </c>
      <c r="AN58" s="4" t="str">
        <f t="shared" si="13"/>
        <v/>
      </c>
      <c r="AO58" s="4" t="str">
        <f t="shared" si="13"/>
        <v/>
      </c>
      <c r="AP58" s="4" t="str">
        <f t="shared" si="13"/>
        <v/>
      </c>
      <c r="AQ58" s="4" t="str">
        <f t="shared" si="13"/>
        <v/>
      </c>
      <c r="AR58" s="4" t="str">
        <f t="shared" si="13"/>
        <v/>
      </c>
      <c r="AS58" s="5" t="str">
        <f t="shared" si="13"/>
        <v/>
      </c>
      <c r="AT58" s="3" t="str">
        <f t="shared" si="17"/>
        <v/>
      </c>
      <c r="AU58" s="4" t="str">
        <f t="shared" si="17"/>
        <v/>
      </c>
      <c r="AV58" s="4" t="str">
        <f t="shared" si="17"/>
        <v/>
      </c>
      <c r="AW58" s="4" t="str">
        <f t="shared" si="17"/>
        <v/>
      </c>
      <c r="AX58" s="4" t="str">
        <f t="shared" si="17"/>
        <v/>
      </c>
      <c r="AY58" s="4" t="str">
        <f t="shared" si="17"/>
        <v/>
      </c>
      <c r="AZ58" s="4" t="str">
        <f t="shared" si="17"/>
        <v/>
      </c>
      <c r="BA58" s="4" t="str">
        <f t="shared" si="17"/>
        <v/>
      </c>
      <c r="BB58" s="4" t="str">
        <f t="shared" si="14"/>
        <v/>
      </c>
      <c r="BC58" s="4" t="str">
        <f t="shared" si="14"/>
        <v/>
      </c>
      <c r="BD58" s="4" t="str">
        <f t="shared" si="14"/>
        <v/>
      </c>
      <c r="BE58" s="4" t="str">
        <f t="shared" si="14"/>
        <v/>
      </c>
      <c r="BF58" s="4" t="str">
        <f t="shared" si="14"/>
        <v/>
      </c>
      <c r="BG58" s="4" t="str">
        <f t="shared" si="14"/>
        <v/>
      </c>
      <c r="BH58" s="4" t="str">
        <f t="shared" si="14"/>
        <v/>
      </c>
      <c r="BI58" s="5" t="str">
        <f t="shared" si="14"/>
        <v/>
      </c>
    </row>
    <row r="59" spans="1:61" x14ac:dyDescent="0.25">
      <c r="A59">
        <v>392087</v>
      </c>
      <c r="B59" t="s">
        <v>15</v>
      </c>
      <c r="C59" t="s">
        <v>16</v>
      </c>
      <c r="D59">
        <v>378</v>
      </c>
      <c r="E59">
        <v>3627</v>
      </c>
      <c r="F59">
        <v>77</v>
      </c>
      <c r="G59">
        <v>20123</v>
      </c>
      <c r="H59" t="s">
        <v>0</v>
      </c>
      <c r="I59">
        <v>764860.00100000005</v>
      </c>
      <c r="J59">
        <v>25232</v>
      </c>
      <c r="K59">
        <v>1067228.53</v>
      </c>
      <c r="L59">
        <v>1060099.99</v>
      </c>
      <c r="M59">
        <v>7128.54</v>
      </c>
      <c r="N59" s="3" t="str">
        <f t="shared" si="15"/>
        <v/>
      </c>
      <c r="O59" s="4" t="str">
        <f t="shared" si="15"/>
        <v/>
      </c>
      <c r="P59" s="4" t="str">
        <f t="shared" si="15"/>
        <v/>
      </c>
      <c r="Q59" s="4" t="str">
        <f t="shared" si="15"/>
        <v/>
      </c>
      <c r="R59" s="4" t="str">
        <f t="shared" si="15"/>
        <v/>
      </c>
      <c r="S59" s="4" t="str">
        <f t="shared" si="15"/>
        <v/>
      </c>
      <c r="T59" s="4" t="str">
        <f t="shared" si="15"/>
        <v/>
      </c>
      <c r="U59" s="4" t="str">
        <f t="shared" si="15"/>
        <v/>
      </c>
      <c r="V59" s="4" t="str">
        <f t="shared" si="12"/>
        <v/>
      </c>
      <c r="W59" s="4" t="str">
        <f t="shared" si="12"/>
        <v/>
      </c>
      <c r="X59" s="4" t="str">
        <f t="shared" si="12"/>
        <v/>
      </c>
      <c r="Y59" s="4" t="str">
        <f t="shared" si="12"/>
        <v/>
      </c>
      <c r="Z59" s="4" t="str">
        <f t="shared" si="12"/>
        <v/>
      </c>
      <c r="AA59" s="4" t="str">
        <f t="shared" si="12"/>
        <v/>
      </c>
      <c r="AB59" s="4" t="str">
        <f t="shared" si="12"/>
        <v/>
      </c>
      <c r="AC59" s="5" t="str">
        <f t="shared" si="12"/>
        <v/>
      </c>
      <c r="AD59" s="3" t="str">
        <f t="shared" si="16"/>
        <v/>
      </c>
      <c r="AE59" s="4" t="str">
        <f t="shared" si="16"/>
        <v/>
      </c>
      <c r="AF59" s="4" t="str">
        <f t="shared" si="16"/>
        <v/>
      </c>
      <c r="AG59" s="4" t="str">
        <f t="shared" si="16"/>
        <v/>
      </c>
      <c r="AH59" s="4" t="str">
        <f t="shared" si="16"/>
        <v/>
      </c>
      <c r="AI59" s="4" t="str">
        <f t="shared" si="16"/>
        <v/>
      </c>
      <c r="AJ59" s="4">
        <f t="shared" si="16"/>
        <v>1</v>
      </c>
      <c r="AK59" s="4" t="str">
        <f t="shared" si="16"/>
        <v/>
      </c>
      <c r="AL59" s="4" t="str">
        <f t="shared" si="13"/>
        <v/>
      </c>
      <c r="AM59" s="4" t="str">
        <f t="shared" si="13"/>
        <v/>
      </c>
      <c r="AN59" s="4" t="str">
        <f t="shared" si="13"/>
        <v/>
      </c>
      <c r="AO59" s="4" t="str">
        <f t="shared" si="13"/>
        <v/>
      </c>
      <c r="AP59" s="4" t="str">
        <f t="shared" si="13"/>
        <v/>
      </c>
      <c r="AQ59" s="4" t="str">
        <f t="shared" si="13"/>
        <v/>
      </c>
      <c r="AR59" s="4" t="str">
        <f t="shared" si="13"/>
        <v/>
      </c>
      <c r="AS59" s="5" t="str">
        <f t="shared" si="13"/>
        <v/>
      </c>
      <c r="AT59" s="3" t="str">
        <f t="shared" si="17"/>
        <v/>
      </c>
      <c r="AU59" s="4" t="str">
        <f t="shared" si="17"/>
        <v/>
      </c>
      <c r="AV59" s="4" t="str">
        <f t="shared" si="17"/>
        <v/>
      </c>
      <c r="AW59" s="4" t="str">
        <f t="shared" si="17"/>
        <v/>
      </c>
      <c r="AX59" s="4" t="str">
        <f t="shared" si="17"/>
        <v/>
      </c>
      <c r="AY59" s="4" t="str">
        <f t="shared" si="17"/>
        <v/>
      </c>
      <c r="AZ59" s="4" t="str">
        <f t="shared" si="17"/>
        <v/>
      </c>
      <c r="BA59" s="4" t="str">
        <f t="shared" si="17"/>
        <v/>
      </c>
      <c r="BB59" s="4" t="str">
        <f t="shared" si="14"/>
        <v/>
      </c>
      <c r="BC59" s="4" t="str">
        <f t="shared" si="14"/>
        <v/>
      </c>
      <c r="BD59" s="4" t="str">
        <f t="shared" si="14"/>
        <v/>
      </c>
      <c r="BE59" s="4" t="str">
        <f t="shared" si="14"/>
        <v/>
      </c>
      <c r="BF59" s="4" t="str">
        <f t="shared" si="14"/>
        <v/>
      </c>
      <c r="BG59" s="4" t="str">
        <f t="shared" si="14"/>
        <v/>
      </c>
      <c r="BH59" s="4" t="str">
        <f t="shared" si="14"/>
        <v/>
      </c>
      <c r="BI59" s="5" t="str">
        <f t="shared" si="14"/>
        <v/>
      </c>
    </row>
    <row r="60" spans="1:61" x14ac:dyDescent="0.25">
      <c r="A60">
        <v>392088</v>
      </c>
      <c r="B60" t="s">
        <v>15</v>
      </c>
      <c r="C60" t="s">
        <v>16</v>
      </c>
      <c r="D60">
        <v>378</v>
      </c>
      <c r="E60">
        <v>3627</v>
      </c>
      <c r="F60">
        <v>77</v>
      </c>
      <c r="G60">
        <v>20124</v>
      </c>
      <c r="H60" t="s">
        <v>0</v>
      </c>
      <c r="I60">
        <v>743872.97600000002</v>
      </c>
      <c r="J60">
        <v>24449</v>
      </c>
      <c r="K60">
        <v>998101.61</v>
      </c>
      <c r="L60">
        <v>991100.4</v>
      </c>
      <c r="M60">
        <v>7001.21</v>
      </c>
      <c r="N60" s="3" t="str">
        <f t="shared" si="15"/>
        <v/>
      </c>
      <c r="O60" s="4" t="str">
        <f t="shared" si="15"/>
        <v/>
      </c>
      <c r="P60" s="4" t="str">
        <f t="shared" si="15"/>
        <v/>
      </c>
      <c r="Q60" s="4" t="str">
        <f t="shared" si="15"/>
        <v/>
      </c>
      <c r="R60" s="4" t="str">
        <f t="shared" si="15"/>
        <v/>
      </c>
      <c r="S60" s="4" t="str">
        <f t="shared" si="15"/>
        <v/>
      </c>
      <c r="T60" s="4" t="str">
        <f t="shared" si="15"/>
        <v/>
      </c>
      <c r="U60" s="4" t="str">
        <f t="shared" si="15"/>
        <v/>
      </c>
      <c r="V60" s="4" t="str">
        <f t="shared" si="12"/>
        <v/>
      </c>
      <c r="W60" s="4" t="str">
        <f t="shared" si="12"/>
        <v/>
      </c>
      <c r="X60" s="4" t="str">
        <f t="shared" si="12"/>
        <v/>
      </c>
      <c r="Y60" s="4" t="str">
        <f t="shared" si="12"/>
        <v/>
      </c>
      <c r="Z60" s="4" t="str">
        <f t="shared" si="12"/>
        <v/>
      </c>
      <c r="AA60" s="4" t="str">
        <f t="shared" si="12"/>
        <v/>
      </c>
      <c r="AB60" s="4" t="str">
        <f t="shared" si="12"/>
        <v/>
      </c>
      <c r="AC60" s="5" t="str">
        <f t="shared" si="12"/>
        <v/>
      </c>
      <c r="AD60" s="3" t="str">
        <f t="shared" si="16"/>
        <v/>
      </c>
      <c r="AE60" s="4" t="str">
        <f t="shared" si="16"/>
        <v/>
      </c>
      <c r="AF60" s="4" t="str">
        <f t="shared" si="16"/>
        <v/>
      </c>
      <c r="AG60" s="4" t="str">
        <f t="shared" si="16"/>
        <v/>
      </c>
      <c r="AH60" s="4" t="str">
        <f t="shared" si="16"/>
        <v/>
      </c>
      <c r="AI60" s="4" t="str">
        <f t="shared" si="16"/>
        <v/>
      </c>
      <c r="AJ60" s="4" t="str">
        <f t="shared" si="16"/>
        <v/>
      </c>
      <c r="AK60" s="4">
        <f t="shared" si="16"/>
        <v>1</v>
      </c>
      <c r="AL60" s="4" t="str">
        <f t="shared" si="13"/>
        <v/>
      </c>
      <c r="AM60" s="4" t="str">
        <f t="shared" si="13"/>
        <v/>
      </c>
      <c r="AN60" s="4" t="str">
        <f t="shared" si="13"/>
        <v/>
      </c>
      <c r="AO60" s="4" t="str">
        <f t="shared" si="13"/>
        <v/>
      </c>
      <c r="AP60" s="4" t="str">
        <f t="shared" si="13"/>
        <v/>
      </c>
      <c r="AQ60" s="4" t="str">
        <f t="shared" si="13"/>
        <v/>
      </c>
      <c r="AR60" s="4" t="str">
        <f t="shared" si="13"/>
        <v/>
      </c>
      <c r="AS60" s="5" t="str">
        <f t="shared" si="13"/>
        <v/>
      </c>
      <c r="AT60" s="3" t="str">
        <f t="shared" si="17"/>
        <v/>
      </c>
      <c r="AU60" s="4" t="str">
        <f t="shared" si="17"/>
        <v/>
      </c>
      <c r="AV60" s="4" t="str">
        <f t="shared" si="17"/>
        <v/>
      </c>
      <c r="AW60" s="4" t="str">
        <f t="shared" si="17"/>
        <v/>
      </c>
      <c r="AX60" s="4" t="str">
        <f t="shared" si="17"/>
        <v/>
      </c>
      <c r="AY60" s="4" t="str">
        <f t="shared" si="17"/>
        <v/>
      </c>
      <c r="AZ60" s="4" t="str">
        <f t="shared" si="17"/>
        <v/>
      </c>
      <c r="BA60" s="4" t="str">
        <f t="shared" si="17"/>
        <v/>
      </c>
      <c r="BB60" s="4" t="str">
        <f t="shared" si="14"/>
        <v/>
      </c>
      <c r="BC60" s="4" t="str">
        <f t="shared" si="14"/>
        <v/>
      </c>
      <c r="BD60" s="4" t="str">
        <f t="shared" si="14"/>
        <v/>
      </c>
      <c r="BE60" s="4" t="str">
        <f t="shared" si="14"/>
        <v/>
      </c>
      <c r="BF60" s="4" t="str">
        <f t="shared" si="14"/>
        <v/>
      </c>
      <c r="BG60" s="4" t="str">
        <f t="shared" si="14"/>
        <v/>
      </c>
      <c r="BH60" s="4" t="str">
        <f t="shared" si="14"/>
        <v/>
      </c>
      <c r="BI60" s="5" t="str">
        <f t="shared" si="14"/>
        <v/>
      </c>
    </row>
    <row r="61" spans="1:61" x14ac:dyDescent="0.25">
      <c r="A61">
        <v>392089</v>
      </c>
      <c r="B61" t="s">
        <v>15</v>
      </c>
      <c r="C61" t="s">
        <v>16</v>
      </c>
      <c r="D61">
        <v>378</v>
      </c>
      <c r="E61">
        <v>3627</v>
      </c>
      <c r="F61">
        <v>93</v>
      </c>
      <c r="G61">
        <v>20122</v>
      </c>
      <c r="H61" t="s">
        <v>0</v>
      </c>
      <c r="I61">
        <v>218686</v>
      </c>
      <c r="J61">
        <v>7315</v>
      </c>
      <c r="K61">
        <v>534995.54</v>
      </c>
      <c r="L61">
        <v>531941.30000000005</v>
      </c>
      <c r="M61">
        <v>3054.24</v>
      </c>
      <c r="N61" s="3" t="str">
        <f t="shared" si="15"/>
        <v/>
      </c>
      <c r="O61" s="4" t="str">
        <f t="shared" si="15"/>
        <v/>
      </c>
      <c r="P61" s="4" t="str">
        <f t="shared" si="15"/>
        <v/>
      </c>
      <c r="Q61" s="4" t="str">
        <f t="shared" si="15"/>
        <v/>
      </c>
      <c r="R61" s="4" t="str">
        <f t="shared" si="15"/>
        <v/>
      </c>
      <c r="S61" s="4" t="str">
        <f t="shared" si="15"/>
        <v/>
      </c>
      <c r="T61" s="4" t="str">
        <f t="shared" si="15"/>
        <v/>
      </c>
      <c r="U61" s="4" t="str">
        <f t="shared" si="15"/>
        <v/>
      </c>
      <c r="V61" s="4" t="str">
        <f t="shared" si="12"/>
        <v/>
      </c>
      <c r="W61" s="4" t="str">
        <f t="shared" si="12"/>
        <v/>
      </c>
      <c r="X61" s="4" t="str">
        <f t="shared" si="12"/>
        <v/>
      </c>
      <c r="Y61" s="4" t="str">
        <f t="shared" si="12"/>
        <v/>
      </c>
      <c r="Z61" s="4" t="str">
        <f t="shared" si="12"/>
        <v/>
      </c>
      <c r="AA61" s="4" t="str">
        <f t="shared" si="12"/>
        <v/>
      </c>
      <c r="AB61" s="4" t="str">
        <f t="shared" si="12"/>
        <v/>
      </c>
      <c r="AC61" s="5" t="str">
        <f t="shared" si="12"/>
        <v/>
      </c>
      <c r="AD61" s="3" t="str">
        <f t="shared" si="16"/>
        <v/>
      </c>
      <c r="AE61" s="4" t="str">
        <f t="shared" si="16"/>
        <v/>
      </c>
      <c r="AF61" s="4" t="str">
        <f t="shared" si="16"/>
        <v/>
      </c>
      <c r="AG61" s="4" t="str">
        <f t="shared" si="16"/>
        <v/>
      </c>
      <c r="AH61" s="4" t="str">
        <f t="shared" si="16"/>
        <v/>
      </c>
      <c r="AI61" s="4">
        <f t="shared" si="16"/>
        <v>1</v>
      </c>
      <c r="AJ61" s="4" t="str">
        <f t="shared" si="16"/>
        <v/>
      </c>
      <c r="AK61" s="4" t="str">
        <f t="shared" si="16"/>
        <v/>
      </c>
      <c r="AL61" s="4" t="str">
        <f t="shared" si="13"/>
        <v/>
      </c>
      <c r="AM61" s="4" t="str">
        <f t="shared" si="13"/>
        <v/>
      </c>
      <c r="AN61" s="4" t="str">
        <f t="shared" si="13"/>
        <v/>
      </c>
      <c r="AO61" s="4" t="str">
        <f t="shared" si="13"/>
        <v/>
      </c>
      <c r="AP61" s="4" t="str">
        <f t="shared" si="13"/>
        <v/>
      </c>
      <c r="AQ61" s="4" t="str">
        <f t="shared" si="13"/>
        <v/>
      </c>
      <c r="AR61" s="4" t="str">
        <f t="shared" si="13"/>
        <v/>
      </c>
      <c r="AS61" s="5" t="str">
        <f t="shared" si="13"/>
        <v/>
      </c>
      <c r="AT61" s="3" t="str">
        <f t="shared" si="17"/>
        <v/>
      </c>
      <c r="AU61" s="4" t="str">
        <f t="shared" si="17"/>
        <v/>
      </c>
      <c r="AV61" s="4" t="str">
        <f t="shared" si="17"/>
        <v/>
      </c>
      <c r="AW61" s="4" t="str">
        <f t="shared" si="17"/>
        <v/>
      </c>
      <c r="AX61" s="4" t="str">
        <f t="shared" si="17"/>
        <v/>
      </c>
      <c r="AY61" s="4" t="str">
        <f t="shared" si="17"/>
        <v/>
      </c>
      <c r="AZ61" s="4" t="str">
        <f t="shared" si="17"/>
        <v/>
      </c>
      <c r="BA61" s="4" t="str">
        <f t="shared" si="17"/>
        <v/>
      </c>
      <c r="BB61" s="4" t="str">
        <f t="shared" si="14"/>
        <v/>
      </c>
      <c r="BC61" s="4" t="str">
        <f t="shared" si="14"/>
        <v/>
      </c>
      <c r="BD61" s="4" t="str">
        <f t="shared" si="14"/>
        <v/>
      </c>
      <c r="BE61" s="4" t="str">
        <f t="shared" si="14"/>
        <v/>
      </c>
      <c r="BF61" s="4" t="str">
        <f t="shared" si="14"/>
        <v/>
      </c>
      <c r="BG61" s="4" t="str">
        <f t="shared" si="14"/>
        <v/>
      </c>
      <c r="BH61" s="4" t="str">
        <f t="shared" si="14"/>
        <v/>
      </c>
      <c r="BI61" s="5" t="str">
        <f t="shared" si="14"/>
        <v/>
      </c>
    </row>
    <row r="62" spans="1:61" x14ac:dyDescent="0.25">
      <c r="A62">
        <v>392090</v>
      </c>
      <c r="B62" t="s">
        <v>15</v>
      </c>
      <c r="C62" t="s">
        <v>16</v>
      </c>
      <c r="D62">
        <v>378</v>
      </c>
      <c r="E62">
        <v>3627</v>
      </c>
      <c r="F62">
        <v>93</v>
      </c>
      <c r="G62">
        <v>20123</v>
      </c>
      <c r="H62" t="s">
        <v>0</v>
      </c>
      <c r="I62">
        <v>532852</v>
      </c>
      <c r="J62">
        <v>17776</v>
      </c>
      <c r="K62">
        <v>685909.74</v>
      </c>
      <c r="L62">
        <v>684770.82</v>
      </c>
      <c r="M62">
        <v>1138.92</v>
      </c>
      <c r="N62" s="3" t="str">
        <f t="shared" si="15"/>
        <v/>
      </c>
      <c r="O62" s="4" t="str">
        <f t="shared" si="15"/>
        <v/>
      </c>
      <c r="P62" s="4" t="str">
        <f t="shared" si="15"/>
        <v/>
      </c>
      <c r="Q62" s="4" t="str">
        <f t="shared" si="15"/>
        <v/>
      </c>
      <c r="R62" s="4" t="str">
        <f t="shared" si="15"/>
        <v/>
      </c>
      <c r="S62" s="4" t="str">
        <f t="shared" si="15"/>
        <v/>
      </c>
      <c r="T62" s="4" t="str">
        <f t="shared" si="15"/>
        <v/>
      </c>
      <c r="U62" s="4" t="str">
        <f t="shared" si="15"/>
        <v/>
      </c>
      <c r="V62" s="4" t="str">
        <f t="shared" si="12"/>
        <v/>
      </c>
      <c r="W62" s="4" t="str">
        <f t="shared" si="12"/>
        <v/>
      </c>
      <c r="X62" s="4" t="str">
        <f t="shared" si="12"/>
        <v/>
      </c>
      <c r="Y62" s="4" t="str">
        <f t="shared" si="12"/>
        <v/>
      </c>
      <c r="Z62" s="4" t="str">
        <f t="shared" si="12"/>
        <v/>
      </c>
      <c r="AA62" s="4" t="str">
        <f t="shared" si="12"/>
        <v/>
      </c>
      <c r="AB62" s="4" t="str">
        <f t="shared" si="12"/>
        <v/>
      </c>
      <c r="AC62" s="5" t="str">
        <f t="shared" si="12"/>
        <v/>
      </c>
      <c r="AD62" s="3" t="str">
        <f t="shared" si="16"/>
        <v/>
      </c>
      <c r="AE62" s="4" t="str">
        <f t="shared" si="16"/>
        <v/>
      </c>
      <c r="AF62" s="4" t="str">
        <f t="shared" si="16"/>
        <v/>
      </c>
      <c r="AG62" s="4" t="str">
        <f t="shared" si="16"/>
        <v/>
      </c>
      <c r="AH62" s="4" t="str">
        <f t="shared" si="16"/>
        <v/>
      </c>
      <c r="AI62" s="4" t="str">
        <f t="shared" si="16"/>
        <v/>
      </c>
      <c r="AJ62" s="4">
        <f t="shared" si="16"/>
        <v>1</v>
      </c>
      <c r="AK62" s="4" t="str">
        <f t="shared" si="16"/>
        <v/>
      </c>
      <c r="AL62" s="4" t="str">
        <f t="shared" si="13"/>
        <v/>
      </c>
      <c r="AM62" s="4" t="str">
        <f t="shared" si="13"/>
        <v/>
      </c>
      <c r="AN62" s="4" t="str">
        <f t="shared" si="13"/>
        <v/>
      </c>
      <c r="AO62" s="4" t="str">
        <f t="shared" si="13"/>
        <v/>
      </c>
      <c r="AP62" s="4" t="str">
        <f t="shared" si="13"/>
        <v/>
      </c>
      <c r="AQ62" s="4" t="str">
        <f t="shared" si="13"/>
        <v/>
      </c>
      <c r="AR62" s="4" t="str">
        <f t="shared" si="13"/>
        <v/>
      </c>
      <c r="AS62" s="5" t="str">
        <f t="shared" si="13"/>
        <v/>
      </c>
      <c r="AT62" s="3" t="str">
        <f t="shared" si="17"/>
        <v/>
      </c>
      <c r="AU62" s="4" t="str">
        <f t="shared" si="17"/>
        <v/>
      </c>
      <c r="AV62" s="4" t="str">
        <f t="shared" si="17"/>
        <v/>
      </c>
      <c r="AW62" s="4" t="str">
        <f t="shared" si="17"/>
        <v/>
      </c>
      <c r="AX62" s="4" t="str">
        <f t="shared" si="17"/>
        <v/>
      </c>
      <c r="AY62" s="4" t="str">
        <f t="shared" si="17"/>
        <v/>
      </c>
      <c r="AZ62" s="4" t="str">
        <f t="shared" si="17"/>
        <v/>
      </c>
      <c r="BA62" s="4" t="str">
        <f t="shared" si="17"/>
        <v/>
      </c>
      <c r="BB62" s="4" t="str">
        <f t="shared" si="14"/>
        <v/>
      </c>
      <c r="BC62" s="4" t="str">
        <f t="shared" si="14"/>
        <v/>
      </c>
      <c r="BD62" s="4" t="str">
        <f t="shared" si="14"/>
        <v/>
      </c>
      <c r="BE62" s="4" t="str">
        <f t="shared" si="14"/>
        <v/>
      </c>
      <c r="BF62" s="4" t="str">
        <f t="shared" si="14"/>
        <v/>
      </c>
      <c r="BG62" s="4" t="str">
        <f t="shared" si="14"/>
        <v/>
      </c>
      <c r="BH62" s="4" t="str">
        <f t="shared" si="14"/>
        <v/>
      </c>
      <c r="BI62" s="5" t="str">
        <f t="shared" si="14"/>
        <v/>
      </c>
    </row>
    <row r="63" spans="1:61" x14ac:dyDescent="0.25">
      <c r="A63">
        <v>392091</v>
      </c>
      <c r="B63" t="s">
        <v>15</v>
      </c>
      <c r="C63" t="s">
        <v>16</v>
      </c>
      <c r="D63">
        <v>378</v>
      </c>
      <c r="E63">
        <v>3627</v>
      </c>
      <c r="F63">
        <v>93</v>
      </c>
      <c r="G63">
        <v>20124</v>
      </c>
      <c r="H63" t="s">
        <v>0</v>
      </c>
      <c r="I63">
        <v>505715</v>
      </c>
      <c r="J63">
        <v>16834</v>
      </c>
      <c r="K63">
        <v>635993.66</v>
      </c>
      <c r="L63">
        <v>635331.53</v>
      </c>
      <c r="M63">
        <v>662.13</v>
      </c>
      <c r="N63" s="3" t="str">
        <f t="shared" si="15"/>
        <v/>
      </c>
      <c r="O63" s="4" t="str">
        <f t="shared" si="15"/>
        <v/>
      </c>
      <c r="P63" s="4" t="str">
        <f t="shared" si="15"/>
        <v/>
      </c>
      <c r="Q63" s="4" t="str">
        <f t="shared" si="15"/>
        <v/>
      </c>
      <c r="R63" s="4" t="str">
        <f t="shared" si="15"/>
        <v/>
      </c>
      <c r="S63" s="4" t="str">
        <f t="shared" si="15"/>
        <v/>
      </c>
      <c r="T63" s="4" t="str">
        <f t="shared" si="15"/>
        <v/>
      </c>
      <c r="U63" s="4" t="str">
        <f t="shared" si="15"/>
        <v/>
      </c>
      <c r="V63" s="4" t="str">
        <f t="shared" si="12"/>
        <v/>
      </c>
      <c r="W63" s="4" t="str">
        <f t="shared" si="12"/>
        <v/>
      </c>
      <c r="X63" s="4" t="str">
        <f t="shared" si="12"/>
        <v/>
      </c>
      <c r="Y63" s="4" t="str">
        <f t="shared" si="12"/>
        <v/>
      </c>
      <c r="Z63" s="4" t="str">
        <f t="shared" si="12"/>
        <v/>
      </c>
      <c r="AA63" s="4" t="str">
        <f t="shared" si="12"/>
        <v/>
      </c>
      <c r="AB63" s="4" t="str">
        <f t="shared" si="12"/>
        <v/>
      </c>
      <c r="AC63" s="5" t="str">
        <f t="shared" si="12"/>
        <v/>
      </c>
      <c r="AD63" s="3" t="str">
        <f t="shared" si="16"/>
        <v/>
      </c>
      <c r="AE63" s="4" t="str">
        <f t="shared" si="16"/>
        <v/>
      </c>
      <c r="AF63" s="4" t="str">
        <f t="shared" si="16"/>
        <v/>
      </c>
      <c r="AG63" s="4" t="str">
        <f t="shared" si="16"/>
        <v/>
      </c>
      <c r="AH63" s="4" t="str">
        <f t="shared" si="16"/>
        <v/>
      </c>
      <c r="AI63" s="4" t="str">
        <f t="shared" si="16"/>
        <v/>
      </c>
      <c r="AJ63" s="4" t="str">
        <f t="shared" si="16"/>
        <v/>
      </c>
      <c r="AK63" s="4">
        <f t="shared" si="16"/>
        <v>1</v>
      </c>
      <c r="AL63" s="4" t="str">
        <f t="shared" si="13"/>
        <v/>
      </c>
      <c r="AM63" s="4" t="str">
        <f t="shared" si="13"/>
        <v/>
      </c>
      <c r="AN63" s="4" t="str">
        <f t="shared" si="13"/>
        <v/>
      </c>
      <c r="AO63" s="4" t="str">
        <f t="shared" si="13"/>
        <v/>
      </c>
      <c r="AP63" s="4" t="str">
        <f t="shared" si="13"/>
        <v/>
      </c>
      <c r="AQ63" s="4" t="str">
        <f t="shared" si="13"/>
        <v/>
      </c>
      <c r="AR63" s="4" t="str">
        <f t="shared" si="13"/>
        <v/>
      </c>
      <c r="AS63" s="5" t="str">
        <f t="shared" si="13"/>
        <v/>
      </c>
      <c r="AT63" s="3" t="str">
        <f t="shared" si="17"/>
        <v/>
      </c>
      <c r="AU63" s="4" t="str">
        <f t="shared" si="17"/>
        <v/>
      </c>
      <c r="AV63" s="4" t="str">
        <f t="shared" si="17"/>
        <v/>
      </c>
      <c r="AW63" s="4" t="str">
        <f t="shared" si="17"/>
        <v/>
      </c>
      <c r="AX63" s="4" t="str">
        <f t="shared" si="17"/>
        <v/>
      </c>
      <c r="AY63" s="4" t="str">
        <f t="shared" si="17"/>
        <v/>
      </c>
      <c r="AZ63" s="4" t="str">
        <f t="shared" si="17"/>
        <v/>
      </c>
      <c r="BA63" s="4" t="str">
        <f t="shared" si="17"/>
        <v/>
      </c>
      <c r="BB63" s="4" t="str">
        <f t="shared" si="14"/>
        <v/>
      </c>
      <c r="BC63" s="4" t="str">
        <f t="shared" si="14"/>
        <v/>
      </c>
      <c r="BD63" s="4" t="str">
        <f t="shared" si="14"/>
        <v/>
      </c>
      <c r="BE63" s="4" t="str">
        <f t="shared" si="14"/>
        <v/>
      </c>
      <c r="BF63" s="4" t="str">
        <f t="shared" si="14"/>
        <v/>
      </c>
      <c r="BG63" s="4" t="str">
        <f t="shared" si="14"/>
        <v/>
      </c>
      <c r="BH63" s="4" t="str">
        <f t="shared" si="14"/>
        <v/>
      </c>
      <c r="BI63" s="5" t="str">
        <f t="shared" si="14"/>
        <v/>
      </c>
    </row>
    <row r="64" spans="1:61" x14ac:dyDescent="0.25">
      <c r="A64">
        <v>512307</v>
      </c>
      <c r="B64" t="s">
        <v>14</v>
      </c>
      <c r="C64" t="s">
        <v>16</v>
      </c>
      <c r="D64">
        <v>378</v>
      </c>
      <c r="E64">
        <v>3627</v>
      </c>
      <c r="F64">
        <v>5</v>
      </c>
      <c r="G64">
        <v>20131</v>
      </c>
      <c r="H64" t="s">
        <v>0</v>
      </c>
      <c r="I64">
        <v>195994.00099999999</v>
      </c>
      <c r="J64">
        <v>6599</v>
      </c>
      <c r="K64">
        <v>101279.75</v>
      </c>
      <c r="L64">
        <v>96025.05</v>
      </c>
      <c r="M64">
        <v>5254.7</v>
      </c>
      <c r="N64" s="3" t="str">
        <f t="shared" si="15"/>
        <v/>
      </c>
      <c r="O64" s="4" t="str">
        <f t="shared" si="15"/>
        <v/>
      </c>
      <c r="P64" s="4" t="str">
        <f t="shared" si="15"/>
        <v/>
      </c>
      <c r="Q64" s="4" t="str">
        <f t="shared" si="15"/>
        <v/>
      </c>
      <c r="R64" s="4" t="str">
        <f t="shared" si="15"/>
        <v/>
      </c>
      <c r="S64" s="4" t="str">
        <f t="shared" si="15"/>
        <v/>
      </c>
      <c r="T64" s="4" t="str">
        <f t="shared" si="15"/>
        <v/>
      </c>
      <c r="U64" s="4" t="str">
        <f t="shared" si="15"/>
        <v/>
      </c>
      <c r="V64" s="4" t="str">
        <f t="shared" si="12"/>
        <v/>
      </c>
      <c r="W64" s="4" t="str">
        <f t="shared" si="12"/>
        <v/>
      </c>
      <c r="X64" s="4" t="str">
        <f t="shared" si="12"/>
        <v/>
      </c>
      <c r="Y64" s="4" t="str">
        <f t="shared" si="12"/>
        <v/>
      </c>
      <c r="Z64" s="4" t="str">
        <f t="shared" si="12"/>
        <v/>
      </c>
      <c r="AA64" s="4" t="str">
        <f t="shared" si="12"/>
        <v/>
      </c>
      <c r="AB64" s="4" t="str">
        <f t="shared" si="12"/>
        <v/>
      </c>
      <c r="AC64" s="5" t="str">
        <f t="shared" si="12"/>
        <v/>
      </c>
      <c r="AD64" s="3" t="str">
        <f t="shared" si="16"/>
        <v/>
      </c>
      <c r="AE64" s="4" t="str">
        <f t="shared" si="16"/>
        <v/>
      </c>
      <c r="AF64" s="4" t="str">
        <f t="shared" si="16"/>
        <v/>
      </c>
      <c r="AG64" s="4" t="str">
        <f t="shared" si="16"/>
        <v/>
      </c>
      <c r="AH64" s="4" t="str">
        <f t="shared" si="16"/>
        <v/>
      </c>
      <c r="AI64" s="4" t="str">
        <f t="shared" si="16"/>
        <v/>
      </c>
      <c r="AJ64" s="4" t="str">
        <f t="shared" si="16"/>
        <v/>
      </c>
      <c r="AK64" s="4" t="str">
        <f t="shared" si="16"/>
        <v/>
      </c>
      <c r="AL64" s="4" t="str">
        <f t="shared" si="13"/>
        <v/>
      </c>
      <c r="AM64" s="4" t="str">
        <f t="shared" si="13"/>
        <v/>
      </c>
      <c r="AN64" s="4" t="str">
        <f t="shared" si="13"/>
        <v/>
      </c>
      <c r="AO64" s="4" t="str">
        <f t="shared" si="13"/>
        <v/>
      </c>
      <c r="AP64" s="4" t="str">
        <f t="shared" si="13"/>
        <v/>
      </c>
      <c r="AQ64" s="4" t="str">
        <f t="shared" si="13"/>
        <v/>
      </c>
      <c r="AR64" s="4" t="str">
        <f t="shared" si="13"/>
        <v/>
      </c>
      <c r="AS64" s="5" t="str">
        <f t="shared" si="13"/>
        <v/>
      </c>
      <c r="AT64" s="3">
        <f t="shared" si="17"/>
        <v>1</v>
      </c>
      <c r="AU64" s="4" t="str">
        <f t="shared" si="17"/>
        <v/>
      </c>
      <c r="AV64" s="4" t="str">
        <f t="shared" si="17"/>
        <v/>
      </c>
      <c r="AW64" s="4" t="str">
        <f t="shared" si="17"/>
        <v/>
      </c>
      <c r="AX64" s="4" t="str">
        <f t="shared" si="17"/>
        <v/>
      </c>
      <c r="AY64" s="4" t="str">
        <f t="shared" si="17"/>
        <v/>
      </c>
      <c r="AZ64" s="4" t="str">
        <f t="shared" si="17"/>
        <v/>
      </c>
      <c r="BA64" s="4" t="str">
        <f t="shared" si="17"/>
        <v/>
      </c>
      <c r="BB64" s="4" t="str">
        <f t="shared" si="14"/>
        <v/>
      </c>
      <c r="BC64" s="4" t="str">
        <f t="shared" si="14"/>
        <v/>
      </c>
      <c r="BD64" s="4" t="str">
        <f t="shared" si="14"/>
        <v/>
      </c>
      <c r="BE64" s="4" t="str">
        <f t="shared" si="14"/>
        <v/>
      </c>
      <c r="BF64" s="4" t="str">
        <f t="shared" si="14"/>
        <v/>
      </c>
      <c r="BG64" s="4" t="str">
        <f t="shared" si="14"/>
        <v/>
      </c>
      <c r="BH64" s="4" t="str">
        <f t="shared" si="14"/>
        <v/>
      </c>
      <c r="BI64" s="5" t="str">
        <f t="shared" si="14"/>
        <v/>
      </c>
    </row>
    <row r="65" spans="1:61" x14ac:dyDescent="0.25">
      <c r="A65">
        <v>512308</v>
      </c>
      <c r="B65" t="s">
        <v>14</v>
      </c>
      <c r="C65" t="s">
        <v>16</v>
      </c>
      <c r="D65">
        <v>378</v>
      </c>
      <c r="E65">
        <v>3627</v>
      </c>
      <c r="F65">
        <v>5</v>
      </c>
      <c r="G65">
        <v>20132</v>
      </c>
      <c r="H65" t="s">
        <v>0</v>
      </c>
      <c r="I65">
        <v>209227</v>
      </c>
      <c r="J65">
        <v>7108</v>
      </c>
      <c r="K65">
        <v>101361.01</v>
      </c>
      <c r="L65">
        <v>96842.5</v>
      </c>
      <c r="M65">
        <v>4518.51</v>
      </c>
      <c r="N65" s="3" t="str">
        <f t="shared" si="15"/>
        <v/>
      </c>
      <c r="O65" s="4" t="str">
        <f t="shared" si="15"/>
        <v/>
      </c>
      <c r="P65" s="4" t="str">
        <f t="shared" si="15"/>
        <v/>
      </c>
      <c r="Q65" s="4" t="str">
        <f t="shared" si="15"/>
        <v/>
      </c>
      <c r="R65" s="4" t="str">
        <f t="shared" si="15"/>
        <v/>
      </c>
      <c r="S65" s="4" t="str">
        <f t="shared" si="15"/>
        <v/>
      </c>
      <c r="T65" s="4" t="str">
        <f t="shared" si="15"/>
        <v/>
      </c>
      <c r="U65" s="4" t="str">
        <f t="shared" si="15"/>
        <v/>
      </c>
      <c r="V65" s="4" t="str">
        <f t="shared" si="12"/>
        <v/>
      </c>
      <c r="W65" s="4" t="str">
        <f t="shared" si="12"/>
        <v/>
      </c>
      <c r="X65" s="4" t="str">
        <f t="shared" si="12"/>
        <v/>
      </c>
      <c r="Y65" s="4" t="str">
        <f t="shared" si="12"/>
        <v/>
      </c>
      <c r="Z65" s="4" t="str">
        <f t="shared" si="12"/>
        <v/>
      </c>
      <c r="AA65" s="4" t="str">
        <f t="shared" si="12"/>
        <v/>
      </c>
      <c r="AB65" s="4" t="str">
        <f t="shared" si="12"/>
        <v/>
      </c>
      <c r="AC65" s="5" t="str">
        <f t="shared" si="12"/>
        <v/>
      </c>
      <c r="AD65" s="3" t="str">
        <f t="shared" si="16"/>
        <v/>
      </c>
      <c r="AE65" s="4" t="str">
        <f t="shared" si="16"/>
        <v/>
      </c>
      <c r="AF65" s="4" t="str">
        <f t="shared" si="16"/>
        <v/>
      </c>
      <c r="AG65" s="4" t="str">
        <f t="shared" si="16"/>
        <v/>
      </c>
      <c r="AH65" s="4" t="str">
        <f t="shared" si="16"/>
        <v/>
      </c>
      <c r="AI65" s="4" t="str">
        <f t="shared" si="16"/>
        <v/>
      </c>
      <c r="AJ65" s="4" t="str">
        <f t="shared" si="16"/>
        <v/>
      </c>
      <c r="AK65" s="4" t="str">
        <f t="shared" si="16"/>
        <v/>
      </c>
      <c r="AL65" s="4" t="str">
        <f t="shared" si="13"/>
        <v/>
      </c>
      <c r="AM65" s="4" t="str">
        <f t="shared" si="13"/>
        <v/>
      </c>
      <c r="AN65" s="4" t="str">
        <f t="shared" si="13"/>
        <v/>
      </c>
      <c r="AO65" s="4" t="str">
        <f t="shared" si="13"/>
        <v/>
      </c>
      <c r="AP65" s="4" t="str">
        <f t="shared" si="13"/>
        <v/>
      </c>
      <c r="AQ65" s="4" t="str">
        <f t="shared" si="13"/>
        <v/>
      </c>
      <c r="AR65" s="4" t="str">
        <f t="shared" si="13"/>
        <v/>
      </c>
      <c r="AS65" s="5" t="str">
        <f t="shared" si="13"/>
        <v/>
      </c>
      <c r="AT65" s="3" t="str">
        <f t="shared" si="17"/>
        <v/>
      </c>
      <c r="AU65" s="4">
        <f t="shared" si="17"/>
        <v>1</v>
      </c>
      <c r="AV65" s="4" t="str">
        <f t="shared" si="17"/>
        <v/>
      </c>
      <c r="AW65" s="4" t="str">
        <f t="shared" si="17"/>
        <v/>
      </c>
      <c r="AX65" s="4" t="str">
        <f t="shared" si="17"/>
        <v/>
      </c>
      <c r="AY65" s="4" t="str">
        <f t="shared" si="17"/>
        <v/>
      </c>
      <c r="AZ65" s="4" t="str">
        <f t="shared" si="17"/>
        <v/>
      </c>
      <c r="BA65" s="4" t="str">
        <f t="shared" si="17"/>
        <v/>
      </c>
      <c r="BB65" s="4" t="str">
        <f t="shared" si="14"/>
        <v/>
      </c>
      <c r="BC65" s="4" t="str">
        <f t="shared" si="14"/>
        <v/>
      </c>
      <c r="BD65" s="4" t="str">
        <f t="shared" si="14"/>
        <v/>
      </c>
      <c r="BE65" s="4" t="str">
        <f t="shared" si="14"/>
        <v/>
      </c>
      <c r="BF65" s="4" t="str">
        <f t="shared" si="14"/>
        <v/>
      </c>
      <c r="BG65" s="4" t="str">
        <f t="shared" si="14"/>
        <v/>
      </c>
      <c r="BH65" s="4" t="str">
        <f t="shared" si="14"/>
        <v/>
      </c>
      <c r="BI65" s="5" t="str">
        <f t="shared" si="14"/>
        <v/>
      </c>
    </row>
    <row r="66" spans="1:61" x14ac:dyDescent="0.25">
      <c r="A66">
        <v>512309</v>
      </c>
      <c r="B66" t="s">
        <v>14</v>
      </c>
      <c r="C66" t="s">
        <v>16</v>
      </c>
      <c r="D66">
        <v>378</v>
      </c>
      <c r="E66">
        <v>3627</v>
      </c>
      <c r="F66">
        <v>5</v>
      </c>
      <c r="G66">
        <v>20133</v>
      </c>
      <c r="H66" t="s">
        <v>0</v>
      </c>
      <c r="I66">
        <v>229937</v>
      </c>
      <c r="J66">
        <v>7781</v>
      </c>
      <c r="K66">
        <v>106339.14</v>
      </c>
      <c r="L66">
        <v>101249.66</v>
      </c>
      <c r="M66">
        <v>5089.4799999999996</v>
      </c>
      <c r="N66" s="3" t="str">
        <f t="shared" si="15"/>
        <v/>
      </c>
      <c r="O66" s="4" t="str">
        <f t="shared" si="15"/>
        <v/>
      </c>
      <c r="P66" s="4" t="str">
        <f t="shared" si="15"/>
        <v/>
      </c>
      <c r="Q66" s="4" t="str">
        <f t="shared" si="15"/>
        <v/>
      </c>
      <c r="R66" s="4" t="str">
        <f t="shared" si="15"/>
        <v/>
      </c>
      <c r="S66" s="4" t="str">
        <f t="shared" si="15"/>
        <v/>
      </c>
      <c r="T66" s="4" t="str">
        <f t="shared" si="15"/>
        <v/>
      </c>
      <c r="U66" s="4" t="str">
        <f t="shared" si="15"/>
        <v/>
      </c>
      <c r="V66" s="4" t="str">
        <f t="shared" si="12"/>
        <v/>
      </c>
      <c r="W66" s="4" t="str">
        <f t="shared" si="12"/>
        <v/>
      </c>
      <c r="X66" s="4" t="str">
        <f t="shared" si="12"/>
        <v/>
      </c>
      <c r="Y66" s="4" t="str">
        <f t="shared" si="12"/>
        <v/>
      </c>
      <c r="Z66" s="4" t="str">
        <f t="shared" si="12"/>
        <v/>
      </c>
      <c r="AA66" s="4" t="str">
        <f t="shared" si="12"/>
        <v/>
      </c>
      <c r="AB66" s="4" t="str">
        <f t="shared" si="12"/>
        <v/>
      </c>
      <c r="AC66" s="5" t="str">
        <f t="shared" si="12"/>
        <v/>
      </c>
      <c r="AD66" s="3" t="str">
        <f t="shared" si="16"/>
        <v/>
      </c>
      <c r="AE66" s="4" t="str">
        <f t="shared" si="16"/>
        <v/>
      </c>
      <c r="AF66" s="4" t="str">
        <f t="shared" si="16"/>
        <v/>
      </c>
      <c r="AG66" s="4" t="str">
        <f t="shared" si="16"/>
        <v/>
      </c>
      <c r="AH66" s="4" t="str">
        <f t="shared" si="16"/>
        <v/>
      </c>
      <c r="AI66" s="4" t="str">
        <f t="shared" si="16"/>
        <v/>
      </c>
      <c r="AJ66" s="4" t="str">
        <f t="shared" si="16"/>
        <v/>
      </c>
      <c r="AK66" s="4" t="str">
        <f t="shared" si="16"/>
        <v/>
      </c>
      <c r="AL66" s="4" t="str">
        <f t="shared" si="13"/>
        <v/>
      </c>
      <c r="AM66" s="4" t="str">
        <f t="shared" si="13"/>
        <v/>
      </c>
      <c r="AN66" s="4" t="str">
        <f t="shared" si="13"/>
        <v/>
      </c>
      <c r="AO66" s="4" t="str">
        <f t="shared" si="13"/>
        <v/>
      </c>
      <c r="AP66" s="4" t="str">
        <f t="shared" si="13"/>
        <v/>
      </c>
      <c r="AQ66" s="4" t="str">
        <f t="shared" si="13"/>
        <v/>
      </c>
      <c r="AR66" s="4" t="str">
        <f t="shared" si="13"/>
        <v/>
      </c>
      <c r="AS66" s="5" t="str">
        <f t="shared" si="13"/>
        <v/>
      </c>
      <c r="AT66" s="3" t="str">
        <f t="shared" si="17"/>
        <v/>
      </c>
      <c r="AU66" s="4" t="str">
        <f t="shared" si="17"/>
        <v/>
      </c>
      <c r="AV66" s="4">
        <f t="shared" si="17"/>
        <v>1</v>
      </c>
      <c r="AW66" s="4" t="str">
        <f t="shared" si="17"/>
        <v/>
      </c>
      <c r="AX66" s="4" t="str">
        <f t="shared" si="17"/>
        <v/>
      </c>
      <c r="AY66" s="4" t="str">
        <f t="shared" si="17"/>
        <v/>
      </c>
      <c r="AZ66" s="4" t="str">
        <f t="shared" si="17"/>
        <v/>
      </c>
      <c r="BA66" s="4" t="str">
        <f t="shared" si="17"/>
        <v/>
      </c>
      <c r="BB66" s="4" t="str">
        <f t="shared" si="14"/>
        <v/>
      </c>
      <c r="BC66" s="4" t="str">
        <f t="shared" si="14"/>
        <v/>
      </c>
      <c r="BD66" s="4" t="str">
        <f t="shared" si="14"/>
        <v/>
      </c>
      <c r="BE66" s="4" t="str">
        <f t="shared" si="14"/>
        <v/>
      </c>
      <c r="BF66" s="4" t="str">
        <f t="shared" si="14"/>
        <v/>
      </c>
      <c r="BG66" s="4" t="str">
        <f t="shared" si="14"/>
        <v/>
      </c>
      <c r="BH66" s="4" t="str">
        <f t="shared" si="14"/>
        <v/>
      </c>
      <c r="BI66" s="5" t="str">
        <f t="shared" si="14"/>
        <v/>
      </c>
    </row>
    <row r="67" spans="1:61" x14ac:dyDescent="0.25">
      <c r="A67">
        <v>512310</v>
      </c>
      <c r="B67" t="s">
        <v>14</v>
      </c>
      <c r="C67" t="s">
        <v>16</v>
      </c>
      <c r="D67">
        <v>378</v>
      </c>
      <c r="E67">
        <v>3627</v>
      </c>
      <c r="F67">
        <v>5</v>
      </c>
      <c r="G67">
        <v>20134</v>
      </c>
      <c r="H67" t="s">
        <v>0</v>
      </c>
      <c r="I67">
        <v>246218</v>
      </c>
      <c r="J67">
        <v>8266</v>
      </c>
      <c r="K67">
        <v>113666.76</v>
      </c>
      <c r="L67">
        <v>108837.48</v>
      </c>
      <c r="M67">
        <v>4829.28</v>
      </c>
      <c r="N67" s="3" t="str">
        <f t="shared" si="15"/>
        <v/>
      </c>
      <c r="O67" s="4" t="str">
        <f t="shared" si="15"/>
        <v/>
      </c>
      <c r="P67" s="4" t="str">
        <f t="shared" si="15"/>
        <v/>
      </c>
      <c r="Q67" s="4" t="str">
        <f t="shared" si="15"/>
        <v/>
      </c>
      <c r="R67" s="4" t="str">
        <f t="shared" si="15"/>
        <v/>
      </c>
      <c r="S67" s="4" t="str">
        <f t="shared" si="15"/>
        <v/>
      </c>
      <c r="T67" s="4" t="str">
        <f t="shared" si="15"/>
        <v/>
      </c>
      <c r="U67" s="4" t="str">
        <f t="shared" si="15"/>
        <v/>
      </c>
      <c r="V67" s="4" t="str">
        <f t="shared" si="12"/>
        <v/>
      </c>
      <c r="W67" s="4" t="str">
        <f t="shared" si="12"/>
        <v/>
      </c>
      <c r="X67" s="4" t="str">
        <f t="shared" si="12"/>
        <v/>
      </c>
      <c r="Y67" s="4" t="str">
        <f t="shared" si="12"/>
        <v/>
      </c>
      <c r="Z67" s="4" t="str">
        <f t="shared" si="12"/>
        <v/>
      </c>
      <c r="AA67" s="4" t="str">
        <f t="shared" si="12"/>
        <v/>
      </c>
      <c r="AB67" s="4" t="str">
        <f t="shared" si="12"/>
        <v/>
      </c>
      <c r="AC67" s="5" t="str">
        <f t="shared" si="12"/>
        <v/>
      </c>
      <c r="AD67" s="3" t="str">
        <f t="shared" si="16"/>
        <v/>
      </c>
      <c r="AE67" s="4" t="str">
        <f t="shared" si="16"/>
        <v/>
      </c>
      <c r="AF67" s="4" t="str">
        <f t="shared" si="16"/>
        <v/>
      </c>
      <c r="AG67" s="4" t="str">
        <f t="shared" si="16"/>
        <v/>
      </c>
      <c r="AH67" s="4" t="str">
        <f t="shared" si="16"/>
        <v/>
      </c>
      <c r="AI67" s="4" t="str">
        <f t="shared" si="16"/>
        <v/>
      </c>
      <c r="AJ67" s="4" t="str">
        <f t="shared" si="16"/>
        <v/>
      </c>
      <c r="AK67" s="4" t="str">
        <f t="shared" si="16"/>
        <v/>
      </c>
      <c r="AL67" s="4" t="str">
        <f t="shared" si="13"/>
        <v/>
      </c>
      <c r="AM67" s="4" t="str">
        <f t="shared" si="13"/>
        <v/>
      </c>
      <c r="AN67" s="4" t="str">
        <f t="shared" si="13"/>
        <v/>
      </c>
      <c r="AO67" s="4" t="str">
        <f t="shared" si="13"/>
        <v/>
      </c>
      <c r="AP67" s="4" t="str">
        <f t="shared" si="13"/>
        <v/>
      </c>
      <c r="AQ67" s="4" t="str">
        <f t="shared" si="13"/>
        <v/>
      </c>
      <c r="AR67" s="4" t="str">
        <f t="shared" si="13"/>
        <v/>
      </c>
      <c r="AS67" s="5" t="str">
        <f t="shared" si="13"/>
        <v/>
      </c>
      <c r="AT67" s="3" t="str">
        <f t="shared" si="17"/>
        <v/>
      </c>
      <c r="AU67" s="4" t="str">
        <f t="shared" si="17"/>
        <v/>
      </c>
      <c r="AV67" s="4" t="str">
        <f t="shared" si="17"/>
        <v/>
      </c>
      <c r="AW67" s="4">
        <f t="shared" si="17"/>
        <v>1</v>
      </c>
      <c r="AX67" s="4" t="str">
        <f t="shared" si="17"/>
        <v/>
      </c>
      <c r="AY67" s="4" t="str">
        <f t="shared" si="17"/>
        <v/>
      </c>
      <c r="AZ67" s="4" t="str">
        <f t="shared" si="17"/>
        <v/>
      </c>
      <c r="BA67" s="4" t="str">
        <f t="shared" si="17"/>
        <v/>
      </c>
      <c r="BB67" s="4" t="str">
        <f t="shared" si="14"/>
        <v/>
      </c>
      <c r="BC67" s="4" t="str">
        <f t="shared" si="14"/>
        <v/>
      </c>
      <c r="BD67" s="4" t="str">
        <f t="shared" si="14"/>
        <v/>
      </c>
      <c r="BE67" s="4" t="str">
        <f t="shared" si="14"/>
        <v/>
      </c>
      <c r="BF67" s="4" t="str">
        <f t="shared" si="14"/>
        <v/>
      </c>
      <c r="BG67" s="4" t="str">
        <f t="shared" si="14"/>
        <v/>
      </c>
      <c r="BH67" s="4" t="str">
        <f t="shared" si="14"/>
        <v/>
      </c>
      <c r="BI67" s="5" t="str">
        <f t="shared" si="14"/>
        <v/>
      </c>
    </row>
    <row r="68" spans="1:61" x14ac:dyDescent="0.25">
      <c r="A68">
        <v>512311</v>
      </c>
      <c r="B68" t="s">
        <v>14</v>
      </c>
      <c r="C68" t="s">
        <v>16</v>
      </c>
      <c r="D68">
        <v>378</v>
      </c>
      <c r="E68">
        <v>3627</v>
      </c>
      <c r="F68">
        <v>77</v>
      </c>
      <c r="G68">
        <v>20131</v>
      </c>
      <c r="H68" t="s">
        <v>0</v>
      </c>
      <c r="I68">
        <v>657559.76599999995</v>
      </c>
      <c r="J68">
        <v>20559</v>
      </c>
      <c r="K68">
        <v>326169.64</v>
      </c>
      <c r="L68">
        <v>297864.28999999998</v>
      </c>
      <c r="M68">
        <v>28305.35</v>
      </c>
      <c r="N68" s="3" t="str">
        <f t="shared" si="15"/>
        <v/>
      </c>
      <c r="O68" s="4" t="str">
        <f t="shared" si="15"/>
        <v/>
      </c>
      <c r="P68" s="4" t="str">
        <f t="shared" si="15"/>
        <v/>
      </c>
      <c r="Q68" s="4" t="str">
        <f t="shared" si="15"/>
        <v/>
      </c>
      <c r="R68" s="4" t="str">
        <f t="shared" si="15"/>
        <v/>
      </c>
      <c r="S68" s="4" t="str">
        <f t="shared" si="15"/>
        <v/>
      </c>
      <c r="T68" s="4" t="str">
        <f t="shared" si="15"/>
        <v/>
      </c>
      <c r="U68" s="4" t="str">
        <f t="shared" si="15"/>
        <v/>
      </c>
      <c r="V68" s="4" t="str">
        <f t="shared" si="12"/>
        <v/>
      </c>
      <c r="W68" s="4" t="str">
        <f t="shared" si="12"/>
        <v/>
      </c>
      <c r="X68" s="4" t="str">
        <f t="shared" si="12"/>
        <v/>
      </c>
      <c r="Y68" s="4" t="str">
        <f t="shared" si="12"/>
        <v/>
      </c>
      <c r="Z68" s="4" t="str">
        <f t="shared" si="12"/>
        <v/>
      </c>
      <c r="AA68" s="4" t="str">
        <f t="shared" si="12"/>
        <v/>
      </c>
      <c r="AB68" s="4" t="str">
        <f t="shared" si="12"/>
        <v/>
      </c>
      <c r="AC68" s="5" t="str">
        <f t="shared" si="12"/>
        <v/>
      </c>
      <c r="AD68" s="3" t="str">
        <f t="shared" si="16"/>
        <v/>
      </c>
      <c r="AE68" s="4" t="str">
        <f t="shared" si="16"/>
        <v/>
      </c>
      <c r="AF68" s="4" t="str">
        <f t="shared" si="16"/>
        <v/>
      </c>
      <c r="AG68" s="4" t="str">
        <f t="shared" si="16"/>
        <v/>
      </c>
      <c r="AH68" s="4" t="str">
        <f t="shared" si="16"/>
        <v/>
      </c>
      <c r="AI68" s="4" t="str">
        <f t="shared" si="16"/>
        <v/>
      </c>
      <c r="AJ68" s="4" t="str">
        <f t="shared" si="16"/>
        <v/>
      </c>
      <c r="AK68" s="4" t="str">
        <f t="shared" si="16"/>
        <v/>
      </c>
      <c r="AL68" s="4" t="str">
        <f t="shared" si="13"/>
        <v/>
      </c>
      <c r="AM68" s="4" t="str">
        <f t="shared" si="13"/>
        <v/>
      </c>
      <c r="AN68" s="4" t="str">
        <f t="shared" si="13"/>
        <v/>
      </c>
      <c r="AO68" s="4" t="str">
        <f t="shared" si="13"/>
        <v/>
      </c>
      <c r="AP68" s="4" t="str">
        <f t="shared" si="13"/>
        <v/>
      </c>
      <c r="AQ68" s="4" t="str">
        <f t="shared" si="13"/>
        <v/>
      </c>
      <c r="AR68" s="4" t="str">
        <f t="shared" si="13"/>
        <v/>
      </c>
      <c r="AS68" s="5" t="str">
        <f t="shared" si="13"/>
        <v/>
      </c>
      <c r="AT68" s="3">
        <f t="shared" si="17"/>
        <v>1</v>
      </c>
      <c r="AU68" s="4" t="str">
        <f t="shared" si="17"/>
        <v/>
      </c>
      <c r="AV68" s="4" t="str">
        <f t="shared" si="17"/>
        <v/>
      </c>
      <c r="AW68" s="4" t="str">
        <f t="shared" si="17"/>
        <v/>
      </c>
      <c r="AX68" s="4" t="str">
        <f t="shared" si="17"/>
        <v/>
      </c>
      <c r="AY68" s="4" t="str">
        <f t="shared" si="17"/>
        <v/>
      </c>
      <c r="AZ68" s="4" t="str">
        <f t="shared" si="17"/>
        <v/>
      </c>
      <c r="BA68" s="4" t="str">
        <f t="shared" si="17"/>
        <v/>
      </c>
      <c r="BB68" s="4" t="str">
        <f t="shared" si="14"/>
        <v/>
      </c>
      <c r="BC68" s="4" t="str">
        <f t="shared" si="14"/>
        <v/>
      </c>
      <c r="BD68" s="4" t="str">
        <f t="shared" si="14"/>
        <v/>
      </c>
      <c r="BE68" s="4" t="str">
        <f t="shared" si="14"/>
        <v/>
      </c>
      <c r="BF68" s="4" t="str">
        <f t="shared" si="14"/>
        <v/>
      </c>
      <c r="BG68" s="4" t="str">
        <f t="shared" si="14"/>
        <v/>
      </c>
      <c r="BH68" s="4" t="str">
        <f t="shared" si="14"/>
        <v/>
      </c>
      <c r="BI68" s="5" t="str">
        <f t="shared" si="14"/>
        <v/>
      </c>
    </row>
    <row r="69" spans="1:61" x14ac:dyDescent="0.25">
      <c r="A69">
        <v>512312</v>
      </c>
      <c r="B69" t="s">
        <v>14</v>
      </c>
      <c r="C69" t="s">
        <v>16</v>
      </c>
      <c r="D69">
        <v>378</v>
      </c>
      <c r="E69">
        <v>3627</v>
      </c>
      <c r="F69">
        <v>77</v>
      </c>
      <c r="G69">
        <v>20132</v>
      </c>
      <c r="H69" t="s">
        <v>0</v>
      </c>
      <c r="I69">
        <v>626106.9</v>
      </c>
      <c r="J69">
        <v>19458</v>
      </c>
      <c r="K69">
        <v>296756.25</v>
      </c>
      <c r="L69">
        <v>273109.71000000002</v>
      </c>
      <c r="M69">
        <v>23646.54</v>
      </c>
      <c r="N69" s="3" t="str">
        <f t="shared" si="15"/>
        <v/>
      </c>
      <c r="O69" s="4" t="str">
        <f t="shared" si="15"/>
        <v/>
      </c>
      <c r="P69" s="4" t="str">
        <f t="shared" si="15"/>
        <v/>
      </c>
      <c r="Q69" s="4" t="str">
        <f t="shared" si="15"/>
        <v/>
      </c>
      <c r="R69" s="4" t="str">
        <f t="shared" si="15"/>
        <v/>
      </c>
      <c r="S69" s="4" t="str">
        <f t="shared" si="15"/>
        <v/>
      </c>
      <c r="T69" s="4" t="str">
        <f t="shared" si="15"/>
        <v/>
      </c>
      <c r="U69" s="4" t="str">
        <f t="shared" si="15"/>
        <v/>
      </c>
      <c r="V69" s="4" t="str">
        <f t="shared" si="12"/>
        <v/>
      </c>
      <c r="W69" s="4" t="str">
        <f t="shared" si="12"/>
        <v/>
      </c>
      <c r="X69" s="4" t="str">
        <f t="shared" si="12"/>
        <v/>
      </c>
      <c r="Y69" s="4" t="str">
        <f t="shared" si="12"/>
        <v/>
      </c>
      <c r="Z69" s="4" t="str">
        <f t="shared" si="12"/>
        <v/>
      </c>
      <c r="AA69" s="4" t="str">
        <f t="shared" si="12"/>
        <v/>
      </c>
      <c r="AB69" s="4" t="str">
        <f t="shared" si="12"/>
        <v/>
      </c>
      <c r="AC69" s="5" t="str">
        <f t="shared" si="12"/>
        <v/>
      </c>
      <c r="AD69" s="3" t="str">
        <f t="shared" si="16"/>
        <v/>
      </c>
      <c r="AE69" s="4" t="str">
        <f t="shared" si="16"/>
        <v/>
      </c>
      <c r="AF69" s="4" t="str">
        <f t="shared" si="16"/>
        <v/>
      </c>
      <c r="AG69" s="4" t="str">
        <f t="shared" si="16"/>
        <v/>
      </c>
      <c r="AH69" s="4" t="str">
        <f t="shared" si="16"/>
        <v/>
      </c>
      <c r="AI69" s="4" t="str">
        <f t="shared" si="16"/>
        <v/>
      </c>
      <c r="AJ69" s="4" t="str">
        <f t="shared" si="16"/>
        <v/>
      </c>
      <c r="AK69" s="4" t="str">
        <f t="shared" si="16"/>
        <v/>
      </c>
      <c r="AL69" s="4" t="str">
        <f t="shared" si="13"/>
        <v/>
      </c>
      <c r="AM69" s="4" t="str">
        <f t="shared" si="13"/>
        <v/>
      </c>
      <c r="AN69" s="4" t="str">
        <f t="shared" si="13"/>
        <v/>
      </c>
      <c r="AO69" s="4" t="str">
        <f t="shared" si="13"/>
        <v/>
      </c>
      <c r="AP69" s="4" t="str">
        <f t="shared" si="13"/>
        <v/>
      </c>
      <c r="AQ69" s="4" t="str">
        <f t="shared" si="13"/>
        <v/>
      </c>
      <c r="AR69" s="4" t="str">
        <f t="shared" si="13"/>
        <v/>
      </c>
      <c r="AS69" s="5" t="str">
        <f t="shared" si="13"/>
        <v/>
      </c>
      <c r="AT69" s="3" t="str">
        <f t="shared" si="17"/>
        <v/>
      </c>
      <c r="AU69" s="4">
        <f t="shared" si="17"/>
        <v>1</v>
      </c>
      <c r="AV69" s="4" t="str">
        <f t="shared" si="17"/>
        <v/>
      </c>
      <c r="AW69" s="4" t="str">
        <f t="shared" si="17"/>
        <v/>
      </c>
      <c r="AX69" s="4" t="str">
        <f t="shared" si="17"/>
        <v/>
      </c>
      <c r="AY69" s="4" t="str">
        <f t="shared" si="17"/>
        <v/>
      </c>
      <c r="AZ69" s="4" t="str">
        <f t="shared" si="17"/>
        <v/>
      </c>
      <c r="BA69" s="4" t="str">
        <f t="shared" si="17"/>
        <v/>
      </c>
      <c r="BB69" s="4" t="str">
        <f t="shared" si="14"/>
        <v/>
      </c>
      <c r="BC69" s="4" t="str">
        <f t="shared" si="14"/>
        <v/>
      </c>
      <c r="BD69" s="4" t="str">
        <f t="shared" si="14"/>
        <v/>
      </c>
      <c r="BE69" s="4" t="str">
        <f t="shared" si="14"/>
        <v/>
      </c>
      <c r="BF69" s="4" t="str">
        <f t="shared" si="14"/>
        <v/>
      </c>
      <c r="BG69" s="4" t="str">
        <f t="shared" si="14"/>
        <v/>
      </c>
      <c r="BH69" s="4" t="str">
        <f t="shared" si="14"/>
        <v/>
      </c>
      <c r="BI69" s="5" t="str">
        <f t="shared" si="14"/>
        <v/>
      </c>
    </row>
    <row r="70" spans="1:61" x14ac:dyDescent="0.25">
      <c r="A70">
        <v>512313</v>
      </c>
      <c r="B70" t="s">
        <v>14</v>
      </c>
      <c r="C70" t="s">
        <v>16</v>
      </c>
      <c r="D70">
        <v>378</v>
      </c>
      <c r="E70">
        <v>3627</v>
      </c>
      <c r="F70">
        <v>77</v>
      </c>
      <c r="G70">
        <v>20133</v>
      </c>
      <c r="H70" t="s">
        <v>0</v>
      </c>
      <c r="I70">
        <v>607290.6</v>
      </c>
      <c r="J70">
        <v>18615</v>
      </c>
      <c r="K70">
        <v>283455.26</v>
      </c>
      <c r="L70">
        <v>267427.83</v>
      </c>
      <c r="M70">
        <v>16027.43</v>
      </c>
      <c r="N70" s="3" t="str">
        <f t="shared" si="15"/>
        <v/>
      </c>
      <c r="O70" s="4" t="str">
        <f t="shared" si="15"/>
        <v/>
      </c>
      <c r="P70" s="4" t="str">
        <f t="shared" si="15"/>
        <v/>
      </c>
      <c r="Q70" s="4" t="str">
        <f t="shared" si="15"/>
        <v/>
      </c>
      <c r="R70" s="4" t="str">
        <f t="shared" si="15"/>
        <v/>
      </c>
      <c r="S70" s="4" t="str">
        <f t="shared" si="15"/>
        <v/>
      </c>
      <c r="T70" s="4" t="str">
        <f t="shared" si="15"/>
        <v/>
      </c>
      <c r="U70" s="4" t="str">
        <f t="shared" si="15"/>
        <v/>
      </c>
      <c r="V70" s="4" t="str">
        <f t="shared" si="12"/>
        <v/>
      </c>
      <c r="W70" s="4" t="str">
        <f t="shared" si="12"/>
        <v/>
      </c>
      <c r="X70" s="4" t="str">
        <f t="shared" si="12"/>
        <v/>
      </c>
      <c r="Y70" s="4" t="str">
        <f t="shared" si="12"/>
        <v/>
      </c>
      <c r="Z70" s="4" t="str">
        <f t="shared" si="12"/>
        <v/>
      </c>
      <c r="AA70" s="4" t="str">
        <f t="shared" si="12"/>
        <v/>
      </c>
      <c r="AB70" s="4" t="str">
        <f t="shared" si="12"/>
        <v/>
      </c>
      <c r="AC70" s="5" t="str">
        <f t="shared" si="12"/>
        <v/>
      </c>
      <c r="AD70" s="3" t="str">
        <f t="shared" si="16"/>
        <v/>
      </c>
      <c r="AE70" s="4" t="str">
        <f t="shared" si="16"/>
        <v/>
      </c>
      <c r="AF70" s="4" t="str">
        <f t="shared" si="16"/>
        <v/>
      </c>
      <c r="AG70" s="4" t="str">
        <f t="shared" si="16"/>
        <v/>
      </c>
      <c r="AH70" s="4" t="str">
        <f t="shared" si="16"/>
        <v/>
      </c>
      <c r="AI70" s="4" t="str">
        <f t="shared" si="16"/>
        <v/>
      </c>
      <c r="AJ70" s="4" t="str">
        <f t="shared" si="16"/>
        <v/>
      </c>
      <c r="AK70" s="4" t="str">
        <f t="shared" si="16"/>
        <v/>
      </c>
      <c r="AL70" s="4" t="str">
        <f t="shared" si="13"/>
        <v/>
      </c>
      <c r="AM70" s="4" t="str">
        <f t="shared" si="13"/>
        <v/>
      </c>
      <c r="AN70" s="4" t="str">
        <f t="shared" si="13"/>
        <v/>
      </c>
      <c r="AO70" s="4" t="str">
        <f t="shared" si="13"/>
        <v/>
      </c>
      <c r="AP70" s="4" t="str">
        <f t="shared" si="13"/>
        <v/>
      </c>
      <c r="AQ70" s="4" t="str">
        <f t="shared" si="13"/>
        <v/>
      </c>
      <c r="AR70" s="4" t="str">
        <f t="shared" si="13"/>
        <v/>
      </c>
      <c r="AS70" s="5" t="str">
        <f t="shared" si="13"/>
        <v/>
      </c>
      <c r="AT70" s="3" t="str">
        <f t="shared" si="17"/>
        <v/>
      </c>
      <c r="AU70" s="4" t="str">
        <f t="shared" si="17"/>
        <v/>
      </c>
      <c r="AV70" s="4">
        <f t="shared" si="17"/>
        <v>1</v>
      </c>
      <c r="AW70" s="4" t="str">
        <f t="shared" si="17"/>
        <v/>
      </c>
      <c r="AX70" s="4" t="str">
        <f t="shared" si="17"/>
        <v/>
      </c>
      <c r="AY70" s="4" t="str">
        <f t="shared" si="17"/>
        <v/>
      </c>
      <c r="AZ70" s="4" t="str">
        <f t="shared" si="17"/>
        <v/>
      </c>
      <c r="BA70" s="4" t="str">
        <f t="shared" si="17"/>
        <v/>
      </c>
      <c r="BB70" s="4" t="str">
        <f t="shared" si="14"/>
        <v/>
      </c>
      <c r="BC70" s="4" t="str">
        <f t="shared" si="14"/>
        <v/>
      </c>
      <c r="BD70" s="4" t="str">
        <f t="shared" si="14"/>
        <v/>
      </c>
      <c r="BE70" s="4" t="str">
        <f t="shared" si="14"/>
        <v/>
      </c>
      <c r="BF70" s="4" t="str">
        <f t="shared" si="14"/>
        <v/>
      </c>
      <c r="BG70" s="4" t="str">
        <f t="shared" si="14"/>
        <v/>
      </c>
      <c r="BH70" s="4" t="str">
        <f t="shared" si="14"/>
        <v/>
      </c>
      <c r="BI70" s="5" t="str">
        <f t="shared" si="14"/>
        <v/>
      </c>
    </row>
    <row r="71" spans="1:61" x14ac:dyDescent="0.25">
      <c r="A71">
        <v>512314</v>
      </c>
      <c r="B71" t="s">
        <v>14</v>
      </c>
      <c r="C71" t="s">
        <v>16</v>
      </c>
      <c r="D71">
        <v>378</v>
      </c>
      <c r="E71">
        <v>3627</v>
      </c>
      <c r="F71">
        <v>77</v>
      </c>
      <c r="G71">
        <v>20134</v>
      </c>
      <c r="H71" t="s">
        <v>0</v>
      </c>
      <c r="I71">
        <v>395972.00099999999</v>
      </c>
      <c r="J71">
        <v>12214</v>
      </c>
      <c r="K71">
        <v>177090.54</v>
      </c>
      <c r="L71">
        <v>166474.79</v>
      </c>
      <c r="M71">
        <v>10615.75</v>
      </c>
      <c r="N71" s="3" t="str">
        <f t="shared" si="15"/>
        <v/>
      </c>
      <c r="O71" s="4" t="str">
        <f t="shared" si="15"/>
        <v/>
      </c>
      <c r="P71" s="4" t="str">
        <f t="shared" si="15"/>
        <v/>
      </c>
      <c r="Q71" s="4" t="str">
        <f t="shared" si="15"/>
        <v/>
      </c>
      <c r="R71" s="4" t="str">
        <f t="shared" si="15"/>
        <v/>
      </c>
      <c r="S71" s="4" t="str">
        <f t="shared" si="15"/>
        <v/>
      </c>
      <c r="T71" s="4" t="str">
        <f t="shared" si="15"/>
        <v/>
      </c>
      <c r="U71" s="4" t="str">
        <f t="shared" si="15"/>
        <v/>
      </c>
      <c r="V71" s="4" t="str">
        <f t="shared" si="12"/>
        <v/>
      </c>
      <c r="W71" s="4" t="str">
        <f t="shared" si="12"/>
        <v/>
      </c>
      <c r="X71" s="4" t="str">
        <f t="shared" si="12"/>
        <v/>
      </c>
      <c r="Y71" s="4" t="str">
        <f t="shared" si="12"/>
        <v/>
      </c>
      <c r="Z71" s="4" t="str">
        <f t="shared" si="12"/>
        <v/>
      </c>
      <c r="AA71" s="4" t="str">
        <f t="shared" si="12"/>
        <v/>
      </c>
      <c r="AB71" s="4" t="str">
        <f t="shared" si="12"/>
        <v/>
      </c>
      <c r="AC71" s="5" t="str">
        <f t="shared" si="12"/>
        <v/>
      </c>
      <c r="AD71" s="3" t="str">
        <f t="shared" si="16"/>
        <v/>
      </c>
      <c r="AE71" s="4" t="str">
        <f t="shared" si="16"/>
        <v/>
      </c>
      <c r="AF71" s="4" t="str">
        <f t="shared" si="16"/>
        <v/>
      </c>
      <c r="AG71" s="4" t="str">
        <f t="shared" si="16"/>
        <v/>
      </c>
      <c r="AH71" s="4" t="str">
        <f t="shared" si="16"/>
        <v/>
      </c>
      <c r="AI71" s="4" t="str">
        <f t="shared" si="16"/>
        <v/>
      </c>
      <c r="AJ71" s="4" t="str">
        <f t="shared" si="16"/>
        <v/>
      </c>
      <c r="AK71" s="4" t="str">
        <f t="shared" si="16"/>
        <v/>
      </c>
      <c r="AL71" s="4" t="str">
        <f t="shared" si="13"/>
        <v/>
      </c>
      <c r="AM71" s="4" t="str">
        <f t="shared" si="13"/>
        <v/>
      </c>
      <c r="AN71" s="4" t="str">
        <f t="shared" si="13"/>
        <v/>
      </c>
      <c r="AO71" s="4" t="str">
        <f t="shared" si="13"/>
        <v/>
      </c>
      <c r="AP71" s="4" t="str">
        <f t="shared" si="13"/>
        <v/>
      </c>
      <c r="AQ71" s="4" t="str">
        <f t="shared" si="13"/>
        <v/>
      </c>
      <c r="AR71" s="4" t="str">
        <f t="shared" si="13"/>
        <v/>
      </c>
      <c r="AS71" s="5" t="str">
        <f t="shared" si="13"/>
        <v/>
      </c>
      <c r="AT71" s="3" t="str">
        <f t="shared" si="17"/>
        <v/>
      </c>
      <c r="AU71" s="4" t="str">
        <f t="shared" si="17"/>
        <v/>
      </c>
      <c r="AV71" s="4" t="str">
        <f t="shared" si="17"/>
        <v/>
      </c>
      <c r="AW71" s="4">
        <f t="shared" si="17"/>
        <v>1</v>
      </c>
      <c r="AX71" s="4" t="str">
        <f t="shared" si="17"/>
        <v/>
      </c>
      <c r="AY71" s="4" t="str">
        <f t="shared" si="17"/>
        <v/>
      </c>
      <c r="AZ71" s="4" t="str">
        <f t="shared" si="17"/>
        <v/>
      </c>
      <c r="BA71" s="4" t="str">
        <f t="shared" si="17"/>
        <v/>
      </c>
      <c r="BB71" s="4" t="str">
        <f t="shared" si="14"/>
        <v/>
      </c>
      <c r="BC71" s="4" t="str">
        <f t="shared" si="14"/>
        <v/>
      </c>
      <c r="BD71" s="4" t="str">
        <f t="shared" si="14"/>
        <v/>
      </c>
      <c r="BE71" s="4" t="str">
        <f t="shared" si="14"/>
        <v/>
      </c>
      <c r="BF71" s="4" t="str">
        <f t="shared" si="14"/>
        <v/>
      </c>
      <c r="BG71" s="4" t="str">
        <f t="shared" si="14"/>
        <v/>
      </c>
      <c r="BH71" s="4" t="str">
        <f t="shared" si="14"/>
        <v/>
      </c>
      <c r="BI71" s="5" t="str">
        <f t="shared" si="14"/>
        <v/>
      </c>
    </row>
    <row r="72" spans="1:61" x14ac:dyDescent="0.25">
      <c r="A72">
        <v>512315</v>
      </c>
      <c r="B72" t="s">
        <v>14</v>
      </c>
      <c r="C72" t="s">
        <v>16</v>
      </c>
      <c r="D72">
        <v>378</v>
      </c>
      <c r="E72">
        <v>3627</v>
      </c>
      <c r="F72">
        <v>93</v>
      </c>
      <c r="G72">
        <v>20131</v>
      </c>
      <c r="H72" t="s">
        <v>0</v>
      </c>
      <c r="I72">
        <v>230547</v>
      </c>
      <c r="J72">
        <v>7442</v>
      </c>
      <c r="K72">
        <v>120962.45</v>
      </c>
      <c r="L72">
        <v>113096.09</v>
      </c>
      <c r="M72">
        <v>7866.36</v>
      </c>
      <c r="N72" s="3" t="str">
        <f t="shared" si="15"/>
        <v/>
      </c>
      <c r="O72" s="4" t="str">
        <f t="shared" si="15"/>
        <v/>
      </c>
      <c r="P72" s="4" t="str">
        <f t="shared" si="15"/>
        <v/>
      </c>
      <c r="Q72" s="4" t="str">
        <f t="shared" si="15"/>
        <v/>
      </c>
      <c r="R72" s="4" t="str">
        <f t="shared" si="15"/>
        <v/>
      </c>
      <c r="S72" s="4" t="str">
        <f t="shared" si="15"/>
        <v/>
      </c>
      <c r="T72" s="4" t="str">
        <f t="shared" si="15"/>
        <v/>
      </c>
      <c r="U72" s="4" t="str">
        <f t="shared" si="15"/>
        <v/>
      </c>
      <c r="V72" s="4" t="str">
        <f t="shared" si="12"/>
        <v/>
      </c>
      <c r="W72" s="4" t="str">
        <f t="shared" si="12"/>
        <v/>
      </c>
      <c r="X72" s="4" t="str">
        <f t="shared" si="12"/>
        <v/>
      </c>
      <c r="Y72" s="4" t="str">
        <f t="shared" si="12"/>
        <v/>
      </c>
      <c r="Z72" s="4" t="str">
        <f t="shared" si="12"/>
        <v/>
      </c>
      <c r="AA72" s="4" t="str">
        <f t="shared" si="12"/>
        <v/>
      </c>
      <c r="AB72" s="4" t="str">
        <f t="shared" si="12"/>
        <v/>
      </c>
      <c r="AC72" s="5" t="str">
        <f t="shared" si="12"/>
        <v/>
      </c>
      <c r="AD72" s="3" t="str">
        <f t="shared" si="16"/>
        <v/>
      </c>
      <c r="AE72" s="4" t="str">
        <f t="shared" si="16"/>
        <v/>
      </c>
      <c r="AF72" s="4" t="str">
        <f t="shared" si="16"/>
        <v/>
      </c>
      <c r="AG72" s="4" t="str">
        <f t="shared" si="16"/>
        <v/>
      </c>
      <c r="AH72" s="4" t="str">
        <f t="shared" si="16"/>
        <v/>
      </c>
      <c r="AI72" s="4" t="str">
        <f t="shared" si="16"/>
        <v/>
      </c>
      <c r="AJ72" s="4" t="str">
        <f t="shared" si="16"/>
        <v/>
      </c>
      <c r="AK72" s="4" t="str">
        <f t="shared" si="16"/>
        <v/>
      </c>
      <c r="AL72" s="4" t="str">
        <f t="shared" si="13"/>
        <v/>
      </c>
      <c r="AM72" s="4" t="str">
        <f t="shared" si="13"/>
        <v/>
      </c>
      <c r="AN72" s="4" t="str">
        <f t="shared" si="13"/>
        <v/>
      </c>
      <c r="AO72" s="4" t="str">
        <f t="shared" si="13"/>
        <v/>
      </c>
      <c r="AP72" s="4" t="str">
        <f t="shared" si="13"/>
        <v/>
      </c>
      <c r="AQ72" s="4" t="str">
        <f t="shared" si="13"/>
        <v/>
      </c>
      <c r="AR72" s="4" t="str">
        <f t="shared" si="13"/>
        <v/>
      </c>
      <c r="AS72" s="5" t="str">
        <f t="shared" si="13"/>
        <v/>
      </c>
      <c r="AT72" s="3">
        <f t="shared" si="17"/>
        <v>1</v>
      </c>
      <c r="AU72" s="4" t="str">
        <f t="shared" si="17"/>
        <v/>
      </c>
      <c r="AV72" s="4" t="str">
        <f t="shared" si="17"/>
        <v/>
      </c>
      <c r="AW72" s="4" t="str">
        <f t="shared" si="17"/>
        <v/>
      </c>
      <c r="AX72" s="4" t="str">
        <f t="shared" si="17"/>
        <v/>
      </c>
      <c r="AY72" s="4" t="str">
        <f t="shared" si="17"/>
        <v/>
      </c>
      <c r="AZ72" s="4" t="str">
        <f t="shared" si="17"/>
        <v/>
      </c>
      <c r="BA72" s="4" t="str">
        <f t="shared" si="17"/>
        <v/>
      </c>
      <c r="BB72" s="4" t="str">
        <f t="shared" si="14"/>
        <v/>
      </c>
      <c r="BC72" s="4" t="str">
        <f t="shared" si="14"/>
        <v/>
      </c>
      <c r="BD72" s="4" t="str">
        <f t="shared" si="14"/>
        <v/>
      </c>
      <c r="BE72" s="4" t="str">
        <f t="shared" si="14"/>
        <v/>
      </c>
      <c r="BF72" s="4" t="str">
        <f t="shared" si="14"/>
        <v/>
      </c>
      <c r="BG72" s="4" t="str">
        <f t="shared" si="14"/>
        <v/>
      </c>
      <c r="BH72" s="4" t="str">
        <f t="shared" si="14"/>
        <v/>
      </c>
      <c r="BI72" s="5" t="str">
        <f t="shared" si="14"/>
        <v/>
      </c>
    </row>
    <row r="73" spans="1:61" x14ac:dyDescent="0.25">
      <c r="A73">
        <v>512316</v>
      </c>
      <c r="B73" t="s">
        <v>14</v>
      </c>
      <c r="C73" t="s">
        <v>16</v>
      </c>
      <c r="D73">
        <v>378</v>
      </c>
      <c r="E73">
        <v>3627</v>
      </c>
      <c r="F73">
        <v>93</v>
      </c>
      <c r="G73">
        <v>20132</v>
      </c>
      <c r="H73" t="s">
        <v>0</v>
      </c>
      <c r="I73">
        <v>218371</v>
      </c>
      <c r="J73">
        <v>7015</v>
      </c>
      <c r="K73">
        <v>106717.62</v>
      </c>
      <c r="L73">
        <v>99967.24</v>
      </c>
      <c r="M73">
        <v>6750.38</v>
      </c>
      <c r="N73" s="3" t="str">
        <f t="shared" si="15"/>
        <v/>
      </c>
      <c r="O73" s="4" t="str">
        <f t="shared" si="15"/>
        <v/>
      </c>
      <c r="P73" s="4" t="str">
        <f t="shared" si="15"/>
        <v/>
      </c>
      <c r="Q73" s="4" t="str">
        <f t="shared" si="15"/>
        <v/>
      </c>
      <c r="R73" s="4" t="str">
        <f t="shared" si="15"/>
        <v/>
      </c>
      <c r="S73" s="4" t="str">
        <f t="shared" si="15"/>
        <v/>
      </c>
      <c r="T73" s="4" t="str">
        <f t="shared" si="15"/>
        <v/>
      </c>
      <c r="U73" s="4" t="str">
        <f t="shared" si="15"/>
        <v/>
      </c>
      <c r="V73" s="4" t="str">
        <f t="shared" si="12"/>
        <v/>
      </c>
      <c r="W73" s="4" t="str">
        <f t="shared" si="12"/>
        <v/>
      </c>
      <c r="X73" s="4" t="str">
        <f t="shared" si="12"/>
        <v/>
      </c>
      <c r="Y73" s="4" t="str">
        <f t="shared" si="12"/>
        <v/>
      </c>
      <c r="Z73" s="4" t="str">
        <f t="shared" si="12"/>
        <v/>
      </c>
      <c r="AA73" s="4" t="str">
        <f t="shared" si="12"/>
        <v/>
      </c>
      <c r="AB73" s="4" t="str">
        <f t="shared" si="12"/>
        <v/>
      </c>
      <c r="AC73" s="5" t="str">
        <f t="shared" si="12"/>
        <v/>
      </c>
      <c r="AD73" s="3" t="str">
        <f t="shared" si="16"/>
        <v/>
      </c>
      <c r="AE73" s="4" t="str">
        <f t="shared" si="16"/>
        <v/>
      </c>
      <c r="AF73" s="4" t="str">
        <f t="shared" si="16"/>
        <v/>
      </c>
      <c r="AG73" s="4" t="str">
        <f t="shared" si="16"/>
        <v/>
      </c>
      <c r="AH73" s="4" t="str">
        <f t="shared" si="16"/>
        <v/>
      </c>
      <c r="AI73" s="4" t="str">
        <f t="shared" si="16"/>
        <v/>
      </c>
      <c r="AJ73" s="4" t="str">
        <f t="shared" si="16"/>
        <v/>
      </c>
      <c r="AK73" s="4" t="str">
        <f t="shared" si="16"/>
        <v/>
      </c>
      <c r="AL73" s="4" t="str">
        <f t="shared" si="13"/>
        <v/>
      </c>
      <c r="AM73" s="4" t="str">
        <f t="shared" si="13"/>
        <v/>
      </c>
      <c r="AN73" s="4" t="str">
        <f t="shared" si="13"/>
        <v/>
      </c>
      <c r="AO73" s="4" t="str">
        <f t="shared" si="13"/>
        <v/>
      </c>
      <c r="AP73" s="4" t="str">
        <f t="shared" si="13"/>
        <v/>
      </c>
      <c r="AQ73" s="4" t="str">
        <f t="shared" si="13"/>
        <v/>
      </c>
      <c r="AR73" s="4" t="str">
        <f t="shared" si="13"/>
        <v/>
      </c>
      <c r="AS73" s="5" t="str">
        <f t="shared" si="13"/>
        <v/>
      </c>
      <c r="AT73" s="3" t="str">
        <f t="shared" si="17"/>
        <v/>
      </c>
      <c r="AU73" s="4">
        <f t="shared" si="17"/>
        <v>1</v>
      </c>
      <c r="AV73" s="4" t="str">
        <f t="shared" si="17"/>
        <v/>
      </c>
      <c r="AW73" s="4" t="str">
        <f t="shared" si="17"/>
        <v/>
      </c>
      <c r="AX73" s="4" t="str">
        <f t="shared" si="17"/>
        <v/>
      </c>
      <c r="AY73" s="4" t="str">
        <f t="shared" si="17"/>
        <v/>
      </c>
      <c r="AZ73" s="4" t="str">
        <f t="shared" si="17"/>
        <v/>
      </c>
      <c r="BA73" s="4" t="str">
        <f t="shared" si="17"/>
        <v/>
      </c>
      <c r="BB73" s="4" t="str">
        <f t="shared" si="14"/>
        <v/>
      </c>
      <c r="BC73" s="4" t="str">
        <f t="shared" si="14"/>
        <v/>
      </c>
      <c r="BD73" s="4" t="str">
        <f t="shared" si="14"/>
        <v/>
      </c>
      <c r="BE73" s="4" t="str">
        <f t="shared" si="14"/>
        <v/>
      </c>
      <c r="BF73" s="4" t="str">
        <f t="shared" si="14"/>
        <v/>
      </c>
      <c r="BG73" s="4" t="str">
        <f t="shared" si="14"/>
        <v/>
      </c>
      <c r="BH73" s="4" t="str">
        <f t="shared" si="14"/>
        <v/>
      </c>
      <c r="BI73" s="5" t="str">
        <f t="shared" si="14"/>
        <v/>
      </c>
    </row>
    <row r="74" spans="1:61" x14ac:dyDescent="0.25">
      <c r="A74">
        <v>512317</v>
      </c>
      <c r="B74" t="s">
        <v>14</v>
      </c>
      <c r="C74" t="s">
        <v>16</v>
      </c>
      <c r="D74">
        <v>378</v>
      </c>
      <c r="E74">
        <v>3627</v>
      </c>
      <c r="F74">
        <v>93</v>
      </c>
      <c r="G74">
        <v>20133</v>
      </c>
      <c r="H74" t="s">
        <v>0</v>
      </c>
      <c r="I74">
        <v>199082</v>
      </c>
      <c r="J74">
        <v>6351</v>
      </c>
      <c r="K74">
        <v>104362.18</v>
      </c>
      <c r="L74">
        <v>98765.33</v>
      </c>
      <c r="M74">
        <v>5596.85</v>
      </c>
      <c r="N74" s="3" t="str">
        <f t="shared" si="15"/>
        <v/>
      </c>
      <c r="O74" s="4" t="str">
        <f t="shared" si="15"/>
        <v/>
      </c>
      <c r="P74" s="4" t="str">
        <f t="shared" si="15"/>
        <v/>
      </c>
      <c r="Q74" s="4" t="str">
        <f t="shared" si="15"/>
        <v/>
      </c>
      <c r="R74" s="4" t="str">
        <f t="shared" si="15"/>
        <v/>
      </c>
      <c r="S74" s="4" t="str">
        <f t="shared" si="15"/>
        <v/>
      </c>
      <c r="T74" s="4" t="str">
        <f t="shared" si="15"/>
        <v/>
      </c>
      <c r="U74" s="4" t="str">
        <f t="shared" si="15"/>
        <v/>
      </c>
      <c r="V74" s="4" t="str">
        <f t="shared" si="12"/>
        <v/>
      </c>
      <c r="W74" s="4" t="str">
        <f t="shared" si="12"/>
        <v/>
      </c>
      <c r="X74" s="4" t="str">
        <f t="shared" si="12"/>
        <v/>
      </c>
      <c r="Y74" s="4" t="str">
        <f t="shared" si="12"/>
        <v/>
      </c>
      <c r="Z74" s="4" t="str">
        <f t="shared" si="12"/>
        <v/>
      </c>
      <c r="AA74" s="4" t="str">
        <f t="shared" si="12"/>
        <v/>
      </c>
      <c r="AB74" s="4" t="str">
        <f t="shared" si="12"/>
        <v/>
      </c>
      <c r="AC74" s="5" t="str">
        <f t="shared" si="12"/>
        <v/>
      </c>
      <c r="AD74" s="3" t="str">
        <f t="shared" si="16"/>
        <v/>
      </c>
      <c r="AE74" s="4" t="str">
        <f t="shared" si="16"/>
        <v/>
      </c>
      <c r="AF74" s="4" t="str">
        <f t="shared" si="16"/>
        <v/>
      </c>
      <c r="AG74" s="4" t="str">
        <f t="shared" si="16"/>
        <v/>
      </c>
      <c r="AH74" s="4" t="str">
        <f t="shared" si="16"/>
        <v/>
      </c>
      <c r="AI74" s="4" t="str">
        <f t="shared" si="16"/>
        <v/>
      </c>
      <c r="AJ74" s="4" t="str">
        <f t="shared" si="16"/>
        <v/>
      </c>
      <c r="AK74" s="4" t="str">
        <f t="shared" si="16"/>
        <v/>
      </c>
      <c r="AL74" s="4" t="str">
        <f t="shared" si="13"/>
        <v/>
      </c>
      <c r="AM74" s="4" t="str">
        <f t="shared" si="13"/>
        <v/>
      </c>
      <c r="AN74" s="4" t="str">
        <f t="shared" si="13"/>
        <v/>
      </c>
      <c r="AO74" s="4" t="str">
        <f t="shared" si="13"/>
        <v/>
      </c>
      <c r="AP74" s="4" t="str">
        <f t="shared" si="13"/>
        <v/>
      </c>
      <c r="AQ74" s="4" t="str">
        <f t="shared" si="13"/>
        <v/>
      </c>
      <c r="AR74" s="4" t="str">
        <f t="shared" si="13"/>
        <v/>
      </c>
      <c r="AS74" s="5" t="str">
        <f t="shared" si="13"/>
        <v/>
      </c>
      <c r="AT74" s="3" t="str">
        <f t="shared" si="17"/>
        <v/>
      </c>
      <c r="AU74" s="4" t="str">
        <f t="shared" si="17"/>
        <v/>
      </c>
      <c r="AV74" s="4">
        <f t="shared" si="17"/>
        <v>1</v>
      </c>
      <c r="AW74" s="4" t="str">
        <f t="shared" si="17"/>
        <v/>
      </c>
      <c r="AX74" s="4" t="str">
        <f t="shared" si="17"/>
        <v/>
      </c>
      <c r="AY74" s="4" t="str">
        <f t="shared" si="17"/>
        <v/>
      </c>
      <c r="AZ74" s="4" t="str">
        <f t="shared" si="17"/>
        <v/>
      </c>
      <c r="BA74" s="4" t="str">
        <f t="shared" si="17"/>
        <v/>
      </c>
      <c r="BB74" s="4" t="str">
        <f t="shared" si="14"/>
        <v/>
      </c>
      <c r="BC74" s="4" t="str">
        <f t="shared" si="14"/>
        <v/>
      </c>
      <c r="BD74" s="4" t="str">
        <f t="shared" si="14"/>
        <v/>
      </c>
      <c r="BE74" s="4" t="str">
        <f t="shared" si="14"/>
        <v/>
      </c>
      <c r="BF74" s="4" t="str">
        <f t="shared" si="14"/>
        <v/>
      </c>
      <c r="BG74" s="4" t="str">
        <f t="shared" si="14"/>
        <v/>
      </c>
      <c r="BH74" s="4" t="str">
        <f t="shared" si="14"/>
        <v/>
      </c>
      <c r="BI74" s="5" t="str">
        <f t="shared" si="14"/>
        <v/>
      </c>
    </row>
    <row r="75" spans="1:61" x14ac:dyDescent="0.25">
      <c r="A75">
        <v>512318</v>
      </c>
      <c r="B75" t="s">
        <v>14</v>
      </c>
      <c r="C75" t="s">
        <v>16</v>
      </c>
      <c r="D75">
        <v>378</v>
      </c>
      <c r="E75">
        <v>3627</v>
      </c>
      <c r="F75">
        <v>93</v>
      </c>
      <c r="G75">
        <v>20134</v>
      </c>
      <c r="H75" t="s">
        <v>0</v>
      </c>
      <c r="I75">
        <v>193101</v>
      </c>
      <c r="J75">
        <v>6104</v>
      </c>
      <c r="K75">
        <v>86966.62</v>
      </c>
      <c r="L75">
        <v>80826.679999999993</v>
      </c>
      <c r="M75">
        <v>6139.94</v>
      </c>
      <c r="N75" s="3" t="str">
        <f t="shared" si="15"/>
        <v/>
      </c>
      <c r="O75" s="4" t="str">
        <f t="shared" si="15"/>
        <v/>
      </c>
      <c r="P75" s="4" t="str">
        <f t="shared" si="15"/>
        <v/>
      </c>
      <c r="Q75" s="4" t="str">
        <f t="shared" si="15"/>
        <v/>
      </c>
      <c r="R75" s="4" t="str">
        <f t="shared" si="15"/>
        <v/>
      </c>
      <c r="S75" s="4" t="str">
        <f t="shared" si="15"/>
        <v/>
      </c>
      <c r="T75" s="4" t="str">
        <f t="shared" si="15"/>
        <v/>
      </c>
      <c r="U75" s="4" t="str">
        <f t="shared" si="15"/>
        <v/>
      </c>
      <c r="V75" s="4" t="str">
        <f t="shared" si="12"/>
        <v/>
      </c>
      <c r="W75" s="4" t="str">
        <f t="shared" si="12"/>
        <v/>
      </c>
      <c r="X75" s="4" t="str">
        <f t="shared" si="12"/>
        <v/>
      </c>
      <c r="Y75" s="4" t="str">
        <f t="shared" si="12"/>
        <v/>
      </c>
      <c r="Z75" s="4" t="str">
        <f t="shared" si="12"/>
        <v/>
      </c>
      <c r="AA75" s="4" t="str">
        <f t="shared" si="12"/>
        <v/>
      </c>
      <c r="AB75" s="4" t="str">
        <f t="shared" si="12"/>
        <v/>
      </c>
      <c r="AC75" s="5" t="str">
        <f t="shared" si="12"/>
        <v/>
      </c>
      <c r="AD75" s="3" t="str">
        <f t="shared" si="16"/>
        <v/>
      </c>
      <c r="AE75" s="4" t="str">
        <f t="shared" si="16"/>
        <v/>
      </c>
      <c r="AF75" s="4" t="str">
        <f t="shared" si="16"/>
        <v/>
      </c>
      <c r="AG75" s="4" t="str">
        <f t="shared" si="16"/>
        <v/>
      </c>
      <c r="AH75" s="4" t="str">
        <f t="shared" si="16"/>
        <v/>
      </c>
      <c r="AI75" s="4" t="str">
        <f t="shared" si="16"/>
        <v/>
      </c>
      <c r="AJ75" s="4" t="str">
        <f t="shared" si="16"/>
        <v/>
      </c>
      <c r="AK75" s="4" t="str">
        <f t="shared" si="16"/>
        <v/>
      </c>
      <c r="AL75" s="4" t="str">
        <f t="shared" si="13"/>
        <v/>
      </c>
      <c r="AM75" s="4" t="str">
        <f t="shared" si="13"/>
        <v/>
      </c>
      <c r="AN75" s="4" t="str">
        <f t="shared" si="13"/>
        <v/>
      </c>
      <c r="AO75" s="4" t="str">
        <f t="shared" si="13"/>
        <v/>
      </c>
      <c r="AP75" s="4" t="str">
        <f t="shared" si="13"/>
        <v/>
      </c>
      <c r="AQ75" s="4" t="str">
        <f t="shared" si="13"/>
        <v/>
      </c>
      <c r="AR75" s="4" t="str">
        <f t="shared" si="13"/>
        <v/>
      </c>
      <c r="AS75" s="5" t="str">
        <f t="shared" si="13"/>
        <v/>
      </c>
      <c r="AT75" s="3" t="str">
        <f t="shared" si="17"/>
        <v/>
      </c>
      <c r="AU75" s="4" t="str">
        <f t="shared" si="17"/>
        <v/>
      </c>
      <c r="AV75" s="4" t="str">
        <f t="shared" si="17"/>
        <v/>
      </c>
      <c r="AW75" s="4">
        <f t="shared" si="17"/>
        <v>1</v>
      </c>
      <c r="AX75" s="4" t="str">
        <f t="shared" si="17"/>
        <v/>
      </c>
      <c r="AY75" s="4" t="str">
        <f t="shared" si="17"/>
        <v/>
      </c>
      <c r="AZ75" s="4" t="str">
        <f t="shared" si="17"/>
        <v/>
      </c>
      <c r="BA75" s="4" t="str">
        <f t="shared" si="17"/>
        <v/>
      </c>
      <c r="BB75" s="4" t="str">
        <f t="shared" si="14"/>
        <v/>
      </c>
      <c r="BC75" s="4" t="str">
        <f t="shared" si="14"/>
        <v/>
      </c>
      <c r="BD75" s="4" t="str">
        <f t="shared" si="14"/>
        <v/>
      </c>
      <c r="BE75" s="4" t="str">
        <f t="shared" si="14"/>
        <v/>
      </c>
      <c r="BF75" s="4" t="str">
        <f t="shared" si="14"/>
        <v/>
      </c>
      <c r="BG75" s="4" t="str">
        <f t="shared" si="14"/>
        <v/>
      </c>
      <c r="BH75" s="4" t="str">
        <f t="shared" si="14"/>
        <v/>
      </c>
      <c r="BI75" s="5" t="str">
        <f t="shared" si="14"/>
        <v/>
      </c>
    </row>
    <row r="76" spans="1:61" x14ac:dyDescent="0.25">
      <c r="A76">
        <v>640025</v>
      </c>
      <c r="B76" t="s">
        <v>15</v>
      </c>
      <c r="C76" t="s">
        <v>16</v>
      </c>
      <c r="D76">
        <v>378</v>
      </c>
      <c r="E76">
        <v>3627</v>
      </c>
      <c r="F76">
        <v>5</v>
      </c>
      <c r="G76">
        <v>20131</v>
      </c>
      <c r="H76" t="s">
        <v>0</v>
      </c>
      <c r="I76">
        <v>215630.39</v>
      </c>
      <c r="J76">
        <v>6776</v>
      </c>
      <c r="K76">
        <v>247515.89</v>
      </c>
      <c r="L76">
        <v>245763.67</v>
      </c>
      <c r="M76">
        <v>1752.22</v>
      </c>
      <c r="N76" s="3" t="str">
        <f t="shared" si="15"/>
        <v/>
      </c>
      <c r="O76" s="4" t="str">
        <f t="shared" si="15"/>
        <v/>
      </c>
      <c r="P76" s="4" t="str">
        <f t="shared" si="15"/>
        <v/>
      </c>
      <c r="Q76" s="4" t="str">
        <f t="shared" si="15"/>
        <v/>
      </c>
      <c r="R76" s="4" t="str">
        <f t="shared" si="15"/>
        <v/>
      </c>
      <c r="S76" s="4" t="str">
        <f t="shared" si="15"/>
        <v/>
      </c>
      <c r="T76" s="4" t="str">
        <f t="shared" si="15"/>
        <v/>
      </c>
      <c r="U76" s="4" t="str">
        <f t="shared" si="15"/>
        <v/>
      </c>
      <c r="V76" s="4" t="str">
        <f t="shared" si="12"/>
        <v/>
      </c>
      <c r="W76" s="4" t="str">
        <f t="shared" si="12"/>
        <v/>
      </c>
      <c r="X76" s="4" t="str">
        <f t="shared" si="12"/>
        <v/>
      </c>
      <c r="Y76" s="4" t="str">
        <f t="shared" si="12"/>
        <v/>
      </c>
      <c r="Z76" s="4" t="str">
        <f t="shared" si="12"/>
        <v/>
      </c>
      <c r="AA76" s="4" t="str">
        <f t="shared" si="12"/>
        <v/>
      </c>
      <c r="AB76" s="4" t="str">
        <f t="shared" si="12"/>
        <v/>
      </c>
      <c r="AC76" s="5" t="str">
        <f t="shared" si="12"/>
        <v/>
      </c>
      <c r="AD76" s="3" t="str">
        <f t="shared" si="16"/>
        <v/>
      </c>
      <c r="AE76" s="4" t="str">
        <f t="shared" si="16"/>
        <v/>
      </c>
      <c r="AF76" s="4" t="str">
        <f t="shared" si="16"/>
        <v/>
      </c>
      <c r="AG76" s="4" t="str">
        <f t="shared" si="16"/>
        <v/>
      </c>
      <c r="AH76" s="4" t="str">
        <f t="shared" si="16"/>
        <v/>
      </c>
      <c r="AI76" s="4" t="str">
        <f t="shared" si="16"/>
        <v/>
      </c>
      <c r="AJ76" s="4" t="str">
        <f t="shared" si="16"/>
        <v/>
      </c>
      <c r="AK76" s="4" t="str">
        <f t="shared" si="16"/>
        <v/>
      </c>
      <c r="AL76" s="4" t="str">
        <f t="shared" si="13"/>
        <v/>
      </c>
      <c r="AM76" s="4" t="str">
        <f t="shared" si="13"/>
        <v/>
      </c>
      <c r="AN76" s="4" t="str">
        <f t="shared" si="13"/>
        <v/>
      </c>
      <c r="AO76" s="4" t="str">
        <f t="shared" si="13"/>
        <v/>
      </c>
      <c r="AP76" s="4" t="str">
        <f t="shared" si="13"/>
        <v/>
      </c>
      <c r="AQ76" s="4" t="str">
        <f t="shared" si="13"/>
        <v/>
      </c>
      <c r="AR76" s="4" t="str">
        <f t="shared" si="13"/>
        <v/>
      </c>
      <c r="AS76" s="5" t="str">
        <f t="shared" si="13"/>
        <v/>
      </c>
      <c r="AT76" s="3" t="str">
        <f t="shared" si="17"/>
        <v/>
      </c>
      <c r="AU76" s="4" t="str">
        <f t="shared" si="17"/>
        <v/>
      </c>
      <c r="AV76" s="4" t="str">
        <f t="shared" si="17"/>
        <v/>
      </c>
      <c r="AW76" s="4" t="str">
        <f t="shared" si="17"/>
        <v/>
      </c>
      <c r="AX76" s="4">
        <f t="shared" si="17"/>
        <v>1</v>
      </c>
      <c r="AY76" s="4" t="str">
        <f t="shared" si="17"/>
        <v/>
      </c>
      <c r="AZ76" s="4" t="str">
        <f t="shared" si="17"/>
        <v/>
      </c>
      <c r="BA76" s="4" t="str">
        <f t="shared" si="17"/>
        <v/>
      </c>
      <c r="BB76" s="4" t="str">
        <f t="shared" si="14"/>
        <v/>
      </c>
      <c r="BC76" s="4" t="str">
        <f t="shared" si="14"/>
        <v/>
      </c>
      <c r="BD76" s="4" t="str">
        <f t="shared" si="14"/>
        <v/>
      </c>
      <c r="BE76" s="4" t="str">
        <f t="shared" si="14"/>
        <v/>
      </c>
      <c r="BF76" s="4" t="str">
        <f t="shared" si="14"/>
        <v/>
      </c>
      <c r="BG76" s="4" t="str">
        <f t="shared" si="14"/>
        <v/>
      </c>
      <c r="BH76" s="4" t="str">
        <f t="shared" si="14"/>
        <v/>
      </c>
      <c r="BI76" s="5" t="str">
        <f t="shared" si="14"/>
        <v/>
      </c>
    </row>
    <row r="77" spans="1:61" x14ac:dyDescent="0.25">
      <c r="A77">
        <v>640026</v>
      </c>
      <c r="B77" t="s">
        <v>15</v>
      </c>
      <c r="C77" t="s">
        <v>16</v>
      </c>
      <c r="D77">
        <v>378</v>
      </c>
      <c r="E77">
        <v>3627</v>
      </c>
      <c r="F77">
        <v>5</v>
      </c>
      <c r="G77">
        <v>20132</v>
      </c>
      <c r="H77" t="s">
        <v>0</v>
      </c>
      <c r="I77">
        <v>226316</v>
      </c>
      <c r="J77">
        <v>7414</v>
      </c>
      <c r="K77">
        <v>214773.98</v>
      </c>
      <c r="L77">
        <v>208266.35</v>
      </c>
      <c r="M77">
        <v>6507.63</v>
      </c>
      <c r="N77" s="3" t="str">
        <f t="shared" si="15"/>
        <v/>
      </c>
      <c r="O77" s="4" t="str">
        <f t="shared" si="15"/>
        <v/>
      </c>
      <c r="P77" s="4" t="str">
        <f t="shared" si="15"/>
        <v/>
      </c>
      <c r="Q77" s="4" t="str">
        <f t="shared" si="15"/>
        <v/>
      </c>
      <c r="R77" s="4" t="str">
        <f t="shared" si="15"/>
        <v/>
      </c>
      <c r="S77" s="4" t="str">
        <f t="shared" si="15"/>
        <v/>
      </c>
      <c r="T77" s="4" t="str">
        <f t="shared" si="15"/>
        <v/>
      </c>
      <c r="U77" s="4" t="str">
        <f t="shared" si="15"/>
        <v/>
      </c>
      <c r="V77" s="4" t="str">
        <f t="shared" si="12"/>
        <v/>
      </c>
      <c r="W77" s="4" t="str">
        <f t="shared" si="12"/>
        <v/>
      </c>
      <c r="X77" s="4" t="str">
        <f t="shared" si="12"/>
        <v/>
      </c>
      <c r="Y77" s="4" t="str">
        <f t="shared" si="12"/>
        <v/>
      </c>
      <c r="Z77" s="4" t="str">
        <f t="shared" si="12"/>
        <v/>
      </c>
      <c r="AA77" s="4" t="str">
        <f t="shared" si="12"/>
        <v/>
      </c>
      <c r="AB77" s="4" t="str">
        <f t="shared" si="12"/>
        <v/>
      </c>
      <c r="AC77" s="5" t="str">
        <f t="shared" si="12"/>
        <v/>
      </c>
      <c r="AD77" s="3" t="str">
        <f t="shared" si="16"/>
        <v/>
      </c>
      <c r="AE77" s="4" t="str">
        <f t="shared" si="16"/>
        <v/>
      </c>
      <c r="AF77" s="4" t="str">
        <f t="shared" si="16"/>
        <v/>
      </c>
      <c r="AG77" s="4" t="str">
        <f t="shared" si="16"/>
        <v/>
      </c>
      <c r="AH77" s="4" t="str">
        <f t="shared" si="16"/>
        <v/>
      </c>
      <c r="AI77" s="4" t="str">
        <f t="shared" si="16"/>
        <v/>
      </c>
      <c r="AJ77" s="4" t="str">
        <f t="shared" si="16"/>
        <v/>
      </c>
      <c r="AK77" s="4" t="str">
        <f t="shared" si="16"/>
        <v/>
      </c>
      <c r="AL77" s="4" t="str">
        <f t="shared" si="13"/>
        <v/>
      </c>
      <c r="AM77" s="4" t="str">
        <f t="shared" si="13"/>
        <v/>
      </c>
      <c r="AN77" s="4" t="str">
        <f t="shared" si="13"/>
        <v/>
      </c>
      <c r="AO77" s="4" t="str">
        <f t="shared" si="13"/>
        <v/>
      </c>
      <c r="AP77" s="4" t="str">
        <f t="shared" si="13"/>
        <v/>
      </c>
      <c r="AQ77" s="4" t="str">
        <f t="shared" si="13"/>
        <v/>
      </c>
      <c r="AR77" s="4" t="str">
        <f t="shared" si="13"/>
        <v/>
      </c>
      <c r="AS77" s="5" t="str">
        <f t="shared" si="13"/>
        <v/>
      </c>
      <c r="AT77" s="3" t="str">
        <f t="shared" si="17"/>
        <v/>
      </c>
      <c r="AU77" s="4" t="str">
        <f t="shared" si="17"/>
        <v/>
      </c>
      <c r="AV77" s="4" t="str">
        <f t="shared" si="17"/>
        <v/>
      </c>
      <c r="AW77" s="4" t="str">
        <f t="shared" si="17"/>
        <v/>
      </c>
      <c r="AX77" s="4" t="str">
        <f t="shared" si="17"/>
        <v/>
      </c>
      <c r="AY77" s="4">
        <f t="shared" si="17"/>
        <v>1</v>
      </c>
      <c r="AZ77" s="4" t="str">
        <f t="shared" si="17"/>
        <v/>
      </c>
      <c r="BA77" s="4" t="str">
        <f t="shared" si="17"/>
        <v/>
      </c>
      <c r="BB77" s="4" t="str">
        <f t="shared" si="14"/>
        <v/>
      </c>
      <c r="BC77" s="4" t="str">
        <f t="shared" si="14"/>
        <v/>
      </c>
      <c r="BD77" s="4" t="str">
        <f t="shared" si="14"/>
        <v/>
      </c>
      <c r="BE77" s="4" t="str">
        <f t="shared" si="14"/>
        <v/>
      </c>
      <c r="BF77" s="4" t="str">
        <f t="shared" si="14"/>
        <v/>
      </c>
      <c r="BG77" s="4" t="str">
        <f t="shared" si="14"/>
        <v/>
      </c>
      <c r="BH77" s="4" t="str">
        <f t="shared" si="14"/>
        <v/>
      </c>
      <c r="BI77" s="5" t="str">
        <f t="shared" si="14"/>
        <v/>
      </c>
    </row>
    <row r="78" spans="1:61" x14ac:dyDescent="0.25">
      <c r="A78">
        <v>640027</v>
      </c>
      <c r="B78" t="s">
        <v>15</v>
      </c>
      <c r="C78" t="s">
        <v>16</v>
      </c>
      <c r="D78">
        <v>378</v>
      </c>
      <c r="E78">
        <v>3627</v>
      </c>
      <c r="F78">
        <v>5</v>
      </c>
      <c r="G78">
        <v>20133</v>
      </c>
      <c r="H78" t="s">
        <v>0</v>
      </c>
      <c r="I78">
        <v>241553.141</v>
      </c>
      <c r="J78">
        <v>8029</v>
      </c>
      <c r="K78">
        <v>178148.42</v>
      </c>
      <c r="L78">
        <v>176940.26</v>
      </c>
      <c r="M78">
        <v>1208.1600000000001</v>
      </c>
      <c r="N78" s="3" t="str">
        <f t="shared" si="15"/>
        <v/>
      </c>
      <c r="O78" s="4" t="str">
        <f t="shared" si="15"/>
        <v/>
      </c>
      <c r="P78" s="4" t="str">
        <f t="shared" si="15"/>
        <v/>
      </c>
      <c r="Q78" s="4" t="str">
        <f t="shared" si="15"/>
        <v/>
      </c>
      <c r="R78" s="4" t="str">
        <f t="shared" si="15"/>
        <v/>
      </c>
      <c r="S78" s="4" t="str">
        <f t="shared" si="15"/>
        <v/>
      </c>
      <c r="T78" s="4" t="str">
        <f t="shared" si="15"/>
        <v/>
      </c>
      <c r="U78" s="4" t="str">
        <f t="shared" si="15"/>
        <v/>
      </c>
      <c r="V78" s="4" t="str">
        <f t="shared" si="12"/>
        <v/>
      </c>
      <c r="W78" s="4" t="str">
        <f t="shared" si="12"/>
        <v/>
      </c>
      <c r="X78" s="4" t="str">
        <f t="shared" si="12"/>
        <v/>
      </c>
      <c r="Y78" s="4" t="str">
        <f t="shared" si="12"/>
        <v/>
      </c>
      <c r="Z78" s="4" t="str">
        <f t="shared" si="12"/>
        <v/>
      </c>
      <c r="AA78" s="4" t="str">
        <f t="shared" si="12"/>
        <v/>
      </c>
      <c r="AB78" s="4" t="str">
        <f t="shared" si="12"/>
        <v/>
      </c>
      <c r="AC78" s="5" t="str">
        <f t="shared" si="12"/>
        <v/>
      </c>
      <c r="AD78" s="3" t="str">
        <f t="shared" si="16"/>
        <v/>
      </c>
      <c r="AE78" s="4" t="str">
        <f t="shared" si="16"/>
        <v/>
      </c>
      <c r="AF78" s="4" t="str">
        <f t="shared" si="16"/>
        <v/>
      </c>
      <c r="AG78" s="4" t="str">
        <f t="shared" si="16"/>
        <v/>
      </c>
      <c r="AH78" s="4" t="str">
        <f t="shared" si="16"/>
        <v/>
      </c>
      <c r="AI78" s="4" t="str">
        <f t="shared" si="16"/>
        <v/>
      </c>
      <c r="AJ78" s="4" t="str">
        <f t="shared" si="16"/>
        <v/>
      </c>
      <c r="AK78" s="4" t="str">
        <f t="shared" si="16"/>
        <v/>
      </c>
      <c r="AL78" s="4" t="str">
        <f t="shared" si="13"/>
        <v/>
      </c>
      <c r="AM78" s="4" t="str">
        <f t="shared" si="13"/>
        <v/>
      </c>
      <c r="AN78" s="4" t="str">
        <f t="shared" si="13"/>
        <v/>
      </c>
      <c r="AO78" s="4" t="str">
        <f t="shared" si="13"/>
        <v/>
      </c>
      <c r="AP78" s="4" t="str">
        <f t="shared" si="13"/>
        <v/>
      </c>
      <c r="AQ78" s="4" t="str">
        <f t="shared" si="13"/>
        <v/>
      </c>
      <c r="AR78" s="4" t="str">
        <f t="shared" si="13"/>
        <v/>
      </c>
      <c r="AS78" s="5" t="str">
        <f t="shared" si="13"/>
        <v/>
      </c>
      <c r="AT78" s="3" t="str">
        <f t="shared" si="17"/>
        <v/>
      </c>
      <c r="AU78" s="4" t="str">
        <f t="shared" si="17"/>
        <v/>
      </c>
      <c r="AV78" s="4" t="str">
        <f t="shared" si="17"/>
        <v/>
      </c>
      <c r="AW78" s="4" t="str">
        <f t="shared" si="17"/>
        <v/>
      </c>
      <c r="AX78" s="4" t="str">
        <f t="shared" si="17"/>
        <v/>
      </c>
      <c r="AY78" s="4" t="str">
        <f t="shared" si="17"/>
        <v/>
      </c>
      <c r="AZ78" s="4">
        <f t="shared" si="17"/>
        <v>1</v>
      </c>
      <c r="BA78" s="4" t="str">
        <f t="shared" si="17"/>
        <v/>
      </c>
      <c r="BB78" s="4" t="str">
        <f t="shared" si="14"/>
        <v/>
      </c>
      <c r="BC78" s="4" t="str">
        <f t="shared" si="14"/>
        <v/>
      </c>
      <c r="BD78" s="4" t="str">
        <f t="shared" si="14"/>
        <v/>
      </c>
      <c r="BE78" s="4" t="str">
        <f t="shared" si="14"/>
        <v/>
      </c>
      <c r="BF78" s="4" t="str">
        <f t="shared" si="14"/>
        <v/>
      </c>
      <c r="BG78" s="4" t="str">
        <f t="shared" si="14"/>
        <v/>
      </c>
      <c r="BH78" s="4" t="str">
        <f t="shared" si="14"/>
        <v/>
      </c>
      <c r="BI78" s="5" t="str">
        <f t="shared" si="14"/>
        <v/>
      </c>
    </row>
    <row r="79" spans="1:61" x14ac:dyDescent="0.25">
      <c r="A79">
        <v>640028</v>
      </c>
      <c r="B79" t="s">
        <v>15</v>
      </c>
      <c r="C79" t="s">
        <v>16</v>
      </c>
      <c r="D79">
        <v>378</v>
      </c>
      <c r="E79">
        <v>3627</v>
      </c>
      <c r="F79">
        <v>5</v>
      </c>
      <c r="G79">
        <v>20134</v>
      </c>
      <c r="H79" t="s">
        <v>0</v>
      </c>
      <c r="I79">
        <v>263913.00099999999</v>
      </c>
      <c r="J79">
        <v>8783</v>
      </c>
      <c r="K79">
        <v>184915.49</v>
      </c>
      <c r="L79">
        <v>183521.94</v>
      </c>
      <c r="M79">
        <v>1393.55</v>
      </c>
      <c r="N79" s="3" t="str">
        <f t="shared" si="15"/>
        <v/>
      </c>
      <c r="O79" s="4" t="str">
        <f t="shared" si="15"/>
        <v/>
      </c>
      <c r="P79" s="4" t="str">
        <f t="shared" si="15"/>
        <v/>
      </c>
      <c r="Q79" s="4" t="str">
        <f t="shared" si="15"/>
        <v/>
      </c>
      <c r="R79" s="4" t="str">
        <f t="shared" si="15"/>
        <v/>
      </c>
      <c r="S79" s="4" t="str">
        <f t="shared" si="15"/>
        <v/>
      </c>
      <c r="T79" s="4" t="str">
        <f t="shared" si="15"/>
        <v/>
      </c>
      <c r="U79" s="4" t="str">
        <f t="shared" si="15"/>
        <v/>
      </c>
      <c r="V79" s="4" t="str">
        <f t="shared" si="12"/>
        <v/>
      </c>
      <c r="W79" s="4" t="str">
        <f t="shared" si="12"/>
        <v/>
      </c>
      <c r="X79" s="4" t="str">
        <f t="shared" si="12"/>
        <v/>
      </c>
      <c r="Y79" s="4" t="str">
        <f t="shared" si="12"/>
        <v/>
      </c>
      <c r="Z79" s="4" t="str">
        <f t="shared" si="12"/>
        <v/>
      </c>
      <c r="AA79" s="4" t="str">
        <f t="shared" si="12"/>
        <v/>
      </c>
      <c r="AB79" s="4" t="str">
        <f t="shared" si="12"/>
        <v/>
      </c>
      <c r="AC79" s="5" t="str">
        <f t="shared" si="12"/>
        <v/>
      </c>
      <c r="AD79" s="3" t="str">
        <f t="shared" si="16"/>
        <v/>
      </c>
      <c r="AE79" s="4" t="str">
        <f t="shared" si="16"/>
        <v/>
      </c>
      <c r="AF79" s="4" t="str">
        <f t="shared" si="16"/>
        <v/>
      </c>
      <c r="AG79" s="4" t="str">
        <f t="shared" si="16"/>
        <v/>
      </c>
      <c r="AH79" s="4" t="str">
        <f t="shared" si="16"/>
        <v/>
      </c>
      <c r="AI79" s="4" t="str">
        <f t="shared" si="16"/>
        <v/>
      </c>
      <c r="AJ79" s="4" t="str">
        <f t="shared" si="16"/>
        <v/>
      </c>
      <c r="AK79" s="4" t="str">
        <f t="shared" si="16"/>
        <v/>
      </c>
      <c r="AL79" s="4" t="str">
        <f t="shared" si="13"/>
        <v/>
      </c>
      <c r="AM79" s="4" t="str">
        <f t="shared" si="13"/>
        <v/>
      </c>
      <c r="AN79" s="4" t="str">
        <f t="shared" si="13"/>
        <v/>
      </c>
      <c r="AO79" s="4" t="str">
        <f t="shared" si="13"/>
        <v/>
      </c>
      <c r="AP79" s="4" t="str">
        <f t="shared" si="13"/>
        <v/>
      </c>
      <c r="AQ79" s="4" t="str">
        <f t="shared" si="13"/>
        <v/>
      </c>
      <c r="AR79" s="4" t="str">
        <f t="shared" si="13"/>
        <v/>
      </c>
      <c r="AS79" s="5" t="str">
        <f t="shared" si="13"/>
        <v/>
      </c>
      <c r="AT79" s="3" t="str">
        <f t="shared" si="17"/>
        <v/>
      </c>
      <c r="AU79" s="4" t="str">
        <f t="shared" si="17"/>
        <v/>
      </c>
      <c r="AV79" s="4" t="str">
        <f t="shared" si="17"/>
        <v/>
      </c>
      <c r="AW79" s="4" t="str">
        <f t="shared" si="17"/>
        <v/>
      </c>
      <c r="AX79" s="4" t="str">
        <f t="shared" si="17"/>
        <v/>
      </c>
      <c r="AY79" s="4" t="str">
        <f t="shared" si="17"/>
        <v/>
      </c>
      <c r="AZ79" s="4" t="str">
        <f t="shared" si="17"/>
        <v/>
      </c>
      <c r="BA79" s="4">
        <f t="shared" si="17"/>
        <v>1</v>
      </c>
      <c r="BB79" s="4" t="str">
        <f t="shared" si="14"/>
        <v/>
      </c>
      <c r="BC79" s="4" t="str">
        <f t="shared" si="14"/>
        <v/>
      </c>
      <c r="BD79" s="4" t="str">
        <f t="shared" si="14"/>
        <v/>
      </c>
      <c r="BE79" s="4" t="str">
        <f t="shared" si="14"/>
        <v/>
      </c>
      <c r="BF79" s="4" t="str">
        <f t="shared" si="14"/>
        <v/>
      </c>
      <c r="BG79" s="4" t="str">
        <f t="shared" si="14"/>
        <v/>
      </c>
      <c r="BH79" s="4" t="str">
        <f t="shared" si="14"/>
        <v/>
      </c>
      <c r="BI79" s="5" t="str">
        <f t="shared" si="14"/>
        <v/>
      </c>
    </row>
    <row r="80" spans="1:61" x14ac:dyDescent="0.25">
      <c r="A80">
        <v>640029</v>
      </c>
      <c r="B80" t="s">
        <v>15</v>
      </c>
      <c r="C80" t="s">
        <v>16</v>
      </c>
      <c r="D80">
        <v>378</v>
      </c>
      <c r="E80">
        <v>3627</v>
      </c>
      <c r="F80">
        <v>77</v>
      </c>
      <c r="G80">
        <v>20131</v>
      </c>
      <c r="H80" t="s">
        <v>0</v>
      </c>
      <c r="I80">
        <v>850636.73600000003</v>
      </c>
      <c r="J80">
        <v>27525</v>
      </c>
      <c r="K80">
        <v>1124346.52</v>
      </c>
      <c r="L80">
        <v>1076854.33</v>
      </c>
      <c r="M80">
        <v>47492.19</v>
      </c>
      <c r="N80" s="3" t="str">
        <f t="shared" si="15"/>
        <v/>
      </c>
      <c r="O80" s="4" t="str">
        <f t="shared" si="15"/>
        <v/>
      </c>
      <c r="P80" s="4" t="str">
        <f t="shared" si="15"/>
        <v/>
      </c>
      <c r="Q80" s="4" t="str">
        <f t="shared" si="15"/>
        <v/>
      </c>
      <c r="R80" s="4" t="str">
        <f t="shared" si="15"/>
        <v/>
      </c>
      <c r="S80" s="4" t="str">
        <f t="shared" si="15"/>
        <v/>
      </c>
      <c r="T80" s="4" t="str">
        <f t="shared" si="15"/>
        <v/>
      </c>
      <c r="U80" s="4" t="str">
        <f t="shared" si="15"/>
        <v/>
      </c>
      <c r="V80" s="4" t="str">
        <f t="shared" si="12"/>
        <v/>
      </c>
      <c r="W80" s="4" t="str">
        <f t="shared" si="12"/>
        <v/>
      </c>
      <c r="X80" s="4" t="str">
        <f t="shared" si="12"/>
        <v/>
      </c>
      <c r="Y80" s="4" t="str">
        <f t="shared" si="12"/>
        <v/>
      </c>
      <c r="Z80" s="4" t="str">
        <f t="shared" si="12"/>
        <v/>
      </c>
      <c r="AA80" s="4" t="str">
        <f t="shared" si="12"/>
        <v/>
      </c>
      <c r="AB80" s="4" t="str">
        <f t="shared" si="12"/>
        <v/>
      </c>
      <c r="AC80" s="5" t="str">
        <f t="shared" si="12"/>
        <v/>
      </c>
      <c r="AD80" s="3" t="str">
        <f t="shared" si="16"/>
        <v/>
      </c>
      <c r="AE80" s="4" t="str">
        <f t="shared" si="16"/>
        <v/>
      </c>
      <c r="AF80" s="4" t="str">
        <f t="shared" si="16"/>
        <v/>
      </c>
      <c r="AG80" s="4" t="str">
        <f t="shared" si="16"/>
        <v/>
      </c>
      <c r="AH80" s="4" t="str">
        <f t="shared" si="16"/>
        <v/>
      </c>
      <c r="AI80" s="4" t="str">
        <f t="shared" si="16"/>
        <v/>
      </c>
      <c r="AJ80" s="4" t="str">
        <f t="shared" si="16"/>
        <v/>
      </c>
      <c r="AK80" s="4" t="str">
        <f t="shared" si="16"/>
        <v/>
      </c>
      <c r="AL80" s="4" t="str">
        <f t="shared" si="13"/>
        <v/>
      </c>
      <c r="AM80" s="4" t="str">
        <f t="shared" si="13"/>
        <v/>
      </c>
      <c r="AN80" s="4" t="str">
        <f t="shared" si="13"/>
        <v/>
      </c>
      <c r="AO80" s="4" t="str">
        <f t="shared" si="13"/>
        <v/>
      </c>
      <c r="AP80" s="4" t="str">
        <f t="shared" si="13"/>
        <v/>
      </c>
      <c r="AQ80" s="4" t="str">
        <f t="shared" si="13"/>
        <v/>
      </c>
      <c r="AR80" s="4" t="str">
        <f t="shared" si="13"/>
        <v/>
      </c>
      <c r="AS80" s="5" t="str">
        <f t="shared" si="13"/>
        <v/>
      </c>
      <c r="AT80" s="3" t="str">
        <f t="shared" si="17"/>
        <v/>
      </c>
      <c r="AU80" s="4" t="str">
        <f t="shared" si="17"/>
        <v/>
      </c>
      <c r="AV80" s="4" t="str">
        <f t="shared" si="17"/>
        <v/>
      </c>
      <c r="AW80" s="4" t="str">
        <f t="shared" si="17"/>
        <v/>
      </c>
      <c r="AX80" s="4">
        <f t="shared" si="17"/>
        <v>1</v>
      </c>
      <c r="AY80" s="4" t="str">
        <f t="shared" si="17"/>
        <v/>
      </c>
      <c r="AZ80" s="4" t="str">
        <f t="shared" si="17"/>
        <v/>
      </c>
      <c r="BA80" s="4" t="str">
        <f t="shared" si="17"/>
        <v/>
      </c>
      <c r="BB80" s="4" t="str">
        <f t="shared" si="14"/>
        <v/>
      </c>
      <c r="BC80" s="4" t="str">
        <f t="shared" si="14"/>
        <v/>
      </c>
      <c r="BD80" s="4" t="str">
        <f t="shared" si="14"/>
        <v/>
      </c>
      <c r="BE80" s="4" t="str">
        <f t="shared" si="14"/>
        <v/>
      </c>
      <c r="BF80" s="4" t="str">
        <f t="shared" si="14"/>
        <v/>
      </c>
      <c r="BG80" s="4" t="str">
        <f t="shared" si="14"/>
        <v/>
      </c>
      <c r="BH80" s="4" t="str">
        <f t="shared" si="14"/>
        <v/>
      </c>
      <c r="BI80" s="5" t="str">
        <f t="shared" si="14"/>
        <v/>
      </c>
    </row>
    <row r="81" spans="1:61" x14ac:dyDescent="0.25">
      <c r="A81">
        <v>640030</v>
      </c>
      <c r="B81" t="s">
        <v>15</v>
      </c>
      <c r="C81" t="s">
        <v>16</v>
      </c>
      <c r="D81">
        <v>378</v>
      </c>
      <c r="E81">
        <v>3627</v>
      </c>
      <c r="F81">
        <v>77</v>
      </c>
      <c r="G81">
        <v>20132</v>
      </c>
      <c r="H81" t="s">
        <v>0</v>
      </c>
      <c r="I81">
        <v>790523.00199999998</v>
      </c>
      <c r="J81">
        <v>25742</v>
      </c>
      <c r="K81">
        <v>781672.44</v>
      </c>
      <c r="L81">
        <v>764474.82</v>
      </c>
      <c r="M81">
        <v>17197.62</v>
      </c>
      <c r="N81" s="3" t="str">
        <f t="shared" si="15"/>
        <v/>
      </c>
      <c r="O81" s="4" t="str">
        <f t="shared" si="15"/>
        <v/>
      </c>
      <c r="P81" s="4" t="str">
        <f t="shared" si="15"/>
        <v/>
      </c>
      <c r="Q81" s="4" t="str">
        <f t="shared" si="15"/>
        <v/>
      </c>
      <c r="R81" s="4" t="str">
        <f t="shared" si="15"/>
        <v/>
      </c>
      <c r="S81" s="4" t="str">
        <f t="shared" si="15"/>
        <v/>
      </c>
      <c r="T81" s="4" t="str">
        <f t="shared" si="15"/>
        <v/>
      </c>
      <c r="U81" s="4" t="str">
        <f t="shared" si="15"/>
        <v/>
      </c>
      <c r="V81" s="4" t="str">
        <f t="shared" si="12"/>
        <v/>
      </c>
      <c r="W81" s="4" t="str">
        <f t="shared" si="12"/>
        <v/>
      </c>
      <c r="X81" s="4" t="str">
        <f t="shared" si="12"/>
        <v/>
      </c>
      <c r="Y81" s="4" t="str">
        <f t="shared" si="12"/>
        <v/>
      </c>
      <c r="Z81" s="4" t="str">
        <f t="shared" si="12"/>
        <v/>
      </c>
      <c r="AA81" s="4" t="str">
        <f t="shared" si="12"/>
        <v/>
      </c>
      <c r="AB81" s="4" t="str">
        <f t="shared" si="12"/>
        <v/>
      </c>
      <c r="AC81" s="5" t="str">
        <f t="shared" ref="W81:AC118" si="18">IF(AND($B81=AC$3, $G81=AC$2, LEFT($H81, 6)=AC$1), 1, "")</f>
        <v/>
      </c>
      <c r="AD81" s="3" t="str">
        <f t="shared" si="16"/>
        <v/>
      </c>
      <c r="AE81" s="4" t="str">
        <f t="shared" si="16"/>
        <v/>
      </c>
      <c r="AF81" s="4" t="str">
        <f t="shared" si="16"/>
        <v/>
      </c>
      <c r="AG81" s="4" t="str">
        <f t="shared" si="16"/>
        <v/>
      </c>
      <c r="AH81" s="4" t="str">
        <f t="shared" si="16"/>
        <v/>
      </c>
      <c r="AI81" s="4" t="str">
        <f t="shared" si="16"/>
        <v/>
      </c>
      <c r="AJ81" s="4" t="str">
        <f t="shared" si="16"/>
        <v/>
      </c>
      <c r="AK81" s="4" t="str">
        <f t="shared" si="16"/>
        <v/>
      </c>
      <c r="AL81" s="4" t="str">
        <f t="shared" si="13"/>
        <v/>
      </c>
      <c r="AM81" s="4" t="str">
        <f t="shared" si="13"/>
        <v/>
      </c>
      <c r="AN81" s="4" t="str">
        <f t="shared" si="13"/>
        <v/>
      </c>
      <c r="AO81" s="4" t="str">
        <f t="shared" si="13"/>
        <v/>
      </c>
      <c r="AP81" s="4" t="str">
        <f t="shared" si="13"/>
        <v/>
      </c>
      <c r="AQ81" s="4" t="str">
        <f t="shared" si="13"/>
        <v/>
      </c>
      <c r="AR81" s="4" t="str">
        <f t="shared" si="13"/>
        <v/>
      </c>
      <c r="AS81" s="5" t="str">
        <f t="shared" ref="AM81:AS118" si="19">IF(AND($B81=AS$3, $G81=AS$2, LEFT($H81, 6)=AS$1), 1, "")</f>
        <v/>
      </c>
      <c r="AT81" s="3" t="str">
        <f t="shared" si="17"/>
        <v/>
      </c>
      <c r="AU81" s="4" t="str">
        <f t="shared" si="17"/>
        <v/>
      </c>
      <c r="AV81" s="4" t="str">
        <f t="shared" si="17"/>
        <v/>
      </c>
      <c r="AW81" s="4" t="str">
        <f t="shared" si="17"/>
        <v/>
      </c>
      <c r="AX81" s="4" t="str">
        <f t="shared" si="17"/>
        <v/>
      </c>
      <c r="AY81" s="4">
        <f t="shared" si="17"/>
        <v>1</v>
      </c>
      <c r="AZ81" s="4" t="str">
        <f t="shared" si="17"/>
        <v/>
      </c>
      <c r="BA81" s="4" t="str">
        <f t="shared" si="17"/>
        <v/>
      </c>
      <c r="BB81" s="4" t="str">
        <f t="shared" si="14"/>
        <v/>
      </c>
      <c r="BC81" s="4" t="str">
        <f t="shared" si="14"/>
        <v/>
      </c>
      <c r="BD81" s="4" t="str">
        <f t="shared" si="14"/>
        <v/>
      </c>
      <c r="BE81" s="4" t="str">
        <f t="shared" si="14"/>
        <v/>
      </c>
      <c r="BF81" s="4" t="str">
        <f t="shared" si="14"/>
        <v/>
      </c>
      <c r="BG81" s="4" t="str">
        <f t="shared" si="14"/>
        <v/>
      </c>
      <c r="BH81" s="4" t="str">
        <f t="shared" si="14"/>
        <v/>
      </c>
      <c r="BI81" s="5" t="str">
        <f t="shared" ref="BC81:BI118" si="20">IF(AND($B81=BI$3, $G81=BI$2, LEFT($H81, 6)=BI$1), 1, "")</f>
        <v/>
      </c>
    </row>
    <row r="82" spans="1:61" x14ac:dyDescent="0.25">
      <c r="A82">
        <v>640031</v>
      </c>
      <c r="B82" t="s">
        <v>15</v>
      </c>
      <c r="C82" t="s">
        <v>16</v>
      </c>
      <c r="D82">
        <v>378</v>
      </c>
      <c r="E82">
        <v>3627</v>
      </c>
      <c r="F82">
        <v>77</v>
      </c>
      <c r="G82">
        <v>20133</v>
      </c>
      <c r="H82" t="s">
        <v>0</v>
      </c>
      <c r="I82">
        <v>770563.00100000005</v>
      </c>
      <c r="J82">
        <v>25038</v>
      </c>
      <c r="K82">
        <v>639854.78</v>
      </c>
      <c r="L82">
        <v>635473.42000000004</v>
      </c>
      <c r="M82">
        <v>4381.3599999999997</v>
      </c>
      <c r="N82" s="3" t="str">
        <f t="shared" si="15"/>
        <v/>
      </c>
      <c r="O82" s="4" t="str">
        <f t="shared" si="15"/>
        <v/>
      </c>
      <c r="P82" s="4" t="str">
        <f t="shared" si="15"/>
        <v/>
      </c>
      <c r="Q82" s="4" t="str">
        <f t="shared" si="15"/>
        <v/>
      </c>
      <c r="R82" s="4" t="str">
        <f t="shared" si="15"/>
        <v/>
      </c>
      <c r="S82" s="4" t="str">
        <f t="shared" si="15"/>
        <v/>
      </c>
      <c r="T82" s="4" t="str">
        <f t="shared" si="15"/>
        <v/>
      </c>
      <c r="U82" s="4" t="str">
        <f t="shared" si="15"/>
        <v/>
      </c>
      <c r="V82" s="4" t="str">
        <f t="shared" ref="V82:V145" si="21">IF(AND($B82=V$3, $G82=V$2, LEFT($H82, 6)=V$1), 1, "")</f>
        <v/>
      </c>
      <c r="W82" s="4" t="str">
        <f t="shared" si="18"/>
        <v/>
      </c>
      <c r="X82" s="4" t="str">
        <f t="shared" si="18"/>
        <v/>
      </c>
      <c r="Y82" s="4" t="str">
        <f t="shared" si="18"/>
        <v/>
      </c>
      <c r="Z82" s="4" t="str">
        <f t="shared" si="18"/>
        <v/>
      </c>
      <c r="AA82" s="4" t="str">
        <f t="shared" si="18"/>
        <v/>
      </c>
      <c r="AB82" s="4" t="str">
        <f t="shared" si="18"/>
        <v/>
      </c>
      <c r="AC82" s="5" t="str">
        <f t="shared" si="18"/>
        <v/>
      </c>
      <c r="AD82" s="3" t="str">
        <f t="shared" si="16"/>
        <v/>
      </c>
      <c r="AE82" s="4" t="str">
        <f t="shared" si="16"/>
        <v/>
      </c>
      <c r="AF82" s="4" t="str">
        <f t="shared" si="16"/>
        <v/>
      </c>
      <c r="AG82" s="4" t="str">
        <f t="shared" si="16"/>
        <v/>
      </c>
      <c r="AH82" s="4" t="str">
        <f t="shared" si="16"/>
        <v/>
      </c>
      <c r="AI82" s="4" t="str">
        <f t="shared" si="16"/>
        <v/>
      </c>
      <c r="AJ82" s="4" t="str">
        <f t="shared" si="16"/>
        <v/>
      </c>
      <c r="AK82" s="4" t="str">
        <f t="shared" si="16"/>
        <v/>
      </c>
      <c r="AL82" s="4" t="str">
        <f t="shared" ref="AL82:AL145" si="22">IF(AND($B82=AL$3, $G82=AL$2, LEFT($H82, 6)=AL$1), 1, "")</f>
        <v/>
      </c>
      <c r="AM82" s="4" t="str">
        <f t="shared" si="19"/>
        <v/>
      </c>
      <c r="AN82" s="4" t="str">
        <f t="shared" si="19"/>
        <v/>
      </c>
      <c r="AO82" s="4" t="str">
        <f t="shared" si="19"/>
        <v/>
      </c>
      <c r="AP82" s="4" t="str">
        <f t="shared" si="19"/>
        <v/>
      </c>
      <c r="AQ82" s="4" t="str">
        <f t="shared" si="19"/>
        <v/>
      </c>
      <c r="AR82" s="4" t="str">
        <f t="shared" si="19"/>
        <v/>
      </c>
      <c r="AS82" s="5" t="str">
        <f t="shared" si="19"/>
        <v/>
      </c>
      <c r="AT82" s="3" t="str">
        <f t="shared" si="17"/>
        <v/>
      </c>
      <c r="AU82" s="4" t="str">
        <f t="shared" si="17"/>
        <v/>
      </c>
      <c r="AV82" s="4" t="str">
        <f t="shared" si="17"/>
        <v/>
      </c>
      <c r="AW82" s="4" t="str">
        <f t="shared" si="17"/>
        <v/>
      </c>
      <c r="AX82" s="4" t="str">
        <f t="shared" si="17"/>
        <v/>
      </c>
      <c r="AY82" s="4" t="str">
        <f t="shared" si="17"/>
        <v/>
      </c>
      <c r="AZ82" s="4">
        <f t="shared" si="17"/>
        <v>1</v>
      </c>
      <c r="BA82" s="4" t="str">
        <f t="shared" si="17"/>
        <v/>
      </c>
      <c r="BB82" s="4" t="str">
        <f t="shared" ref="BB82:BB145" si="23">IF(AND($B82=BB$3, $G82=BB$2, LEFT($H82, 6)=BB$1), 1, "")</f>
        <v/>
      </c>
      <c r="BC82" s="4" t="str">
        <f t="shared" si="20"/>
        <v/>
      </c>
      <c r="BD82" s="4" t="str">
        <f t="shared" si="20"/>
        <v/>
      </c>
      <c r="BE82" s="4" t="str">
        <f t="shared" si="20"/>
        <v/>
      </c>
      <c r="BF82" s="4" t="str">
        <f t="shared" si="20"/>
        <v/>
      </c>
      <c r="BG82" s="4" t="str">
        <f t="shared" si="20"/>
        <v/>
      </c>
      <c r="BH82" s="4" t="str">
        <f t="shared" si="20"/>
        <v/>
      </c>
      <c r="BI82" s="5" t="str">
        <f t="shared" si="20"/>
        <v/>
      </c>
    </row>
    <row r="83" spans="1:61" x14ac:dyDescent="0.25">
      <c r="A83">
        <v>640032</v>
      </c>
      <c r="B83" t="s">
        <v>15</v>
      </c>
      <c r="C83" t="s">
        <v>16</v>
      </c>
      <c r="D83">
        <v>378</v>
      </c>
      <c r="E83">
        <v>3627</v>
      </c>
      <c r="F83">
        <v>77</v>
      </c>
      <c r="G83">
        <v>20134</v>
      </c>
      <c r="H83" t="s">
        <v>0</v>
      </c>
      <c r="I83">
        <v>506751.00199999998</v>
      </c>
      <c r="J83">
        <v>16477</v>
      </c>
      <c r="K83">
        <v>405267.16</v>
      </c>
      <c r="L83">
        <v>402053.45</v>
      </c>
      <c r="M83">
        <v>3213.71</v>
      </c>
      <c r="N83" s="3" t="str">
        <f t="shared" si="15"/>
        <v/>
      </c>
      <c r="O83" s="4" t="str">
        <f t="shared" si="15"/>
        <v/>
      </c>
      <c r="P83" s="4" t="str">
        <f t="shared" si="15"/>
        <v/>
      </c>
      <c r="Q83" s="4" t="str">
        <f t="shared" si="15"/>
        <v/>
      </c>
      <c r="R83" s="4" t="str">
        <f t="shared" si="15"/>
        <v/>
      </c>
      <c r="S83" s="4" t="str">
        <f t="shared" si="15"/>
        <v/>
      </c>
      <c r="T83" s="4" t="str">
        <f t="shared" ref="N83:U115" si="24">IF(AND($B83=T$3, $G83=T$2, $H83=T$1), 1, "")</f>
        <v/>
      </c>
      <c r="U83" s="4" t="str">
        <f t="shared" si="24"/>
        <v/>
      </c>
      <c r="V83" s="4" t="str">
        <f t="shared" si="21"/>
        <v/>
      </c>
      <c r="W83" s="4" t="str">
        <f t="shared" si="18"/>
        <v/>
      </c>
      <c r="X83" s="4" t="str">
        <f t="shared" si="18"/>
        <v/>
      </c>
      <c r="Y83" s="4" t="str">
        <f t="shared" si="18"/>
        <v/>
      </c>
      <c r="Z83" s="4" t="str">
        <f t="shared" si="18"/>
        <v/>
      </c>
      <c r="AA83" s="4" t="str">
        <f t="shared" si="18"/>
        <v/>
      </c>
      <c r="AB83" s="4" t="str">
        <f t="shared" si="18"/>
        <v/>
      </c>
      <c r="AC83" s="5" t="str">
        <f t="shared" si="18"/>
        <v/>
      </c>
      <c r="AD83" s="3" t="str">
        <f t="shared" si="16"/>
        <v/>
      </c>
      <c r="AE83" s="4" t="str">
        <f t="shared" si="16"/>
        <v/>
      </c>
      <c r="AF83" s="4" t="str">
        <f t="shared" si="16"/>
        <v/>
      </c>
      <c r="AG83" s="4" t="str">
        <f t="shared" si="16"/>
        <v/>
      </c>
      <c r="AH83" s="4" t="str">
        <f t="shared" si="16"/>
        <v/>
      </c>
      <c r="AI83" s="4" t="str">
        <f t="shared" si="16"/>
        <v/>
      </c>
      <c r="AJ83" s="4" t="str">
        <f t="shared" ref="AD83:AK115" si="25">IF(AND($B83=AJ$3, $G83=AJ$2, $H83=AJ$1), 1, "")</f>
        <v/>
      </c>
      <c r="AK83" s="4" t="str">
        <f t="shared" si="25"/>
        <v/>
      </c>
      <c r="AL83" s="4" t="str">
        <f t="shared" si="22"/>
        <v/>
      </c>
      <c r="AM83" s="4" t="str">
        <f t="shared" si="19"/>
        <v/>
      </c>
      <c r="AN83" s="4" t="str">
        <f t="shared" si="19"/>
        <v/>
      </c>
      <c r="AO83" s="4" t="str">
        <f t="shared" si="19"/>
        <v/>
      </c>
      <c r="AP83" s="4" t="str">
        <f t="shared" si="19"/>
        <v/>
      </c>
      <c r="AQ83" s="4" t="str">
        <f t="shared" si="19"/>
        <v/>
      </c>
      <c r="AR83" s="4" t="str">
        <f t="shared" si="19"/>
        <v/>
      </c>
      <c r="AS83" s="5" t="str">
        <f t="shared" si="19"/>
        <v/>
      </c>
      <c r="AT83" s="3" t="str">
        <f t="shared" si="17"/>
        <v/>
      </c>
      <c r="AU83" s="4" t="str">
        <f t="shared" si="17"/>
        <v/>
      </c>
      <c r="AV83" s="4" t="str">
        <f t="shared" si="17"/>
        <v/>
      </c>
      <c r="AW83" s="4" t="str">
        <f t="shared" si="17"/>
        <v/>
      </c>
      <c r="AX83" s="4" t="str">
        <f t="shared" si="17"/>
        <v/>
      </c>
      <c r="AY83" s="4" t="str">
        <f t="shared" si="17"/>
        <v/>
      </c>
      <c r="AZ83" s="4" t="str">
        <f t="shared" ref="AT83:BA115" si="26">IF(AND($B83=AZ$3, $G83=AZ$2, $H83=AZ$1), 1, "")</f>
        <v/>
      </c>
      <c r="BA83" s="4">
        <f t="shared" si="26"/>
        <v>1</v>
      </c>
      <c r="BB83" s="4" t="str">
        <f t="shared" si="23"/>
        <v/>
      </c>
      <c r="BC83" s="4" t="str">
        <f t="shared" si="20"/>
        <v/>
      </c>
      <c r="BD83" s="4" t="str">
        <f t="shared" si="20"/>
        <v/>
      </c>
      <c r="BE83" s="4" t="str">
        <f t="shared" si="20"/>
        <v/>
      </c>
      <c r="BF83" s="4" t="str">
        <f t="shared" si="20"/>
        <v/>
      </c>
      <c r="BG83" s="4" t="str">
        <f t="shared" si="20"/>
        <v/>
      </c>
      <c r="BH83" s="4" t="str">
        <f t="shared" si="20"/>
        <v/>
      </c>
      <c r="BI83" s="5" t="str">
        <f t="shared" si="20"/>
        <v/>
      </c>
    </row>
    <row r="84" spans="1:61" x14ac:dyDescent="0.25">
      <c r="A84">
        <v>640033</v>
      </c>
      <c r="B84" t="s">
        <v>15</v>
      </c>
      <c r="C84" t="s">
        <v>16</v>
      </c>
      <c r="D84">
        <v>378</v>
      </c>
      <c r="E84">
        <v>3627</v>
      </c>
      <c r="F84">
        <v>93</v>
      </c>
      <c r="G84">
        <v>20131</v>
      </c>
      <c r="H84" t="s">
        <v>0</v>
      </c>
      <c r="I84">
        <v>645958.33100000001</v>
      </c>
      <c r="J84">
        <v>18824</v>
      </c>
      <c r="K84">
        <v>776823.11</v>
      </c>
      <c r="L84">
        <v>763866.7</v>
      </c>
      <c r="M84">
        <v>12956.41</v>
      </c>
      <c r="N84" s="3" t="str">
        <f t="shared" si="24"/>
        <v/>
      </c>
      <c r="O84" s="4" t="str">
        <f t="shared" si="24"/>
        <v/>
      </c>
      <c r="P84" s="4" t="str">
        <f t="shared" si="24"/>
        <v/>
      </c>
      <c r="Q84" s="4" t="str">
        <f t="shared" si="24"/>
        <v/>
      </c>
      <c r="R84" s="4" t="str">
        <f t="shared" si="24"/>
        <v/>
      </c>
      <c r="S84" s="4" t="str">
        <f t="shared" si="24"/>
        <v/>
      </c>
      <c r="T84" s="4" t="str">
        <f t="shared" si="24"/>
        <v/>
      </c>
      <c r="U84" s="4" t="str">
        <f t="shared" si="24"/>
        <v/>
      </c>
      <c r="V84" s="4" t="str">
        <f t="shared" si="21"/>
        <v/>
      </c>
      <c r="W84" s="4" t="str">
        <f t="shared" si="18"/>
        <v/>
      </c>
      <c r="X84" s="4" t="str">
        <f t="shared" si="18"/>
        <v/>
      </c>
      <c r="Y84" s="4" t="str">
        <f t="shared" si="18"/>
        <v/>
      </c>
      <c r="Z84" s="4" t="str">
        <f t="shared" si="18"/>
        <v/>
      </c>
      <c r="AA84" s="4" t="str">
        <f t="shared" si="18"/>
        <v/>
      </c>
      <c r="AB84" s="4" t="str">
        <f t="shared" si="18"/>
        <v/>
      </c>
      <c r="AC84" s="5" t="str">
        <f t="shared" si="18"/>
        <v/>
      </c>
      <c r="AD84" s="3" t="str">
        <f t="shared" si="25"/>
        <v/>
      </c>
      <c r="AE84" s="4" t="str">
        <f t="shared" si="25"/>
        <v/>
      </c>
      <c r="AF84" s="4" t="str">
        <f t="shared" si="25"/>
        <v/>
      </c>
      <c r="AG84" s="4" t="str">
        <f t="shared" si="25"/>
        <v/>
      </c>
      <c r="AH84" s="4" t="str">
        <f t="shared" si="25"/>
        <v/>
      </c>
      <c r="AI84" s="4" t="str">
        <f t="shared" si="25"/>
        <v/>
      </c>
      <c r="AJ84" s="4" t="str">
        <f t="shared" si="25"/>
        <v/>
      </c>
      <c r="AK84" s="4" t="str">
        <f t="shared" si="25"/>
        <v/>
      </c>
      <c r="AL84" s="4" t="str">
        <f t="shared" si="22"/>
        <v/>
      </c>
      <c r="AM84" s="4" t="str">
        <f t="shared" si="19"/>
        <v/>
      </c>
      <c r="AN84" s="4" t="str">
        <f t="shared" si="19"/>
        <v/>
      </c>
      <c r="AO84" s="4" t="str">
        <f t="shared" si="19"/>
        <v/>
      </c>
      <c r="AP84" s="4" t="str">
        <f t="shared" si="19"/>
        <v/>
      </c>
      <c r="AQ84" s="4" t="str">
        <f t="shared" si="19"/>
        <v/>
      </c>
      <c r="AR84" s="4" t="str">
        <f t="shared" si="19"/>
        <v/>
      </c>
      <c r="AS84" s="5" t="str">
        <f t="shared" si="19"/>
        <v/>
      </c>
      <c r="AT84" s="3" t="str">
        <f t="shared" si="26"/>
        <v/>
      </c>
      <c r="AU84" s="4" t="str">
        <f t="shared" si="26"/>
        <v/>
      </c>
      <c r="AV84" s="4" t="str">
        <f t="shared" si="26"/>
        <v/>
      </c>
      <c r="AW84" s="4" t="str">
        <f t="shared" si="26"/>
        <v/>
      </c>
      <c r="AX84" s="4">
        <f t="shared" si="26"/>
        <v>1</v>
      </c>
      <c r="AY84" s="4" t="str">
        <f t="shared" si="26"/>
        <v/>
      </c>
      <c r="AZ84" s="4" t="str">
        <f t="shared" si="26"/>
        <v/>
      </c>
      <c r="BA84" s="4" t="str">
        <f t="shared" si="26"/>
        <v/>
      </c>
      <c r="BB84" s="4" t="str">
        <f t="shared" si="23"/>
        <v/>
      </c>
      <c r="BC84" s="4" t="str">
        <f t="shared" si="20"/>
        <v/>
      </c>
      <c r="BD84" s="4" t="str">
        <f t="shared" si="20"/>
        <v/>
      </c>
      <c r="BE84" s="4" t="str">
        <f t="shared" si="20"/>
        <v/>
      </c>
      <c r="BF84" s="4" t="str">
        <f t="shared" si="20"/>
        <v/>
      </c>
      <c r="BG84" s="4" t="str">
        <f t="shared" si="20"/>
        <v/>
      </c>
      <c r="BH84" s="4" t="str">
        <f t="shared" si="20"/>
        <v/>
      </c>
      <c r="BI84" s="5" t="str">
        <f t="shared" si="20"/>
        <v/>
      </c>
    </row>
    <row r="85" spans="1:61" x14ac:dyDescent="0.25">
      <c r="A85">
        <v>640034</v>
      </c>
      <c r="B85" t="s">
        <v>15</v>
      </c>
      <c r="C85" t="s">
        <v>16</v>
      </c>
      <c r="D85">
        <v>378</v>
      </c>
      <c r="E85">
        <v>3627</v>
      </c>
      <c r="F85">
        <v>93</v>
      </c>
      <c r="G85">
        <v>20132</v>
      </c>
      <c r="H85" t="s">
        <v>0</v>
      </c>
      <c r="I85">
        <v>509112.69099999999</v>
      </c>
      <c r="J85">
        <v>16805</v>
      </c>
      <c r="K85">
        <v>505213.18</v>
      </c>
      <c r="L85">
        <v>497882.27</v>
      </c>
      <c r="M85">
        <v>7330.91</v>
      </c>
      <c r="N85" s="3" t="str">
        <f t="shared" si="24"/>
        <v/>
      </c>
      <c r="O85" s="4" t="str">
        <f t="shared" si="24"/>
        <v/>
      </c>
      <c r="P85" s="4" t="str">
        <f t="shared" si="24"/>
        <v/>
      </c>
      <c r="Q85" s="4" t="str">
        <f t="shared" si="24"/>
        <v/>
      </c>
      <c r="R85" s="4" t="str">
        <f t="shared" si="24"/>
        <v/>
      </c>
      <c r="S85" s="4" t="str">
        <f t="shared" si="24"/>
        <v/>
      </c>
      <c r="T85" s="4" t="str">
        <f t="shared" si="24"/>
        <v/>
      </c>
      <c r="U85" s="4" t="str">
        <f t="shared" si="24"/>
        <v/>
      </c>
      <c r="V85" s="4" t="str">
        <f t="shared" si="21"/>
        <v/>
      </c>
      <c r="W85" s="4" t="str">
        <f t="shared" si="18"/>
        <v/>
      </c>
      <c r="X85" s="4" t="str">
        <f t="shared" si="18"/>
        <v/>
      </c>
      <c r="Y85" s="4" t="str">
        <f t="shared" si="18"/>
        <v/>
      </c>
      <c r="Z85" s="4" t="str">
        <f t="shared" si="18"/>
        <v/>
      </c>
      <c r="AA85" s="4" t="str">
        <f t="shared" si="18"/>
        <v/>
      </c>
      <c r="AB85" s="4" t="str">
        <f t="shared" si="18"/>
        <v/>
      </c>
      <c r="AC85" s="5" t="str">
        <f t="shared" si="18"/>
        <v/>
      </c>
      <c r="AD85" s="3" t="str">
        <f t="shared" si="25"/>
        <v/>
      </c>
      <c r="AE85" s="4" t="str">
        <f t="shared" si="25"/>
        <v/>
      </c>
      <c r="AF85" s="4" t="str">
        <f t="shared" si="25"/>
        <v/>
      </c>
      <c r="AG85" s="4" t="str">
        <f t="shared" si="25"/>
        <v/>
      </c>
      <c r="AH85" s="4" t="str">
        <f t="shared" si="25"/>
        <v/>
      </c>
      <c r="AI85" s="4" t="str">
        <f t="shared" si="25"/>
        <v/>
      </c>
      <c r="AJ85" s="4" t="str">
        <f t="shared" si="25"/>
        <v/>
      </c>
      <c r="AK85" s="4" t="str">
        <f t="shared" si="25"/>
        <v/>
      </c>
      <c r="AL85" s="4" t="str">
        <f t="shared" si="22"/>
        <v/>
      </c>
      <c r="AM85" s="4" t="str">
        <f t="shared" si="19"/>
        <v/>
      </c>
      <c r="AN85" s="4" t="str">
        <f t="shared" si="19"/>
        <v/>
      </c>
      <c r="AO85" s="4" t="str">
        <f t="shared" si="19"/>
        <v/>
      </c>
      <c r="AP85" s="4" t="str">
        <f t="shared" si="19"/>
        <v/>
      </c>
      <c r="AQ85" s="4" t="str">
        <f t="shared" si="19"/>
        <v/>
      </c>
      <c r="AR85" s="4" t="str">
        <f t="shared" si="19"/>
        <v/>
      </c>
      <c r="AS85" s="5" t="str">
        <f t="shared" si="19"/>
        <v/>
      </c>
      <c r="AT85" s="3" t="str">
        <f t="shared" si="26"/>
        <v/>
      </c>
      <c r="AU85" s="4" t="str">
        <f t="shared" si="26"/>
        <v/>
      </c>
      <c r="AV85" s="4" t="str">
        <f t="shared" si="26"/>
        <v/>
      </c>
      <c r="AW85" s="4" t="str">
        <f t="shared" si="26"/>
        <v/>
      </c>
      <c r="AX85" s="4" t="str">
        <f t="shared" si="26"/>
        <v/>
      </c>
      <c r="AY85" s="4">
        <f t="shared" si="26"/>
        <v>1</v>
      </c>
      <c r="AZ85" s="4" t="str">
        <f t="shared" si="26"/>
        <v/>
      </c>
      <c r="BA85" s="4" t="str">
        <f t="shared" si="26"/>
        <v/>
      </c>
      <c r="BB85" s="4" t="str">
        <f t="shared" si="23"/>
        <v/>
      </c>
      <c r="BC85" s="4" t="str">
        <f t="shared" si="20"/>
        <v/>
      </c>
      <c r="BD85" s="4" t="str">
        <f t="shared" si="20"/>
        <v/>
      </c>
      <c r="BE85" s="4" t="str">
        <f t="shared" si="20"/>
        <v/>
      </c>
      <c r="BF85" s="4" t="str">
        <f t="shared" si="20"/>
        <v/>
      </c>
      <c r="BG85" s="4" t="str">
        <f t="shared" si="20"/>
        <v/>
      </c>
      <c r="BH85" s="4" t="str">
        <f t="shared" si="20"/>
        <v/>
      </c>
      <c r="BI85" s="5" t="str">
        <f t="shared" si="20"/>
        <v/>
      </c>
    </row>
    <row r="86" spans="1:61" x14ac:dyDescent="0.25">
      <c r="A86">
        <v>640035</v>
      </c>
      <c r="B86" t="s">
        <v>15</v>
      </c>
      <c r="C86" t="s">
        <v>16</v>
      </c>
      <c r="D86">
        <v>378</v>
      </c>
      <c r="E86">
        <v>3627</v>
      </c>
      <c r="F86">
        <v>93</v>
      </c>
      <c r="G86">
        <v>20133</v>
      </c>
      <c r="H86" t="s">
        <v>0</v>
      </c>
      <c r="I86">
        <v>466446</v>
      </c>
      <c r="J86">
        <v>15347</v>
      </c>
      <c r="K86">
        <v>345330.17</v>
      </c>
      <c r="L86">
        <v>344141.25</v>
      </c>
      <c r="M86">
        <v>1188.92</v>
      </c>
      <c r="N86" s="3" t="str">
        <f t="shared" si="24"/>
        <v/>
      </c>
      <c r="O86" s="4" t="str">
        <f t="shared" si="24"/>
        <v/>
      </c>
      <c r="P86" s="4" t="str">
        <f t="shared" si="24"/>
        <v/>
      </c>
      <c r="Q86" s="4" t="str">
        <f t="shared" si="24"/>
        <v/>
      </c>
      <c r="R86" s="4" t="str">
        <f t="shared" si="24"/>
        <v/>
      </c>
      <c r="S86" s="4" t="str">
        <f t="shared" si="24"/>
        <v/>
      </c>
      <c r="T86" s="4" t="str">
        <f t="shared" si="24"/>
        <v/>
      </c>
      <c r="U86" s="4" t="str">
        <f t="shared" si="24"/>
        <v/>
      </c>
      <c r="V86" s="4" t="str">
        <f t="shared" si="21"/>
        <v/>
      </c>
      <c r="W86" s="4" t="str">
        <f t="shared" si="18"/>
        <v/>
      </c>
      <c r="X86" s="4" t="str">
        <f t="shared" si="18"/>
        <v/>
      </c>
      <c r="Y86" s="4" t="str">
        <f t="shared" si="18"/>
        <v/>
      </c>
      <c r="Z86" s="4" t="str">
        <f t="shared" si="18"/>
        <v/>
      </c>
      <c r="AA86" s="4" t="str">
        <f t="shared" si="18"/>
        <v/>
      </c>
      <c r="AB86" s="4" t="str">
        <f t="shared" si="18"/>
        <v/>
      </c>
      <c r="AC86" s="5" t="str">
        <f t="shared" si="18"/>
        <v/>
      </c>
      <c r="AD86" s="3" t="str">
        <f t="shared" si="25"/>
        <v/>
      </c>
      <c r="AE86" s="4" t="str">
        <f t="shared" si="25"/>
        <v/>
      </c>
      <c r="AF86" s="4" t="str">
        <f t="shared" si="25"/>
        <v/>
      </c>
      <c r="AG86" s="4" t="str">
        <f t="shared" si="25"/>
        <v/>
      </c>
      <c r="AH86" s="4" t="str">
        <f t="shared" si="25"/>
        <v/>
      </c>
      <c r="AI86" s="4" t="str">
        <f t="shared" si="25"/>
        <v/>
      </c>
      <c r="AJ86" s="4" t="str">
        <f t="shared" si="25"/>
        <v/>
      </c>
      <c r="AK86" s="4" t="str">
        <f t="shared" si="25"/>
        <v/>
      </c>
      <c r="AL86" s="4" t="str">
        <f t="shared" si="22"/>
        <v/>
      </c>
      <c r="AM86" s="4" t="str">
        <f t="shared" si="19"/>
        <v/>
      </c>
      <c r="AN86" s="4" t="str">
        <f t="shared" si="19"/>
        <v/>
      </c>
      <c r="AO86" s="4" t="str">
        <f t="shared" si="19"/>
        <v/>
      </c>
      <c r="AP86" s="4" t="str">
        <f t="shared" si="19"/>
        <v/>
      </c>
      <c r="AQ86" s="4" t="str">
        <f t="shared" si="19"/>
        <v/>
      </c>
      <c r="AR86" s="4" t="str">
        <f t="shared" si="19"/>
        <v/>
      </c>
      <c r="AS86" s="5" t="str">
        <f t="shared" si="19"/>
        <v/>
      </c>
      <c r="AT86" s="3" t="str">
        <f t="shared" si="26"/>
        <v/>
      </c>
      <c r="AU86" s="4" t="str">
        <f t="shared" si="26"/>
        <v/>
      </c>
      <c r="AV86" s="4" t="str">
        <f t="shared" si="26"/>
        <v/>
      </c>
      <c r="AW86" s="4" t="str">
        <f t="shared" si="26"/>
        <v/>
      </c>
      <c r="AX86" s="4" t="str">
        <f t="shared" si="26"/>
        <v/>
      </c>
      <c r="AY86" s="4" t="str">
        <f t="shared" si="26"/>
        <v/>
      </c>
      <c r="AZ86" s="4">
        <f t="shared" si="26"/>
        <v>1</v>
      </c>
      <c r="BA86" s="4" t="str">
        <f t="shared" si="26"/>
        <v/>
      </c>
      <c r="BB86" s="4" t="str">
        <f t="shared" si="23"/>
        <v/>
      </c>
      <c r="BC86" s="4" t="str">
        <f t="shared" si="20"/>
        <v/>
      </c>
      <c r="BD86" s="4" t="str">
        <f t="shared" si="20"/>
        <v/>
      </c>
      <c r="BE86" s="4" t="str">
        <f t="shared" si="20"/>
        <v/>
      </c>
      <c r="BF86" s="4" t="str">
        <f t="shared" si="20"/>
        <v/>
      </c>
      <c r="BG86" s="4" t="str">
        <f t="shared" si="20"/>
        <v/>
      </c>
      <c r="BH86" s="4" t="str">
        <f t="shared" si="20"/>
        <v/>
      </c>
      <c r="BI86" s="5" t="str">
        <f t="shared" si="20"/>
        <v/>
      </c>
    </row>
    <row r="87" spans="1:61" x14ac:dyDescent="0.25">
      <c r="A87">
        <v>640036</v>
      </c>
      <c r="B87" t="s">
        <v>15</v>
      </c>
      <c r="C87" t="s">
        <v>16</v>
      </c>
      <c r="D87">
        <v>378</v>
      </c>
      <c r="E87">
        <v>3627</v>
      </c>
      <c r="F87">
        <v>93</v>
      </c>
      <c r="G87">
        <v>20134</v>
      </c>
      <c r="H87" t="s">
        <v>0</v>
      </c>
      <c r="I87">
        <v>460165</v>
      </c>
      <c r="J87">
        <v>15214</v>
      </c>
      <c r="K87">
        <v>327145.46000000002</v>
      </c>
      <c r="L87">
        <v>325830.59999999998</v>
      </c>
      <c r="M87">
        <v>1314.86</v>
      </c>
      <c r="N87" s="3" t="str">
        <f t="shared" si="24"/>
        <v/>
      </c>
      <c r="O87" s="4" t="str">
        <f t="shared" si="24"/>
        <v/>
      </c>
      <c r="P87" s="4" t="str">
        <f t="shared" si="24"/>
        <v/>
      </c>
      <c r="Q87" s="4" t="str">
        <f t="shared" si="24"/>
        <v/>
      </c>
      <c r="R87" s="4" t="str">
        <f t="shared" si="24"/>
        <v/>
      </c>
      <c r="S87" s="4" t="str">
        <f t="shared" si="24"/>
        <v/>
      </c>
      <c r="T87" s="4" t="str">
        <f t="shared" si="24"/>
        <v/>
      </c>
      <c r="U87" s="4" t="str">
        <f t="shared" si="24"/>
        <v/>
      </c>
      <c r="V87" s="4" t="str">
        <f t="shared" si="21"/>
        <v/>
      </c>
      <c r="W87" s="4" t="str">
        <f t="shared" si="18"/>
        <v/>
      </c>
      <c r="X87" s="4" t="str">
        <f t="shared" si="18"/>
        <v/>
      </c>
      <c r="Y87" s="4" t="str">
        <f t="shared" si="18"/>
        <v/>
      </c>
      <c r="Z87" s="4" t="str">
        <f t="shared" si="18"/>
        <v/>
      </c>
      <c r="AA87" s="4" t="str">
        <f t="shared" si="18"/>
        <v/>
      </c>
      <c r="AB87" s="4" t="str">
        <f t="shared" si="18"/>
        <v/>
      </c>
      <c r="AC87" s="5" t="str">
        <f t="shared" si="18"/>
        <v/>
      </c>
      <c r="AD87" s="3" t="str">
        <f t="shared" si="25"/>
        <v/>
      </c>
      <c r="AE87" s="4" t="str">
        <f t="shared" si="25"/>
        <v/>
      </c>
      <c r="AF87" s="4" t="str">
        <f t="shared" si="25"/>
        <v/>
      </c>
      <c r="AG87" s="4" t="str">
        <f t="shared" si="25"/>
        <v/>
      </c>
      <c r="AH87" s="4" t="str">
        <f t="shared" si="25"/>
        <v/>
      </c>
      <c r="AI87" s="4" t="str">
        <f t="shared" si="25"/>
        <v/>
      </c>
      <c r="AJ87" s="4" t="str">
        <f t="shared" si="25"/>
        <v/>
      </c>
      <c r="AK87" s="4" t="str">
        <f t="shared" si="25"/>
        <v/>
      </c>
      <c r="AL87" s="4" t="str">
        <f t="shared" si="22"/>
        <v/>
      </c>
      <c r="AM87" s="4" t="str">
        <f t="shared" si="19"/>
        <v/>
      </c>
      <c r="AN87" s="4" t="str">
        <f t="shared" si="19"/>
        <v/>
      </c>
      <c r="AO87" s="4" t="str">
        <f t="shared" si="19"/>
        <v/>
      </c>
      <c r="AP87" s="4" t="str">
        <f t="shared" si="19"/>
        <v/>
      </c>
      <c r="AQ87" s="4" t="str">
        <f t="shared" si="19"/>
        <v/>
      </c>
      <c r="AR87" s="4" t="str">
        <f t="shared" si="19"/>
        <v/>
      </c>
      <c r="AS87" s="5" t="str">
        <f t="shared" si="19"/>
        <v/>
      </c>
      <c r="AT87" s="3" t="str">
        <f t="shared" si="26"/>
        <v/>
      </c>
      <c r="AU87" s="4" t="str">
        <f t="shared" si="26"/>
        <v/>
      </c>
      <c r="AV87" s="4" t="str">
        <f t="shared" si="26"/>
        <v/>
      </c>
      <c r="AW87" s="4" t="str">
        <f t="shared" si="26"/>
        <v/>
      </c>
      <c r="AX87" s="4" t="str">
        <f t="shared" si="26"/>
        <v/>
      </c>
      <c r="AY87" s="4" t="str">
        <f t="shared" si="26"/>
        <v/>
      </c>
      <c r="AZ87" s="4" t="str">
        <f t="shared" si="26"/>
        <v/>
      </c>
      <c r="BA87" s="4">
        <f t="shared" si="26"/>
        <v>1</v>
      </c>
      <c r="BB87" s="4" t="str">
        <f t="shared" si="23"/>
        <v/>
      </c>
      <c r="BC87" s="4" t="str">
        <f t="shared" si="20"/>
        <v/>
      </c>
      <c r="BD87" s="4" t="str">
        <f t="shared" si="20"/>
        <v/>
      </c>
      <c r="BE87" s="4" t="str">
        <f t="shared" si="20"/>
        <v/>
      </c>
      <c r="BF87" s="4" t="str">
        <f t="shared" si="20"/>
        <v/>
      </c>
      <c r="BG87" s="4" t="str">
        <f t="shared" si="20"/>
        <v/>
      </c>
      <c r="BH87" s="4" t="str">
        <f t="shared" si="20"/>
        <v/>
      </c>
      <c r="BI87" s="5" t="str">
        <f t="shared" si="20"/>
        <v/>
      </c>
    </row>
    <row r="88" spans="1:61" x14ac:dyDescent="0.25">
      <c r="A88">
        <v>291924</v>
      </c>
      <c r="B88" t="s">
        <v>14</v>
      </c>
      <c r="C88" t="s">
        <v>16</v>
      </c>
      <c r="D88">
        <v>904</v>
      </c>
      <c r="E88">
        <v>6294</v>
      </c>
      <c r="F88">
        <v>61</v>
      </c>
      <c r="G88">
        <v>20123</v>
      </c>
      <c r="H88" t="s">
        <v>0</v>
      </c>
      <c r="I88">
        <v>43.6</v>
      </c>
      <c r="J88">
        <v>12</v>
      </c>
      <c r="K88">
        <v>126.45</v>
      </c>
      <c r="L88">
        <v>126.45</v>
      </c>
      <c r="M88">
        <v>0</v>
      </c>
      <c r="N88" s="3" t="str">
        <f t="shared" si="24"/>
        <v/>
      </c>
      <c r="O88" s="4" t="str">
        <f t="shared" si="24"/>
        <v/>
      </c>
      <c r="P88" s="4" t="str">
        <f t="shared" si="24"/>
        <v/>
      </c>
      <c r="Q88" s="4" t="str">
        <f t="shared" si="24"/>
        <v/>
      </c>
      <c r="R88" s="4" t="str">
        <f t="shared" si="24"/>
        <v/>
      </c>
      <c r="S88" s="4" t="str">
        <f t="shared" si="24"/>
        <v/>
      </c>
      <c r="T88" s="4" t="str">
        <f t="shared" si="24"/>
        <v/>
      </c>
      <c r="U88" s="4" t="str">
        <f t="shared" si="24"/>
        <v/>
      </c>
      <c r="V88" s="4" t="str">
        <f t="shared" si="21"/>
        <v/>
      </c>
      <c r="W88" s="4" t="str">
        <f t="shared" si="18"/>
        <v/>
      </c>
      <c r="X88" s="4" t="str">
        <f t="shared" si="18"/>
        <v/>
      </c>
      <c r="Y88" s="4" t="str">
        <f t="shared" si="18"/>
        <v/>
      </c>
      <c r="Z88" s="4" t="str">
        <f t="shared" si="18"/>
        <v/>
      </c>
      <c r="AA88" s="4" t="str">
        <f t="shared" si="18"/>
        <v/>
      </c>
      <c r="AB88" s="4" t="str">
        <f t="shared" si="18"/>
        <v/>
      </c>
      <c r="AC88" s="5" t="str">
        <f t="shared" si="18"/>
        <v/>
      </c>
      <c r="AD88" s="3" t="str">
        <f t="shared" si="25"/>
        <v/>
      </c>
      <c r="AE88" s="4" t="str">
        <f t="shared" si="25"/>
        <v/>
      </c>
      <c r="AF88" s="4">
        <f t="shared" si="25"/>
        <v>1</v>
      </c>
      <c r="AG88" s="4" t="str">
        <f t="shared" si="25"/>
        <v/>
      </c>
      <c r="AH88" s="4" t="str">
        <f t="shared" si="25"/>
        <v/>
      </c>
      <c r="AI88" s="4" t="str">
        <f t="shared" si="25"/>
        <v/>
      </c>
      <c r="AJ88" s="4" t="str">
        <f t="shared" si="25"/>
        <v/>
      </c>
      <c r="AK88" s="4" t="str">
        <f t="shared" si="25"/>
        <v/>
      </c>
      <c r="AL88" s="4" t="str">
        <f t="shared" si="22"/>
        <v/>
      </c>
      <c r="AM88" s="4" t="str">
        <f t="shared" si="19"/>
        <v/>
      </c>
      <c r="AN88" s="4" t="str">
        <f t="shared" si="19"/>
        <v/>
      </c>
      <c r="AO88" s="4" t="str">
        <f t="shared" si="19"/>
        <v/>
      </c>
      <c r="AP88" s="4" t="str">
        <f t="shared" si="19"/>
        <v/>
      </c>
      <c r="AQ88" s="4" t="str">
        <f t="shared" si="19"/>
        <v/>
      </c>
      <c r="AR88" s="4" t="str">
        <f t="shared" si="19"/>
        <v/>
      </c>
      <c r="AS88" s="5" t="str">
        <f t="shared" si="19"/>
        <v/>
      </c>
      <c r="AT88" s="3" t="str">
        <f t="shared" si="26"/>
        <v/>
      </c>
      <c r="AU88" s="4" t="str">
        <f t="shared" si="26"/>
        <v/>
      </c>
      <c r="AV88" s="4" t="str">
        <f t="shared" si="26"/>
        <v/>
      </c>
      <c r="AW88" s="4" t="str">
        <f t="shared" si="26"/>
        <v/>
      </c>
      <c r="AX88" s="4" t="str">
        <f t="shared" si="26"/>
        <v/>
      </c>
      <c r="AY88" s="4" t="str">
        <f t="shared" si="26"/>
        <v/>
      </c>
      <c r="AZ88" s="4" t="str">
        <f t="shared" si="26"/>
        <v/>
      </c>
      <c r="BA88" s="4" t="str">
        <f t="shared" si="26"/>
        <v/>
      </c>
      <c r="BB88" s="4" t="str">
        <f t="shared" si="23"/>
        <v/>
      </c>
      <c r="BC88" s="4" t="str">
        <f t="shared" si="20"/>
        <v/>
      </c>
      <c r="BD88" s="4" t="str">
        <f t="shared" si="20"/>
        <v/>
      </c>
      <c r="BE88" s="4" t="str">
        <f t="shared" si="20"/>
        <v/>
      </c>
      <c r="BF88" s="4" t="str">
        <f t="shared" si="20"/>
        <v/>
      </c>
      <c r="BG88" s="4" t="str">
        <f t="shared" si="20"/>
        <v/>
      </c>
      <c r="BH88" s="4" t="str">
        <f t="shared" si="20"/>
        <v/>
      </c>
      <c r="BI88" s="5" t="str">
        <f t="shared" si="20"/>
        <v/>
      </c>
    </row>
    <row r="89" spans="1:61" x14ac:dyDescent="0.25">
      <c r="A89">
        <v>291925</v>
      </c>
      <c r="B89" t="s">
        <v>14</v>
      </c>
      <c r="C89" t="s">
        <v>16</v>
      </c>
      <c r="D89">
        <v>904</v>
      </c>
      <c r="E89">
        <v>6294</v>
      </c>
      <c r="F89">
        <v>61</v>
      </c>
      <c r="G89">
        <v>20124</v>
      </c>
      <c r="H89" t="s">
        <v>0</v>
      </c>
      <c r="I89">
        <v>1313.81</v>
      </c>
      <c r="J89">
        <v>86</v>
      </c>
      <c r="K89">
        <v>2082.8000000000002</v>
      </c>
      <c r="L89">
        <v>2050.8000000000002</v>
      </c>
      <c r="M89">
        <v>32</v>
      </c>
      <c r="N89" s="3" t="str">
        <f t="shared" si="24"/>
        <v/>
      </c>
      <c r="O89" s="4" t="str">
        <f t="shared" si="24"/>
        <v/>
      </c>
      <c r="P89" s="4" t="str">
        <f t="shared" si="24"/>
        <v/>
      </c>
      <c r="Q89" s="4" t="str">
        <f t="shared" si="24"/>
        <v/>
      </c>
      <c r="R89" s="4" t="str">
        <f t="shared" si="24"/>
        <v/>
      </c>
      <c r="S89" s="4" t="str">
        <f t="shared" si="24"/>
        <v/>
      </c>
      <c r="T89" s="4" t="str">
        <f t="shared" si="24"/>
        <v/>
      </c>
      <c r="U89" s="4" t="str">
        <f t="shared" si="24"/>
        <v/>
      </c>
      <c r="V89" s="4" t="str">
        <f t="shared" si="21"/>
        <v/>
      </c>
      <c r="W89" s="4" t="str">
        <f t="shared" si="18"/>
        <v/>
      </c>
      <c r="X89" s="4" t="str">
        <f t="shared" si="18"/>
        <v/>
      </c>
      <c r="Y89" s="4" t="str">
        <f t="shared" si="18"/>
        <v/>
      </c>
      <c r="Z89" s="4" t="str">
        <f t="shared" si="18"/>
        <v/>
      </c>
      <c r="AA89" s="4" t="str">
        <f t="shared" si="18"/>
        <v/>
      </c>
      <c r="AB89" s="4" t="str">
        <f t="shared" si="18"/>
        <v/>
      </c>
      <c r="AC89" s="5" t="str">
        <f t="shared" si="18"/>
        <v/>
      </c>
      <c r="AD89" s="3" t="str">
        <f t="shared" si="25"/>
        <v/>
      </c>
      <c r="AE89" s="4" t="str">
        <f t="shared" si="25"/>
        <v/>
      </c>
      <c r="AF89" s="4" t="str">
        <f t="shared" si="25"/>
        <v/>
      </c>
      <c r="AG89" s="4">
        <f t="shared" si="25"/>
        <v>1</v>
      </c>
      <c r="AH89" s="4" t="str">
        <f t="shared" si="25"/>
        <v/>
      </c>
      <c r="AI89" s="4" t="str">
        <f t="shared" si="25"/>
        <v/>
      </c>
      <c r="AJ89" s="4" t="str">
        <f t="shared" si="25"/>
        <v/>
      </c>
      <c r="AK89" s="4" t="str">
        <f t="shared" si="25"/>
        <v/>
      </c>
      <c r="AL89" s="4" t="str">
        <f t="shared" si="22"/>
        <v/>
      </c>
      <c r="AM89" s="4" t="str">
        <f t="shared" si="19"/>
        <v/>
      </c>
      <c r="AN89" s="4" t="str">
        <f t="shared" si="19"/>
        <v/>
      </c>
      <c r="AO89" s="4" t="str">
        <f t="shared" si="19"/>
        <v/>
      </c>
      <c r="AP89" s="4" t="str">
        <f t="shared" si="19"/>
        <v/>
      </c>
      <c r="AQ89" s="4" t="str">
        <f t="shared" si="19"/>
        <v/>
      </c>
      <c r="AR89" s="4" t="str">
        <f t="shared" si="19"/>
        <v/>
      </c>
      <c r="AS89" s="5" t="str">
        <f t="shared" si="19"/>
        <v/>
      </c>
      <c r="AT89" s="3" t="str">
        <f t="shared" si="26"/>
        <v/>
      </c>
      <c r="AU89" s="4" t="str">
        <f t="shared" si="26"/>
        <v/>
      </c>
      <c r="AV89" s="4" t="str">
        <f t="shared" si="26"/>
        <v/>
      </c>
      <c r="AW89" s="4" t="str">
        <f t="shared" si="26"/>
        <v/>
      </c>
      <c r="AX89" s="4" t="str">
        <f t="shared" si="26"/>
        <v/>
      </c>
      <c r="AY89" s="4" t="str">
        <f t="shared" si="26"/>
        <v/>
      </c>
      <c r="AZ89" s="4" t="str">
        <f t="shared" si="26"/>
        <v/>
      </c>
      <c r="BA89" s="4" t="str">
        <f t="shared" si="26"/>
        <v/>
      </c>
      <c r="BB89" s="4" t="str">
        <f t="shared" si="23"/>
        <v/>
      </c>
      <c r="BC89" s="4" t="str">
        <f t="shared" si="20"/>
        <v/>
      </c>
      <c r="BD89" s="4" t="str">
        <f t="shared" si="20"/>
        <v/>
      </c>
      <c r="BE89" s="4" t="str">
        <f t="shared" si="20"/>
        <v/>
      </c>
      <c r="BF89" s="4" t="str">
        <f t="shared" si="20"/>
        <v/>
      </c>
      <c r="BG89" s="4" t="str">
        <f t="shared" si="20"/>
        <v/>
      </c>
      <c r="BH89" s="4" t="str">
        <f t="shared" si="20"/>
        <v/>
      </c>
      <c r="BI89" s="5" t="str">
        <f t="shared" si="20"/>
        <v/>
      </c>
    </row>
    <row r="90" spans="1:61" x14ac:dyDescent="0.25">
      <c r="A90">
        <v>416912</v>
      </c>
      <c r="B90" t="s">
        <v>15</v>
      </c>
      <c r="C90" t="s">
        <v>16</v>
      </c>
      <c r="D90">
        <v>904</v>
      </c>
      <c r="E90">
        <v>6294</v>
      </c>
      <c r="F90">
        <v>61</v>
      </c>
      <c r="G90">
        <v>20123</v>
      </c>
      <c r="H90" t="s">
        <v>0</v>
      </c>
      <c r="I90">
        <v>36</v>
      </c>
      <c r="J90">
        <v>7</v>
      </c>
      <c r="K90">
        <v>17662.32</v>
      </c>
      <c r="L90">
        <v>17662.32</v>
      </c>
      <c r="M90">
        <v>0</v>
      </c>
      <c r="N90" s="3" t="str">
        <f t="shared" si="24"/>
        <v/>
      </c>
      <c r="O90" s="4" t="str">
        <f t="shared" si="24"/>
        <v/>
      </c>
      <c r="P90" s="4" t="str">
        <f t="shared" si="24"/>
        <v/>
      </c>
      <c r="Q90" s="4" t="str">
        <f t="shared" si="24"/>
        <v/>
      </c>
      <c r="R90" s="4" t="str">
        <f t="shared" si="24"/>
        <v/>
      </c>
      <c r="S90" s="4" t="str">
        <f t="shared" si="24"/>
        <v/>
      </c>
      <c r="T90" s="4" t="str">
        <f t="shared" si="24"/>
        <v/>
      </c>
      <c r="U90" s="4" t="str">
        <f t="shared" si="24"/>
        <v/>
      </c>
      <c r="V90" s="4" t="str">
        <f t="shared" si="21"/>
        <v/>
      </c>
      <c r="W90" s="4" t="str">
        <f t="shared" si="18"/>
        <v/>
      </c>
      <c r="X90" s="4" t="str">
        <f t="shared" si="18"/>
        <v/>
      </c>
      <c r="Y90" s="4" t="str">
        <f t="shared" si="18"/>
        <v/>
      </c>
      <c r="Z90" s="4" t="str">
        <f t="shared" si="18"/>
        <v/>
      </c>
      <c r="AA90" s="4" t="str">
        <f t="shared" si="18"/>
        <v/>
      </c>
      <c r="AB90" s="4" t="str">
        <f t="shared" si="18"/>
        <v/>
      </c>
      <c r="AC90" s="5" t="str">
        <f t="shared" si="18"/>
        <v/>
      </c>
      <c r="AD90" s="3" t="str">
        <f t="shared" si="25"/>
        <v/>
      </c>
      <c r="AE90" s="4" t="str">
        <f t="shared" si="25"/>
        <v/>
      </c>
      <c r="AF90" s="4" t="str">
        <f t="shared" si="25"/>
        <v/>
      </c>
      <c r="AG90" s="4" t="str">
        <f t="shared" si="25"/>
        <v/>
      </c>
      <c r="AH90" s="4" t="str">
        <f t="shared" si="25"/>
        <v/>
      </c>
      <c r="AI90" s="4" t="str">
        <f t="shared" si="25"/>
        <v/>
      </c>
      <c r="AJ90" s="4">
        <f t="shared" si="25"/>
        <v>1</v>
      </c>
      <c r="AK90" s="4" t="str">
        <f t="shared" si="25"/>
        <v/>
      </c>
      <c r="AL90" s="4" t="str">
        <f t="shared" si="22"/>
        <v/>
      </c>
      <c r="AM90" s="4" t="str">
        <f t="shared" si="19"/>
        <v/>
      </c>
      <c r="AN90" s="4" t="str">
        <f t="shared" si="19"/>
        <v/>
      </c>
      <c r="AO90" s="4" t="str">
        <f t="shared" si="19"/>
        <v/>
      </c>
      <c r="AP90" s="4" t="str">
        <f t="shared" si="19"/>
        <v/>
      </c>
      <c r="AQ90" s="4" t="str">
        <f t="shared" si="19"/>
        <v/>
      </c>
      <c r="AR90" s="4" t="str">
        <f t="shared" si="19"/>
        <v/>
      </c>
      <c r="AS90" s="5" t="str">
        <f t="shared" si="19"/>
        <v/>
      </c>
      <c r="AT90" s="3" t="str">
        <f t="shared" si="26"/>
        <v/>
      </c>
      <c r="AU90" s="4" t="str">
        <f t="shared" si="26"/>
        <v/>
      </c>
      <c r="AV90" s="4" t="str">
        <f t="shared" si="26"/>
        <v/>
      </c>
      <c r="AW90" s="4" t="str">
        <f t="shared" si="26"/>
        <v/>
      </c>
      <c r="AX90" s="4" t="str">
        <f t="shared" si="26"/>
        <v/>
      </c>
      <c r="AY90" s="4" t="str">
        <f t="shared" si="26"/>
        <v/>
      </c>
      <c r="AZ90" s="4" t="str">
        <f t="shared" si="26"/>
        <v/>
      </c>
      <c r="BA90" s="4" t="str">
        <f t="shared" si="26"/>
        <v/>
      </c>
      <c r="BB90" s="4" t="str">
        <f t="shared" si="23"/>
        <v/>
      </c>
      <c r="BC90" s="4" t="str">
        <f t="shared" si="20"/>
        <v/>
      </c>
      <c r="BD90" s="4" t="str">
        <f t="shared" si="20"/>
        <v/>
      </c>
      <c r="BE90" s="4" t="str">
        <f t="shared" si="20"/>
        <v/>
      </c>
      <c r="BF90" s="4" t="str">
        <f t="shared" si="20"/>
        <v/>
      </c>
      <c r="BG90" s="4" t="str">
        <f t="shared" si="20"/>
        <v/>
      </c>
      <c r="BH90" s="4" t="str">
        <f t="shared" si="20"/>
        <v/>
      </c>
      <c r="BI90" s="5" t="str">
        <f t="shared" si="20"/>
        <v/>
      </c>
    </row>
    <row r="91" spans="1:61" x14ac:dyDescent="0.25">
      <c r="A91">
        <v>416913</v>
      </c>
      <c r="B91" t="s">
        <v>15</v>
      </c>
      <c r="C91" t="s">
        <v>16</v>
      </c>
      <c r="D91">
        <v>904</v>
      </c>
      <c r="E91">
        <v>6294</v>
      </c>
      <c r="F91">
        <v>61</v>
      </c>
      <c r="G91">
        <v>20124</v>
      </c>
      <c r="H91" t="s">
        <v>0</v>
      </c>
      <c r="I91">
        <v>308</v>
      </c>
      <c r="J91">
        <v>17</v>
      </c>
      <c r="K91">
        <v>8504.24</v>
      </c>
      <c r="L91">
        <v>8503.24</v>
      </c>
      <c r="M91">
        <v>1</v>
      </c>
      <c r="N91" s="3" t="str">
        <f t="shared" si="24"/>
        <v/>
      </c>
      <c r="O91" s="4" t="str">
        <f t="shared" si="24"/>
        <v/>
      </c>
      <c r="P91" s="4" t="str">
        <f t="shared" si="24"/>
        <v/>
      </c>
      <c r="Q91" s="4" t="str">
        <f t="shared" si="24"/>
        <v/>
      </c>
      <c r="R91" s="4" t="str">
        <f t="shared" si="24"/>
        <v/>
      </c>
      <c r="S91" s="4" t="str">
        <f t="shared" si="24"/>
        <v/>
      </c>
      <c r="T91" s="4" t="str">
        <f t="shared" si="24"/>
        <v/>
      </c>
      <c r="U91" s="4" t="str">
        <f t="shared" si="24"/>
        <v/>
      </c>
      <c r="V91" s="4" t="str">
        <f t="shared" si="21"/>
        <v/>
      </c>
      <c r="W91" s="4" t="str">
        <f t="shared" si="18"/>
        <v/>
      </c>
      <c r="X91" s="4" t="str">
        <f t="shared" si="18"/>
        <v/>
      </c>
      <c r="Y91" s="4" t="str">
        <f t="shared" si="18"/>
        <v/>
      </c>
      <c r="Z91" s="4" t="str">
        <f t="shared" si="18"/>
        <v/>
      </c>
      <c r="AA91" s="4" t="str">
        <f t="shared" si="18"/>
        <v/>
      </c>
      <c r="AB91" s="4" t="str">
        <f t="shared" si="18"/>
        <v/>
      </c>
      <c r="AC91" s="5" t="str">
        <f t="shared" si="18"/>
        <v/>
      </c>
      <c r="AD91" s="3" t="str">
        <f t="shared" si="25"/>
        <v/>
      </c>
      <c r="AE91" s="4" t="str">
        <f t="shared" si="25"/>
        <v/>
      </c>
      <c r="AF91" s="4" t="str">
        <f t="shared" si="25"/>
        <v/>
      </c>
      <c r="AG91" s="4" t="str">
        <f t="shared" si="25"/>
        <v/>
      </c>
      <c r="AH91" s="4" t="str">
        <f t="shared" si="25"/>
        <v/>
      </c>
      <c r="AI91" s="4" t="str">
        <f t="shared" si="25"/>
        <v/>
      </c>
      <c r="AJ91" s="4" t="str">
        <f t="shared" si="25"/>
        <v/>
      </c>
      <c r="AK91" s="4">
        <f t="shared" si="25"/>
        <v>1</v>
      </c>
      <c r="AL91" s="4" t="str">
        <f t="shared" si="22"/>
        <v/>
      </c>
      <c r="AM91" s="4" t="str">
        <f t="shared" si="19"/>
        <v/>
      </c>
      <c r="AN91" s="4" t="str">
        <f t="shared" si="19"/>
        <v/>
      </c>
      <c r="AO91" s="4" t="str">
        <f t="shared" si="19"/>
        <v/>
      </c>
      <c r="AP91" s="4" t="str">
        <f t="shared" si="19"/>
        <v/>
      </c>
      <c r="AQ91" s="4" t="str">
        <f t="shared" si="19"/>
        <v/>
      </c>
      <c r="AR91" s="4" t="str">
        <f t="shared" si="19"/>
        <v/>
      </c>
      <c r="AS91" s="5" t="str">
        <f t="shared" si="19"/>
        <v/>
      </c>
      <c r="AT91" s="3" t="str">
        <f t="shared" si="26"/>
        <v/>
      </c>
      <c r="AU91" s="4" t="str">
        <f t="shared" si="26"/>
        <v/>
      </c>
      <c r="AV91" s="4" t="str">
        <f t="shared" si="26"/>
        <v/>
      </c>
      <c r="AW91" s="4" t="str">
        <f t="shared" si="26"/>
        <v/>
      </c>
      <c r="AX91" s="4" t="str">
        <f t="shared" si="26"/>
        <v/>
      </c>
      <c r="AY91" s="4" t="str">
        <f t="shared" si="26"/>
        <v/>
      </c>
      <c r="AZ91" s="4" t="str">
        <f t="shared" si="26"/>
        <v/>
      </c>
      <c r="BA91" s="4" t="str">
        <f t="shared" si="26"/>
        <v/>
      </c>
      <c r="BB91" s="4" t="str">
        <f t="shared" si="23"/>
        <v/>
      </c>
      <c r="BC91" s="4" t="str">
        <f t="shared" si="20"/>
        <v/>
      </c>
      <c r="BD91" s="4" t="str">
        <f t="shared" si="20"/>
        <v/>
      </c>
      <c r="BE91" s="4" t="str">
        <f t="shared" si="20"/>
        <v/>
      </c>
      <c r="BF91" s="4" t="str">
        <f t="shared" si="20"/>
        <v/>
      </c>
      <c r="BG91" s="4" t="str">
        <f t="shared" si="20"/>
        <v/>
      </c>
      <c r="BH91" s="4" t="str">
        <f t="shared" si="20"/>
        <v/>
      </c>
      <c r="BI91" s="5" t="str">
        <f t="shared" si="20"/>
        <v/>
      </c>
    </row>
    <row r="92" spans="1:61" x14ac:dyDescent="0.25">
      <c r="A92">
        <v>538371</v>
      </c>
      <c r="B92" t="s">
        <v>14</v>
      </c>
      <c r="C92" t="s">
        <v>16</v>
      </c>
      <c r="D92">
        <v>904</v>
      </c>
      <c r="E92">
        <v>6294</v>
      </c>
      <c r="F92">
        <v>61</v>
      </c>
      <c r="G92">
        <v>20131</v>
      </c>
      <c r="H92" t="s">
        <v>0</v>
      </c>
      <c r="I92">
        <v>1880.21</v>
      </c>
      <c r="J92">
        <v>101</v>
      </c>
      <c r="K92">
        <v>7135.78</v>
      </c>
      <c r="L92">
        <v>7125.58</v>
      </c>
      <c r="M92">
        <v>10.199999999999999</v>
      </c>
      <c r="N92" s="3" t="str">
        <f t="shared" si="24"/>
        <v/>
      </c>
      <c r="O92" s="4" t="str">
        <f t="shared" si="24"/>
        <v/>
      </c>
      <c r="P92" s="4" t="str">
        <f t="shared" si="24"/>
        <v/>
      </c>
      <c r="Q92" s="4" t="str">
        <f t="shared" si="24"/>
        <v/>
      </c>
      <c r="R92" s="4" t="str">
        <f t="shared" si="24"/>
        <v/>
      </c>
      <c r="S92" s="4" t="str">
        <f t="shared" si="24"/>
        <v/>
      </c>
      <c r="T92" s="4" t="str">
        <f t="shared" si="24"/>
        <v/>
      </c>
      <c r="U92" s="4" t="str">
        <f t="shared" si="24"/>
        <v/>
      </c>
      <c r="V92" s="4" t="str">
        <f t="shared" si="21"/>
        <v/>
      </c>
      <c r="W92" s="4" t="str">
        <f t="shared" si="18"/>
        <v/>
      </c>
      <c r="X92" s="4" t="str">
        <f t="shared" si="18"/>
        <v/>
      </c>
      <c r="Y92" s="4" t="str">
        <f t="shared" si="18"/>
        <v/>
      </c>
      <c r="Z92" s="4" t="str">
        <f t="shared" si="18"/>
        <v/>
      </c>
      <c r="AA92" s="4" t="str">
        <f t="shared" si="18"/>
        <v/>
      </c>
      <c r="AB92" s="4" t="str">
        <f t="shared" si="18"/>
        <v/>
      </c>
      <c r="AC92" s="5" t="str">
        <f t="shared" si="18"/>
        <v/>
      </c>
      <c r="AD92" s="3" t="str">
        <f t="shared" si="25"/>
        <v/>
      </c>
      <c r="AE92" s="4" t="str">
        <f t="shared" si="25"/>
        <v/>
      </c>
      <c r="AF92" s="4" t="str">
        <f t="shared" si="25"/>
        <v/>
      </c>
      <c r="AG92" s="4" t="str">
        <f t="shared" si="25"/>
        <v/>
      </c>
      <c r="AH92" s="4" t="str">
        <f t="shared" si="25"/>
        <v/>
      </c>
      <c r="AI92" s="4" t="str">
        <f t="shared" si="25"/>
        <v/>
      </c>
      <c r="AJ92" s="4" t="str">
        <f t="shared" si="25"/>
        <v/>
      </c>
      <c r="AK92" s="4" t="str">
        <f t="shared" si="25"/>
        <v/>
      </c>
      <c r="AL92" s="4" t="str">
        <f t="shared" si="22"/>
        <v/>
      </c>
      <c r="AM92" s="4" t="str">
        <f t="shared" si="19"/>
        <v/>
      </c>
      <c r="AN92" s="4" t="str">
        <f t="shared" si="19"/>
        <v/>
      </c>
      <c r="AO92" s="4" t="str">
        <f t="shared" si="19"/>
        <v/>
      </c>
      <c r="AP92" s="4" t="str">
        <f t="shared" si="19"/>
        <v/>
      </c>
      <c r="AQ92" s="4" t="str">
        <f t="shared" si="19"/>
        <v/>
      </c>
      <c r="AR92" s="4" t="str">
        <f t="shared" si="19"/>
        <v/>
      </c>
      <c r="AS92" s="5" t="str">
        <f t="shared" si="19"/>
        <v/>
      </c>
      <c r="AT92" s="3">
        <f t="shared" si="26"/>
        <v>1</v>
      </c>
      <c r="AU92" s="4" t="str">
        <f t="shared" si="26"/>
        <v/>
      </c>
      <c r="AV92" s="4" t="str">
        <f t="shared" si="26"/>
        <v/>
      </c>
      <c r="AW92" s="4" t="str">
        <f t="shared" si="26"/>
        <v/>
      </c>
      <c r="AX92" s="4" t="str">
        <f t="shared" si="26"/>
        <v/>
      </c>
      <c r="AY92" s="4" t="str">
        <f t="shared" si="26"/>
        <v/>
      </c>
      <c r="AZ92" s="4" t="str">
        <f t="shared" si="26"/>
        <v/>
      </c>
      <c r="BA92" s="4" t="str">
        <f t="shared" si="26"/>
        <v/>
      </c>
      <c r="BB92" s="4" t="str">
        <f t="shared" si="23"/>
        <v/>
      </c>
      <c r="BC92" s="4" t="str">
        <f t="shared" si="20"/>
        <v/>
      </c>
      <c r="BD92" s="4" t="str">
        <f t="shared" si="20"/>
        <v/>
      </c>
      <c r="BE92" s="4" t="str">
        <f t="shared" si="20"/>
        <v/>
      </c>
      <c r="BF92" s="4" t="str">
        <f t="shared" si="20"/>
        <v/>
      </c>
      <c r="BG92" s="4" t="str">
        <f t="shared" si="20"/>
        <v/>
      </c>
      <c r="BH92" s="4" t="str">
        <f t="shared" si="20"/>
        <v/>
      </c>
      <c r="BI92" s="5" t="str">
        <f t="shared" si="20"/>
        <v/>
      </c>
    </row>
    <row r="93" spans="1:61" x14ac:dyDescent="0.25">
      <c r="A93">
        <v>538372</v>
      </c>
      <c r="B93" t="s">
        <v>14</v>
      </c>
      <c r="C93" t="s">
        <v>16</v>
      </c>
      <c r="D93">
        <v>904</v>
      </c>
      <c r="E93">
        <v>6294</v>
      </c>
      <c r="F93">
        <v>61</v>
      </c>
      <c r="G93">
        <v>20132</v>
      </c>
      <c r="H93" t="s">
        <v>0</v>
      </c>
      <c r="I93">
        <v>535.20000000000005</v>
      </c>
      <c r="J93">
        <v>60</v>
      </c>
      <c r="K93">
        <v>2233.56</v>
      </c>
      <c r="L93">
        <v>2224.61</v>
      </c>
      <c r="M93">
        <v>8.9499999999999993</v>
      </c>
      <c r="N93" s="3" t="str">
        <f t="shared" si="24"/>
        <v/>
      </c>
      <c r="O93" s="4" t="str">
        <f t="shared" si="24"/>
        <v/>
      </c>
      <c r="P93" s="4" t="str">
        <f t="shared" si="24"/>
        <v/>
      </c>
      <c r="Q93" s="4" t="str">
        <f t="shared" si="24"/>
        <v/>
      </c>
      <c r="R93" s="4" t="str">
        <f t="shared" si="24"/>
        <v/>
      </c>
      <c r="S93" s="4" t="str">
        <f t="shared" si="24"/>
        <v/>
      </c>
      <c r="T93" s="4" t="str">
        <f t="shared" si="24"/>
        <v/>
      </c>
      <c r="U93" s="4" t="str">
        <f t="shared" si="24"/>
        <v/>
      </c>
      <c r="V93" s="4" t="str">
        <f t="shared" si="21"/>
        <v/>
      </c>
      <c r="W93" s="4" t="str">
        <f t="shared" si="18"/>
        <v/>
      </c>
      <c r="X93" s="4" t="str">
        <f t="shared" si="18"/>
        <v/>
      </c>
      <c r="Y93" s="4" t="str">
        <f t="shared" si="18"/>
        <v/>
      </c>
      <c r="Z93" s="4" t="str">
        <f t="shared" si="18"/>
        <v/>
      </c>
      <c r="AA93" s="4" t="str">
        <f t="shared" si="18"/>
        <v/>
      </c>
      <c r="AB93" s="4" t="str">
        <f t="shared" si="18"/>
        <v/>
      </c>
      <c r="AC93" s="5" t="str">
        <f t="shared" si="18"/>
        <v/>
      </c>
      <c r="AD93" s="3" t="str">
        <f t="shared" si="25"/>
        <v/>
      </c>
      <c r="AE93" s="4" t="str">
        <f t="shared" si="25"/>
        <v/>
      </c>
      <c r="AF93" s="4" t="str">
        <f t="shared" si="25"/>
        <v/>
      </c>
      <c r="AG93" s="4" t="str">
        <f t="shared" si="25"/>
        <v/>
      </c>
      <c r="AH93" s="4" t="str">
        <f t="shared" si="25"/>
        <v/>
      </c>
      <c r="AI93" s="4" t="str">
        <f t="shared" si="25"/>
        <v/>
      </c>
      <c r="AJ93" s="4" t="str">
        <f t="shared" si="25"/>
        <v/>
      </c>
      <c r="AK93" s="4" t="str">
        <f t="shared" si="25"/>
        <v/>
      </c>
      <c r="AL93" s="4" t="str">
        <f t="shared" si="22"/>
        <v/>
      </c>
      <c r="AM93" s="4" t="str">
        <f t="shared" si="19"/>
        <v/>
      </c>
      <c r="AN93" s="4" t="str">
        <f t="shared" si="19"/>
        <v/>
      </c>
      <c r="AO93" s="4" t="str">
        <f t="shared" si="19"/>
        <v/>
      </c>
      <c r="AP93" s="4" t="str">
        <f t="shared" si="19"/>
        <v/>
      </c>
      <c r="AQ93" s="4" t="str">
        <f t="shared" si="19"/>
        <v/>
      </c>
      <c r="AR93" s="4" t="str">
        <f t="shared" si="19"/>
        <v/>
      </c>
      <c r="AS93" s="5" t="str">
        <f t="shared" si="19"/>
        <v/>
      </c>
      <c r="AT93" s="3" t="str">
        <f t="shared" si="26"/>
        <v/>
      </c>
      <c r="AU93" s="4">
        <f t="shared" si="26"/>
        <v>1</v>
      </c>
      <c r="AV93" s="4" t="str">
        <f t="shared" si="26"/>
        <v/>
      </c>
      <c r="AW93" s="4" t="str">
        <f t="shared" si="26"/>
        <v/>
      </c>
      <c r="AX93" s="4" t="str">
        <f t="shared" si="26"/>
        <v/>
      </c>
      <c r="AY93" s="4" t="str">
        <f t="shared" si="26"/>
        <v/>
      </c>
      <c r="AZ93" s="4" t="str">
        <f t="shared" si="26"/>
        <v/>
      </c>
      <c r="BA93" s="4" t="str">
        <f t="shared" si="26"/>
        <v/>
      </c>
      <c r="BB93" s="4" t="str">
        <f t="shared" si="23"/>
        <v/>
      </c>
      <c r="BC93" s="4" t="str">
        <f t="shared" si="20"/>
        <v/>
      </c>
      <c r="BD93" s="4" t="str">
        <f t="shared" si="20"/>
        <v/>
      </c>
      <c r="BE93" s="4" t="str">
        <f t="shared" si="20"/>
        <v/>
      </c>
      <c r="BF93" s="4" t="str">
        <f t="shared" si="20"/>
        <v/>
      </c>
      <c r="BG93" s="4" t="str">
        <f t="shared" si="20"/>
        <v/>
      </c>
      <c r="BH93" s="4" t="str">
        <f t="shared" si="20"/>
        <v/>
      </c>
      <c r="BI93" s="5" t="str">
        <f t="shared" si="20"/>
        <v/>
      </c>
    </row>
    <row r="94" spans="1:61" x14ac:dyDescent="0.25">
      <c r="A94">
        <v>538373</v>
      </c>
      <c r="B94" t="s">
        <v>14</v>
      </c>
      <c r="C94" t="s">
        <v>16</v>
      </c>
      <c r="D94">
        <v>904</v>
      </c>
      <c r="E94">
        <v>6294</v>
      </c>
      <c r="F94">
        <v>61</v>
      </c>
      <c r="G94">
        <v>20133</v>
      </c>
      <c r="H94" t="s">
        <v>0</v>
      </c>
      <c r="I94">
        <v>1005.6</v>
      </c>
      <c r="J94">
        <v>105</v>
      </c>
      <c r="K94">
        <v>1743.69</v>
      </c>
      <c r="L94">
        <v>1733.01</v>
      </c>
      <c r="M94">
        <v>10.68</v>
      </c>
      <c r="N94" s="3" t="str">
        <f t="shared" si="24"/>
        <v/>
      </c>
      <c r="O94" s="4" t="str">
        <f t="shared" si="24"/>
        <v/>
      </c>
      <c r="P94" s="4" t="str">
        <f t="shared" si="24"/>
        <v/>
      </c>
      <c r="Q94" s="4" t="str">
        <f t="shared" si="24"/>
        <v/>
      </c>
      <c r="R94" s="4" t="str">
        <f t="shared" si="24"/>
        <v/>
      </c>
      <c r="S94" s="4" t="str">
        <f t="shared" si="24"/>
        <v/>
      </c>
      <c r="T94" s="4" t="str">
        <f t="shared" si="24"/>
        <v/>
      </c>
      <c r="U94" s="4" t="str">
        <f t="shared" si="24"/>
        <v/>
      </c>
      <c r="V94" s="4" t="str">
        <f t="shared" si="21"/>
        <v/>
      </c>
      <c r="W94" s="4" t="str">
        <f t="shared" si="18"/>
        <v/>
      </c>
      <c r="X94" s="4" t="str">
        <f t="shared" si="18"/>
        <v/>
      </c>
      <c r="Y94" s="4" t="str">
        <f t="shared" si="18"/>
        <v/>
      </c>
      <c r="Z94" s="4" t="str">
        <f t="shared" si="18"/>
        <v/>
      </c>
      <c r="AA94" s="4" t="str">
        <f t="shared" si="18"/>
        <v/>
      </c>
      <c r="AB94" s="4" t="str">
        <f t="shared" si="18"/>
        <v/>
      </c>
      <c r="AC94" s="5" t="str">
        <f t="shared" si="18"/>
        <v/>
      </c>
      <c r="AD94" s="3" t="str">
        <f t="shared" si="25"/>
        <v/>
      </c>
      <c r="AE94" s="4" t="str">
        <f t="shared" si="25"/>
        <v/>
      </c>
      <c r="AF94" s="4" t="str">
        <f t="shared" si="25"/>
        <v/>
      </c>
      <c r="AG94" s="4" t="str">
        <f t="shared" si="25"/>
        <v/>
      </c>
      <c r="AH94" s="4" t="str">
        <f t="shared" si="25"/>
        <v/>
      </c>
      <c r="AI94" s="4" t="str">
        <f t="shared" si="25"/>
        <v/>
      </c>
      <c r="AJ94" s="4" t="str">
        <f t="shared" si="25"/>
        <v/>
      </c>
      <c r="AK94" s="4" t="str">
        <f t="shared" si="25"/>
        <v/>
      </c>
      <c r="AL94" s="4" t="str">
        <f t="shared" si="22"/>
        <v/>
      </c>
      <c r="AM94" s="4" t="str">
        <f t="shared" si="19"/>
        <v/>
      </c>
      <c r="AN94" s="4" t="str">
        <f t="shared" si="19"/>
        <v/>
      </c>
      <c r="AO94" s="4" t="str">
        <f t="shared" si="19"/>
        <v/>
      </c>
      <c r="AP94" s="4" t="str">
        <f t="shared" si="19"/>
        <v/>
      </c>
      <c r="AQ94" s="4" t="str">
        <f t="shared" si="19"/>
        <v/>
      </c>
      <c r="AR94" s="4" t="str">
        <f t="shared" si="19"/>
        <v/>
      </c>
      <c r="AS94" s="5" t="str">
        <f t="shared" si="19"/>
        <v/>
      </c>
      <c r="AT94" s="3" t="str">
        <f t="shared" si="26"/>
        <v/>
      </c>
      <c r="AU94" s="4" t="str">
        <f t="shared" si="26"/>
        <v/>
      </c>
      <c r="AV94" s="4">
        <f t="shared" si="26"/>
        <v>1</v>
      </c>
      <c r="AW94" s="4" t="str">
        <f t="shared" si="26"/>
        <v/>
      </c>
      <c r="AX94" s="4" t="str">
        <f t="shared" si="26"/>
        <v/>
      </c>
      <c r="AY94" s="4" t="str">
        <f t="shared" si="26"/>
        <v/>
      </c>
      <c r="AZ94" s="4" t="str">
        <f t="shared" si="26"/>
        <v/>
      </c>
      <c r="BA94" s="4" t="str">
        <f t="shared" si="26"/>
        <v/>
      </c>
      <c r="BB94" s="4" t="str">
        <f t="shared" si="23"/>
        <v/>
      </c>
      <c r="BC94" s="4" t="str">
        <f t="shared" si="20"/>
        <v/>
      </c>
      <c r="BD94" s="4" t="str">
        <f t="shared" si="20"/>
        <v/>
      </c>
      <c r="BE94" s="4" t="str">
        <f t="shared" si="20"/>
        <v/>
      </c>
      <c r="BF94" s="4" t="str">
        <f t="shared" si="20"/>
        <v/>
      </c>
      <c r="BG94" s="4" t="str">
        <f t="shared" si="20"/>
        <v/>
      </c>
      <c r="BH94" s="4" t="str">
        <f t="shared" si="20"/>
        <v/>
      </c>
      <c r="BI94" s="5" t="str">
        <f t="shared" si="20"/>
        <v/>
      </c>
    </row>
    <row r="95" spans="1:61" x14ac:dyDescent="0.25">
      <c r="A95">
        <v>538374</v>
      </c>
      <c r="B95" t="s">
        <v>14</v>
      </c>
      <c r="C95" t="s">
        <v>16</v>
      </c>
      <c r="D95">
        <v>904</v>
      </c>
      <c r="E95">
        <v>6294</v>
      </c>
      <c r="F95">
        <v>61</v>
      </c>
      <c r="G95">
        <v>20134</v>
      </c>
      <c r="H95" t="s">
        <v>0</v>
      </c>
      <c r="I95">
        <v>1143.5999999999999</v>
      </c>
      <c r="J95">
        <v>81</v>
      </c>
      <c r="K95">
        <v>620.19000000000005</v>
      </c>
      <c r="L95">
        <v>609.14</v>
      </c>
      <c r="M95">
        <v>11.05</v>
      </c>
      <c r="N95" s="3" t="str">
        <f t="shared" si="24"/>
        <v/>
      </c>
      <c r="O95" s="4" t="str">
        <f t="shared" si="24"/>
        <v/>
      </c>
      <c r="P95" s="4" t="str">
        <f t="shared" si="24"/>
        <v/>
      </c>
      <c r="Q95" s="4" t="str">
        <f t="shared" si="24"/>
        <v/>
      </c>
      <c r="R95" s="4" t="str">
        <f t="shared" si="24"/>
        <v/>
      </c>
      <c r="S95" s="4" t="str">
        <f t="shared" si="24"/>
        <v/>
      </c>
      <c r="T95" s="4" t="str">
        <f t="shared" si="24"/>
        <v/>
      </c>
      <c r="U95" s="4" t="str">
        <f t="shared" si="24"/>
        <v/>
      </c>
      <c r="V95" s="4" t="str">
        <f t="shared" si="21"/>
        <v/>
      </c>
      <c r="W95" s="4" t="str">
        <f t="shared" si="18"/>
        <v/>
      </c>
      <c r="X95" s="4" t="str">
        <f t="shared" si="18"/>
        <v/>
      </c>
      <c r="Y95" s="4" t="str">
        <f t="shared" si="18"/>
        <v/>
      </c>
      <c r="Z95" s="4" t="str">
        <f t="shared" si="18"/>
        <v/>
      </c>
      <c r="AA95" s="4" t="str">
        <f t="shared" si="18"/>
        <v/>
      </c>
      <c r="AB95" s="4" t="str">
        <f t="shared" si="18"/>
        <v/>
      </c>
      <c r="AC95" s="5" t="str">
        <f t="shared" si="18"/>
        <v/>
      </c>
      <c r="AD95" s="3" t="str">
        <f t="shared" si="25"/>
        <v/>
      </c>
      <c r="AE95" s="4" t="str">
        <f t="shared" si="25"/>
        <v/>
      </c>
      <c r="AF95" s="4" t="str">
        <f t="shared" si="25"/>
        <v/>
      </c>
      <c r="AG95" s="4" t="str">
        <f t="shared" si="25"/>
        <v/>
      </c>
      <c r="AH95" s="4" t="str">
        <f t="shared" si="25"/>
        <v/>
      </c>
      <c r="AI95" s="4" t="str">
        <f t="shared" si="25"/>
        <v/>
      </c>
      <c r="AJ95" s="4" t="str">
        <f t="shared" si="25"/>
        <v/>
      </c>
      <c r="AK95" s="4" t="str">
        <f t="shared" si="25"/>
        <v/>
      </c>
      <c r="AL95" s="4" t="str">
        <f t="shared" si="22"/>
        <v/>
      </c>
      <c r="AM95" s="4" t="str">
        <f t="shared" si="19"/>
        <v/>
      </c>
      <c r="AN95" s="4" t="str">
        <f t="shared" si="19"/>
        <v/>
      </c>
      <c r="AO95" s="4" t="str">
        <f t="shared" si="19"/>
        <v/>
      </c>
      <c r="AP95" s="4" t="str">
        <f t="shared" si="19"/>
        <v/>
      </c>
      <c r="AQ95" s="4" t="str">
        <f t="shared" si="19"/>
        <v/>
      </c>
      <c r="AR95" s="4" t="str">
        <f t="shared" si="19"/>
        <v/>
      </c>
      <c r="AS95" s="5" t="str">
        <f t="shared" si="19"/>
        <v/>
      </c>
      <c r="AT95" s="3" t="str">
        <f t="shared" si="26"/>
        <v/>
      </c>
      <c r="AU95" s="4" t="str">
        <f t="shared" si="26"/>
        <v/>
      </c>
      <c r="AV95" s="4" t="str">
        <f t="shared" si="26"/>
        <v/>
      </c>
      <c r="AW95" s="4">
        <f t="shared" si="26"/>
        <v>1</v>
      </c>
      <c r="AX95" s="4" t="str">
        <f t="shared" si="26"/>
        <v/>
      </c>
      <c r="AY95" s="4" t="str">
        <f t="shared" si="26"/>
        <v/>
      </c>
      <c r="AZ95" s="4" t="str">
        <f t="shared" si="26"/>
        <v/>
      </c>
      <c r="BA95" s="4" t="str">
        <f t="shared" si="26"/>
        <v/>
      </c>
      <c r="BB95" s="4" t="str">
        <f t="shared" si="23"/>
        <v/>
      </c>
      <c r="BC95" s="4" t="str">
        <f t="shared" si="20"/>
        <v/>
      </c>
      <c r="BD95" s="4" t="str">
        <f t="shared" si="20"/>
        <v/>
      </c>
      <c r="BE95" s="4" t="str">
        <f t="shared" si="20"/>
        <v/>
      </c>
      <c r="BF95" s="4" t="str">
        <f t="shared" si="20"/>
        <v/>
      </c>
      <c r="BG95" s="4" t="str">
        <f t="shared" si="20"/>
        <v/>
      </c>
      <c r="BH95" s="4" t="str">
        <f t="shared" si="20"/>
        <v/>
      </c>
      <c r="BI95" s="5" t="str">
        <f t="shared" si="20"/>
        <v/>
      </c>
    </row>
    <row r="96" spans="1:61" x14ac:dyDescent="0.25">
      <c r="A96">
        <v>665842</v>
      </c>
      <c r="B96" t="s">
        <v>15</v>
      </c>
      <c r="C96" t="s">
        <v>16</v>
      </c>
      <c r="D96">
        <v>904</v>
      </c>
      <c r="E96">
        <v>6294</v>
      </c>
      <c r="F96">
        <v>61</v>
      </c>
      <c r="G96">
        <v>20131</v>
      </c>
      <c r="H96" t="s">
        <v>0</v>
      </c>
      <c r="I96">
        <v>350</v>
      </c>
      <c r="J96">
        <v>20</v>
      </c>
      <c r="K96">
        <v>5887.14</v>
      </c>
      <c r="L96">
        <v>5887.14</v>
      </c>
      <c r="M96">
        <v>0</v>
      </c>
      <c r="N96" s="3" t="str">
        <f t="shared" si="24"/>
        <v/>
      </c>
      <c r="O96" s="4" t="str">
        <f t="shared" si="24"/>
        <v/>
      </c>
      <c r="P96" s="4" t="str">
        <f t="shared" si="24"/>
        <v/>
      </c>
      <c r="Q96" s="4" t="str">
        <f t="shared" si="24"/>
        <v/>
      </c>
      <c r="R96" s="4" t="str">
        <f t="shared" si="24"/>
        <v/>
      </c>
      <c r="S96" s="4" t="str">
        <f t="shared" si="24"/>
        <v/>
      </c>
      <c r="T96" s="4" t="str">
        <f t="shared" si="24"/>
        <v/>
      </c>
      <c r="U96" s="4" t="str">
        <f t="shared" si="24"/>
        <v/>
      </c>
      <c r="V96" s="4" t="str">
        <f t="shared" si="21"/>
        <v/>
      </c>
      <c r="W96" s="4" t="str">
        <f t="shared" si="18"/>
        <v/>
      </c>
      <c r="X96" s="4" t="str">
        <f t="shared" si="18"/>
        <v/>
      </c>
      <c r="Y96" s="4" t="str">
        <f t="shared" si="18"/>
        <v/>
      </c>
      <c r="Z96" s="4" t="str">
        <f t="shared" si="18"/>
        <v/>
      </c>
      <c r="AA96" s="4" t="str">
        <f t="shared" si="18"/>
        <v/>
      </c>
      <c r="AB96" s="4" t="str">
        <f t="shared" si="18"/>
        <v/>
      </c>
      <c r="AC96" s="5" t="str">
        <f t="shared" si="18"/>
        <v/>
      </c>
      <c r="AD96" s="3" t="str">
        <f t="shared" si="25"/>
        <v/>
      </c>
      <c r="AE96" s="4" t="str">
        <f t="shared" si="25"/>
        <v/>
      </c>
      <c r="AF96" s="4" t="str">
        <f t="shared" si="25"/>
        <v/>
      </c>
      <c r="AG96" s="4" t="str">
        <f t="shared" si="25"/>
        <v/>
      </c>
      <c r="AH96" s="4" t="str">
        <f t="shared" si="25"/>
        <v/>
      </c>
      <c r="AI96" s="4" t="str">
        <f t="shared" si="25"/>
        <v/>
      </c>
      <c r="AJ96" s="4" t="str">
        <f t="shared" si="25"/>
        <v/>
      </c>
      <c r="AK96" s="4" t="str">
        <f t="shared" si="25"/>
        <v/>
      </c>
      <c r="AL96" s="4" t="str">
        <f t="shared" si="22"/>
        <v/>
      </c>
      <c r="AM96" s="4" t="str">
        <f t="shared" si="19"/>
        <v/>
      </c>
      <c r="AN96" s="4" t="str">
        <f t="shared" si="19"/>
        <v/>
      </c>
      <c r="AO96" s="4" t="str">
        <f t="shared" si="19"/>
        <v/>
      </c>
      <c r="AP96" s="4" t="str">
        <f t="shared" si="19"/>
        <v/>
      </c>
      <c r="AQ96" s="4" t="str">
        <f t="shared" si="19"/>
        <v/>
      </c>
      <c r="AR96" s="4" t="str">
        <f t="shared" si="19"/>
        <v/>
      </c>
      <c r="AS96" s="5" t="str">
        <f t="shared" si="19"/>
        <v/>
      </c>
      <c r="AT96" s="3" t="str">
        <f t="shared" si="26"/>
        <v/>
      </c>
      <c r="AU96" s="4" t="str">
        <f t="shared" si="26"/>
        <v/>
      </c>
      <c r="AV96" s="4" t="str">
        <f t="shared" si="26"/>
        <v/>
      </c>
      <c r="AW96" s="4" t="str">
        <f t="shared" si="26"/>
        <v/>
      </c>
      <c r="AX96" s="4">
        <f t="shared" si="26"/>
        <v>1</v>
      </c>
      <c r="AY96" s="4" t="str">
        <f t="shared" si="26"/>
        <v/>
      </c>
      <c r="AZ96" s="4" t="str">
        <f t="shared" si="26"/>
        <v/>
      </c>
      <c r="BA96" s="4" t="str">
        <f t="shared" si="26"/>
        <v/>
      </c>
      <c r="BB96" s="4" t="str">
        <f t="shared" si="23"/>
        <v/>
      </c>
      <c r="BC96" s="4" t="str">
        <f t="shared" si="20"/>
        <v/>
      </c>
      <c r="BD96" s="4" t="str">
        <f t="shared" si="20"/>
        <v/>
      </c>
      <c r="BE96" s="4" t="str">
        <f t="shared" si="20"/>
        <v/>
      </c>
      <c r="BF96" s="4" t="str">
        <f t="shared" si="20"/>
        <v/>
      </c>
      <c r="BG96" s="4" t="str">
        <f t="shared" si="20"/>
        <v/>
      </c>
      <c r="BH96" s="4" t="str">
        <f t="shared" si="20"/>
        <v/>
      </c>
      <c r="BI96" s="5" t="str">
        <f t="shared" si="20"/>
        <v/>
      </c>
    </row>
    <row r="97" spans="1:61" x14ac:dyDescent="0.25">
      <c r="A97">
        <v>665843</v>
      </c>
      <c r="B97" t="s">
        <v>15</v>
      </c>
      <c r="C97" t="s">
        <v>16</v>
      </c>
      <c r="D97">
        <v>904</v>
      </c>
      <c r="E97">
        <v>6294</v>
      </c>
      <c r="F97">
        <v>61</v>
      </c>
      <c r="G97">
        <v>20132</v>
      </c>
      <c r="H97" t="s">
        <v>0</v>
      </c>
      <c r="I97">
        <v>100</v>
      </c>
      <c r="J97">
        <v>6</v>
      </c>
      <c r="K97">
        <v>5632.42</v>
      </c>
      <c r="L97">
        <v>5632.42</v>
      </c>
      <c r="M97">
        <v>0</v>
      </c>
      <c r="N97" s="3" t="str">
        <f t="shared" si="24"/>
        <v/>
      </c>
      <c r="O97" s="4" t="str">
        <f t="shared" si="24"/>
        <v/>
      </c>
      <c r="P97" s="4" t="str">
        <f t="shared" si="24"/>
        <v/>
      </c>
      <c r="Q97" s="4" t="str">
        <f t="shared" si="24"/>
        <v/>
      </c>
      <c r="R97" s="4" t="str">
        <f t="shared" si="24"/>
        <v/>
      </c>
      <c r="S97" s="4" t="str">
        <f t="shared" si="24"/>
        <v/>
      </c>
      <c r="T97" s="4" t="str">
        <f t="shared" si="24"/>
        <v/>
      </c>
      <c r="U97" s="4" t="str">
        <f t="shared" si="24"/>
        <v/>
      </c>
      <c r="V97" s="4" t="str">
        <f t="shared" si="21"/>
        <v/>
      </c>
      <c r="W97" s="4" t="str">
        <f t="shared" si="18"/>
        <v/>
      </c>
      <c r="X97" s="4" t="str">
        <f t="shared" si="18"/>
        <v/>
      </c>
      <c r="Y97" s="4" t="str">
        <f t="shared" si="18"/>
        <v/>
      </c>
      <c r="Z97" s="4" t="str">
        <f t="shared" si="18"/>
        <v/>
      </c>
      <c r="AA97" s="4" t="str">
        <f t="shared" si="18"/>
        <v/>
      </c>
      <c r="AB97" s="4" t="str">
        <f t="shared" si="18"/>
        <v/>
      </c>
      <c r="AC97" s="5" t="str">
        <f t="shared" si="18"/>
        <v/>
      </c>
      <c r="AD97" s="3" t="str">
        <f t="shared" si="25"/>
        <v/>
      </c>
      <c r="AE97" s="4" t="str">
        <f t="shared" si="25"/>
        <v/>
      </c>
      <c r="AF97" s="4" t="str">
        <f t="shared" si="25"/>
        <v/>
      </c>
      <c r="AG97" s="4" t="str">
        <f t="shared" si="25"/>
        <v/>
      </c>
      <c r="AH97" s="4" t="str">
        <f t="shared" si="25"/>
        <v/>
      </c>
      <c r="AI97" s="4" t="str">
        <f t="shared" si="25"/>
        <v/>
      </c>
      <c r="AJ97" s="4" t="str">
        <f t="shared" si="25"/>
        <v/>
      </c>
      <c r="AK97" s="4" t="str">
        <f t="shared" si="25"/>
        <v/>
      </c>
      <c r="AL97" s="4" t="str">
        <f t="shared" si="22"/>
        <v/>
      </c>
      <c r="AM97" s="4" t="str">
        <f t="shared" si="19"/>
        <v/>
      </c>
      <c r="AN97" s="4" t="str">
        <f t="shared" si="19"/>
        <v/>
      </c>
      <c r="AO97" s="4" t="str">
        <f t="shared" si="19"/>
        <v/>
      </c>
      <c r="AP97" s="4" t="str">
        <f t="shared" si="19"/>
        <v/>
      </c>
      <c r="AQ97" s="4" t="str">
        <f t="shared" si="19"/>
        <v/>
      </c>
      <c r="AR97" s="4" t="str">
        <f t="shared" si="19"/>
        <v/>
      </c>
      <c r="AS97" s="5" t="str">
        <f t="shared" si="19"/>
        <v/>
      </c>
      <c r="AT97" s="3" t="str">
        <f t="shared" si="26"/>
        <v/>
      </c>
      <c r="AU97" s="4" t="str">
        <f t="shared" si="26"/>
        <v/>
      </c>
      <c r="AV97" s="4" t="str">
        <f t="shared" si="26"/>
        <v/>
      </c>
      <c r="AW97" s="4" t="str">
        <f t="shared" si="26"/>
        <v/>
      </c>
      <c r="AX97" s="4" t="str">
        <f t="shared" si="26"/>
        <v/>
      </c>
      <c r="AY97" s="4">
        <f t="shared" si="26"/>
        <v>1</v>
      </c>
      <c r="AZ97" s="4" t="str">
        <f t="shared" si="26"/>
        <v/>
      </c>
      <c r="BA97" s="4" t="str">
        <f t="shared" si="26"/>
        <v/>
      </c>
      <c r="BB97" s="4" t="str">
        <f t="shared" si="23"/>
        <v/>
      </c>
      <c r="BC97" s="4" t="str">
        <f t="shared" si="20"/>
        <v/>
      </c>
      <c r="BD97" s="4" t="str">
        <f t="shared" si="20"/>
        <v/>
      </c>
      <c r="BE97" s="4" t="str">
        <f t="shared" si="20"/>
        <v/>
      </c>
      <c r="BF97" s="4" t="str">
        <f t="shared" si="20"/>
        <v/>
      </c>
      <c r="BG97" s="4" t="str">
        <f t="shared" si="20"/>
        <v/>
      </c>
      <c r="BH97" s="4" t="str">
        <f t="shared" si="20"/>
        <v/>
      </c>
      <c r="BI97" s="5" t="str">
        <f t="shared" si="20"/>
        <v/>
      </c>
    </row>
    <row r="98" spans="1:61" x14ac:dyDescent="0.25">
      <c r="A98">
        <v>665844</v>
      </c>
      <c r="B98" t="s">
        <v>15</v>
      </c>
      <c r="C98" t="s">
        <v>16</v>
      </c>
      <c r="D98">
        <v>904</v>
      </c>
      <c r="E98">
        <v>6294</v>
      </c>
      <c r="F98">
        <v>61</v>
      </c>
      <c r="G98">
        <v>20133</v>
      </c>
      <c r="H98" t="s">
        <v>0</v>
      </c>
      <c r="I98">
        <v>126</v>
      </c>
      <c r="J98">
        <v>9</v>
      </c>
      <c r="K98">
        <v>5171.55</v>
      </c>
      <c r="L98">
        <v>5170.55</v>
      </c>
      <c r="M98">
        <v>1</v>
      </c>
      <c r="N98" s="3" t="str">
        <f t="shared" si="24"/>
        <v/>
      </c>
      <c r="O98" s="4" t="str">
        <f t="shared" si="24"/>
        <v/>
      </c>
      <c r="P98" s="4" t="str">
        <f t="shared" si="24"/>
        <v/>
      </c>
      <c r="Q98" s="4" t="str">
        <f t="shared" si="24"/>
        <v/>
      </c>
      <c r="R98" s="4" t="str">
        <f t="shared" si="24"/>
        <v/>
      </c>
      <c r="S98" s="4" t="str">
        <f t="shared" si="24"/>
        <v/>
      </c>
      <c r="T98" s="4" t="str">
        <f t="shared" si="24"/>
        <v/>
      </c>
      <c r="U98" s="4" t="str">
        <f t="shared" si="24"/>
        <v/>
      </c>
      <c r="V98" s="4" t="str">
        <f t="shared" si="21"/>
        <v/>
      </c>
      <c r="W98" s="4" t="str">
        <f t="shared" si="18"/>
        <v/>
      </c>
      <c r="X98" s="4" t="str">
        <f t="shared" si="18"/>
        <v/>
      </c>
      <c r="Y98" s="4" t="str">
        <f t="shared" si="18"/>
        <v/>
      </c>
      <c r="Z98" s="4" t="str">
        <f t="shared" si="18"/>
        <v/>
      </c>
      <c r="AA98" s="4" t="str">
        <f t="shared" si="18"/>
        <v/>
      </c>
      <c r="AB98" s="4" t="str">
        <f t="shared" si="18"/>
        <v/>
      </c>
      <c r="AC98" s="5" t="str">
        <f t="shared" si="18"/>
        <v/>
      </c>
      <c r="AD98" s="3" t="str">
        <f t="shared" si="25"/>
        <v/>
      </c>
      <c r="AE98" s="4" t="str">
        <f t="shared" si="25"/>
        <v/>
      </c>
      <c r="AF98" s="4" t="str">
        <f t="shared" si="25"/>
        <v/>
      </c>
      <c r="AG98" s="4" t="str">
        <f t="shared" si="25"/>
        <v/>
      </c>
      <c r="AH98" s="4" t="str">
        <f t="shared" si="25"/>
        <v/>
      </c>
      <c r="AI98" s="4" t="str">
        <f t="shared" si="25"/>
        <v/>
      </c>
      <c r="AJ98" s="4" t="str">
        <f t="shared" si="25"/>
        <v/>
      </c>
      <c r="AK98" s="4" t="str">
        <f t="shared" si="25"/>
        <v/>
      </c>
      <c r="AL98" s="4" t="str">
        <f t="shared" si="22"/>
        <v/>
      </c>
      <c r="AM98" s="4" t="str">
        <f t="shared" si="19"/>
        <v/>
      </c>
      <c r="AN98" s="4" t="str">
        <f t="shared" si="19"/>
        <v/>
      </c>
      <c r="AO98" s="4" t="str">
        <f t="shared" si="19"/>
        <v/>
      </c>
      <c r="AP98" s="4" t="str">
        <f t="shared" si="19"/>
        <v/>
      </c>
      <c r="AQ98" s="4" t="str">
        <f t="shared" si="19"/>
        <v/>
      </c>
      <c r="AR98" s="4" t="str">
        <f t="shared" si="19"/>
        <v/>
      </c>
      <c r="AS98" s="5" t="str">
        <f t="shared" si="19"/>
        <v/>
      </c>
      <c r="AT98" s="3" t="str">
        <f t="shared" si="26"/>
        <v/>
      </c>
      <c r="AU98" s="4" t="str">
        <f t="shared" si="26"/>
        <v/>
      </c>
      <c r="AV98" s="4" t="str">
        <f t="shared" si="26"/>
        <v/>
      </c>
      <c r="AW98" s="4" t="str">
        <f t="shared" si="26"/>
        <v/>
      </c>
      <c r="AX98" s="4" t="str">
        <f t="shared" si="26"/>
        <v/>
      </c>
      <c r="AY98" s="4" t="str">
        <f t="shared" si="26"/>
        <v/>
      </c>
      <c r="AZ98" s="4">
        <f t="shared" si="26"/>
        <v>1</v>
      </c>
      <c r="BA98" s="4" t="str">
        <f t="shared" si="26"/>
        <v/>
      </c>
      <c r="BB98" s="4" t="str">
        <f t="shared" si="23"/>
        <v/>
      </c>
      <c r="BC98" s="4" t="str">
        <f t="shared" si="20"/>
        <v/>
      </c>
      <c r="BD98" s="4" t="str">
        <f t="shared" si="20"/>
        <v/>
      </c>
      <c r="BE98" s="4" t="str">
        <f t="shared" si="20"/>
        <v/>
      </c>
      <c r="BF98" s="4" t="str">
        <f t="shared" si="20"/>
        <v/>
      </c>
      <c r="BG98" s="4" t="str">
        <f t="shared" si="20"/>
        <v/>
      </c>
      <c r="BH98" s="4" t="str">
        <f t="shared" si="20"/>
        <v/>
      </c>
      <c r="BI98" s="5" t="str">
        <f t="shared" si="20"/>
        <v/>
      </c>
    </row>
    <row r="99" spans="1:61" x14ac:dyDescent="0.25">
      <c r="A99">
        <v>665845</v>
      </c>
      <c r="B99" t="s">
        <v>15</v>
      </c>
      <c r="C99" t="s">
        <v>16</v>
      </c>
      <c r="D99">
        <v>904</v>
      </c>
      <c r="E99">
        <v>6294</v>
      </c>
      <c r="F99">
        <v>61</v>
      </c>
      <c r="G99">
        <v>20134</v>
      </c>
      <c r="H99" t="s">
        <v>0</v>
      </c>
      <c r="I99">
        <v>346</v>
      </c>
      <c r="J99">
        <v>17</v>
      </c>
      <c r="K99">
        <v>4954.99</v>
      </c>
      <c r="L99">
        <v>4953.99</v>
      </c>
      <c r="M99">
        <v>1</v>
      </c>
      <c r="N99" s="3" t="str">
        <f t="shared" si="24"/>
        <v/>
      </c>
      <c r="O99" s="4" t="str">
        <f t="shared" si="24"/>
        <v/>
      </c>
      <c r="P99" s="4" t="str">
        <f t="shared" si="24"/>
        <v/>
      </c>
      <c r="Q99" s="4" t="str">
        <f t="shared" si="24"/>
        <v/>
      </c>
      <c r="R99" s="4" t="str">
        <f t="shared" si="24"/>
        <v/>
      </c>
      <c r="S99" s="4" t="str">
        <f t="shared" si="24"/>
        <v/>
      </c>
      <c r="T99" s="4" t="str">
        <f t="shared" si="24"/>
        <v/>
      </c>
      <c r="U99" s="4" t="str">
        <f t="shared" si="24"/>
        <v/>
      </c>
      <c r="V99" s="4" t="str">
        <f t="shared" si="21"/>
        <v/>
      </c>
      <c r="W99" s="4" t="str">
        <f t="shared" si="18"/>
        <v/>
      </c>
      <c r="X99" s="4" t="str">
        <f t="shared" si="18"/>
        <v/>
      </c>
      <c r="Y99" s="4" t="str">
        <f t="shared" si="18"/>
        <v/>
      </c>
      <c r="Z99" s="4" t="str">
        <f t="shared" si="18"/>
        <v/>
      </c>
      <c r="AA99" s="4" t="str">
        <f t="shared" si="18"/>
        <v/>
      </c>
      <c r="AB99" s="4" t="str">
        <f t="shared" si="18"/>
        <v/>
      </c>
      <c r="AC99" s="5" t="str">
        <f t="shared" si="18"/>
        <v/>
      </c>
      <c r="AD99" s="3" t="str">
        <f t="shared" si="25"/>
        <v/>
      </c>
      <c r="AE99" s="4" t="str">
        <f t="shared" si="25"/>
        <v/>
      </c>
      <c r="AF99" s="4" t="str">
        <f t="shared" si="25"/>
        <v/>
      </c>
      <c r="AG99" s="4" t="str">
        <f t="shared" si="25"/>
        <v/>
      </c>
      <c r="AH99" s="4" t="str">
        <f t="shared" si="25"/>
        <v/>
      </c>
      <c r="AI99" s="4" t="str">
        <f t="shared" si="25"/>
        <v/>
      </c>
      <c r="AJ99" s="4" t="str">
        <f t="shared" si="25"/>
        <v/>
      </c>
      <c r="AK99" s="4" t="str">
        <f t="shared" si="25"/>
        <v/>
      </c>
      <c r="AL99" s="4" t="str">
        <f t="shared" si="22"/>
        <v/>
      </c>
      <c r="AM99" s="4" t="str">
        <f t="shared" si="19"/>
        <v/>
      </c>
      <c r="AN99" s="4" t="str">
        <f t="shared" si="19"/>
        <v/>
      </c>
      <c r="AO99" s="4" t="str">
        <f t="shared" si="19"/>
        <v/>
      </c>
      <c r="AP99" s="4" t="str">
        <f t="shared" si="19"/>
        <v/>
      </c>
      <c r="AQ99" s="4" t="str">
        <f t="shared" si="19"/>
        <v/>
      </c>
      <c r="AR99" s="4" t="str">
        <f t="shared" si="19"/>
        <v/>
      </c>
      <c r="AS99" s="5" t="str">
        <f t="shared" si="19"/>
        <v/>
      </c>
      <c r="AT99" s="3" t="str">
        <f t="shared" si="26"/>
        <v/>
      </c>
      <c r="AU99" s="4" t="str">
        <f t="shared" si="26"/>
        <v/>
      </c>
      <c r="AV99" s="4" t="str">
        <f t="shared" si="26"/>
        <v/>
      </c>
      <c r="AW99" s="4" t="str">
        <f t="shared" si="26"/>
        <v/>
      </c>
      <c r="AX99" s="4" t="str">
        <f t="shared" si="26"/>
        <v/>
      </c>
      <c r="AY99" s="4" t="str">
        <f t="shared" si="26"/>
        <v/>
      </c>
      <c r="AZ99" s="4" t="str">
        <f t="shared" si="26"/>
        <v/>
      </c>
      <c r="BA99" s="4">
        <f t="shared" si="26"/>
        <v>1</v>
      </c>
      <c r="BB99" s="4" t="str">
        <f t="shared" si="23"/>
        <v/>
      </c>
      <c r="BC99" s="4" t="str">
        <f t="shared" si="20"/>
        <v/>
      </c>
      <c r="BD99" s="4" t="str">
        <f t="shared" si="20"/>
        <v/>
      </c>
      <c r="BE99" s="4" t="str">
        <f t="shared" si="20"/>
        <v/>
      </c>
      <c r="BF99" s="4" t="str">
        <f t="shared" si="20"/>
        <v/>
      </c>
      <c r="BG99" s="4" t="str">
        <f t="shared" si="20"/>
        <v/>
      </c>
      <c r="BH99" s="4" t="str">
        <f t="shared" si="20"/>
        <v/>
      </c>
      <c r="BI99" s="5" t="str">
        <f t="shared" si="20"/>
        <v/>
      </c>
    </row>
    <row r="100" spans="1:61" x14ac:dyDescent="0.25">
      <c r="A100">
        <v>296256</v>
      </c>
      <c r="B100" t="s">
        <v>14</v>
      </c>
      <c r="C100" t="s">
        <v>16</v>
      </c>
      <c r="D100">
        <v>13668</v>
      </c>
      <c r="E100">
        <v>141</v>
      </c>
      <c r="F100">
        <v>5</v>
      </c>
      <c r="G100">
        <v>20122</v>
      </c>
      <c r="H100" t="s">
        <v>0</v>
      </c>
      <c r="I100">
        <v>11287</v>
      </c>
      <c r="J100">
        <v>362</v>
      </c>
      <c r="K100">
        <v>15844.93</v>
      </c>
      <c r="L100">
        <v>15324.29</v>
      </c>
      <c r="M100">
        <v>520.64</v>
      </c>
      <c r="N100" s="3" t="str">
        <f t="shared" si="24"/>
        <v/>
      </c>
      <c r="O100" s="4" t="str">
        <f t="shared" si="24"/>
        <v/>
      </c>
      <c r="P100" s="4" t="str">
        <f t="shared" si="24"/>
        <v/>
      </c>
      <c r="Q100" s="4" t="str">
        <f t="shared" si="24"/>
        <v/>
      </c>
      <c r="R100" s="4" t="str">
        <f t="shared" si="24"/>
        <v/>
      </c>
      <c r="S100" s="4" t="str">
        <f t="shared" si="24"/>
        <v/>
      </c>
      <c r="T100" s="4" t="str">
        <f t="shared" si="24"/>
        <v/>
      </c>
      <c r="U100" s="4" t="str">
        <f t="shared" si="24"/>
        <v/>
      </c>
      <c r="V100" s="4" t="str">
        <f t="shared" si="21"/>
        <v/>
      </c>
      <c r="W100" s="4" t="str">
        <f t="shared" si="18"/>
        <v/>
      </c>
      <c r="X100" s="4" t="str">
        <f t="shared" si="18"/>
        <v/>
      </c>
      <c r="Y100" s="4" t="str">
        <f t="shared" si="18"/>
        <v/>
      </c>
      <c r="Z100" s="4" t="str">
        <f t="shared" si="18"/>
        <v/>
      </c>
      <c r="AA100" s="4" t="str">
        <f t="shared" si="18"/>
        <v/>
      </c>
      <c r="AB100" s="4" t="str">
        <f t="shared" si="18"/>
        <v/>
      </c>
      <c r="AC100" s="5" t="str">
        <f t="shared" si="18"/>
        <v/>
      </c>
      <c r="AD100" s="3" t="str">
        <f t="shared" si="25"/>
        <v/>
      </c>
      <c r="AE100" s="4">
        <f t="shared" si="25"/>
        <v>1</v>
      </c>
      <c r="AF100" s="4" t="str">
        <f t="shared" si="25"/>
        <v/>
      </c>
      <c r="AG100" s="4" t="str">
        <f t="shared" si="25"/>
        <v/>
      </c>
      <c r="AH100" s="4" t="str">
        <f t="shared" si="25"/>
        <v/>
      </c>
      <c r="AI100" s="4" t="str">
        <f t="shared" si="25"/>
        <v/>
      </c>
      <c r="AJ100" s="4" t="str">
        <f t="shared" si="25"/>
        <v/>
      </c>
      <c r="AK100" s="4" t="str">
        <f t="shared" si="25"/>
        <v/>
      </c>
      <c r="AL100" s="4" t="str">
        <f t="shared" si="22"/>
        <v/>
      </c>
      <c r="AM100" s="4" t="str">
        <f t="shared" si="19"/>
        <v/>
      </c>
      <c r="AN100" s="4" t="str">
        <f t="shared" si="19"/>
        <v/>
      </c>
      <c r="AO100" s="4" t="str">
        <f t="shared" si="19"/>
        <v/>
      </c>
      <c r="AP100" s="4" t="str">
        <f t="shared" si="19"/>
        <v/>
      </c>
      <c r="AQ100" s="4" t="str">
        <f t="shared" si="19"/>
        <v/>
      </c>
      <c r="AR100" s="4" t="str">
        <f t="shared" si="19"/>
        <v/>
      </c>
      <c r="AS100" s="5" t="str">
        <f t="shared" si="19"/>
        <v/>
      </c>
      <c r="AT100" s="3" t="str">
        <f t="shared" si="26"/>
        <v/>
      </c>
      <c r="AU100" s="4" t="str">
        <f t="shared" si="26"/>
        <v/>
      </c>
      <c r="AV100" s="4" t="str">
        <f t="shared" si="26"/>
        <v/>
      </c>
      <c r="AW100" s="4" t="str">
        <f t="shared" si="26"/>
        <v/>
      </c>
      <c r="AX100" s="4" t="str">
        <f t="shared" si="26"/>
        <v/>
      </c>
      <c r="AY100" s="4" t="str">
        <f t="shared" si="26"/>
        <v/>
      </c>
      <c r="AZ100" s="4" t="str">
        <f t="shared" si="26"/>
        <v/>
      </c>
      <c r="BA100" s="4" t="str">
        <f t="shared" si="26"/>
        <v/>
      </c>
      <c r="BB100" s="4" t="str">
        <f t="shared" si="23"/>
        <v/>
      </c>
      <c r="BC100" s="4" t="str">
        <f t="shared" si="20"/>
        <v/>
      </c>
      <c r="BD100" s="4" t="str">
        <f t="shared" si="20"/>
        <v/>
      </c>
      <c r="BE100" s="4" t="str">
        <f t="shared" si="20"/>
        <v/>
      </c>
      <c r="BF100" s="4" t="str">
        <f t="shared" si="20"/>
        <v/>
      </c>
      <c r="BG100" s="4" t="str">
        <f t="shared" si="20"/>
        <v/>
      </c>
      <c r="BH100" s="4" t="str">
        <f t="shared" si="20"/>
        <v/>
      </c>
      <c r="BI100" s="5" t="str">
        <f t="shared" si="20"/>
        <v/>
      </c>
    </row>
    <row r="101" spans="1:61" x14ac:dyDescent="0.25">
      <c r="A101">
        <v>296257</v>
      </c>
      <c r="B101" t="s">
        <v>14</v>
      </c>
      <c r="C101" t="s">
        <v>16</v>
      </c>
      <c r="D101">
        <v>13668</v>
      </c>
      <c r="E101">
        <v>141</v>
      </c>
      <c r="F101">
        <v>5</v>
      </c>
      <c r="G101">
        <v>20123</v>
      </c>
      <c r="H101" t="s">
        <v>0</v>
      </c>
      <c r="I101">
        <v>105108</v>
      </c>
      <c r="J101">
        <v>3471</v>
      </c>
      <c r="K101">
        <v>133723.65</v>
      </c>
      <c r="L101">
        <v>130757.12</v>
      </c>
      <c r="M101">
        <v>2966.53</v>
      </c>
      <c r="N101" s="3" t="str">
        <f t="shared" si="24"/>
        <v/>
      </c>
      <c r="O101" s="4" t="str">
        <f t="shared" si="24"/>
        <v/>
      </c>
      <c r="P101" s="4" t="str">
        <f t="shared" si="24"/>
        <v/>
      </c>
      <c r="Q101" s="4" t="str">
        <f t="shared" si="24"/>
        <v/>
      </c>
      <c r="R101" s="4" t="str">
        <f t="shared" si="24"/>
        <v/>
      </c>
      <c r="S101" s="4" t="str">
        <f t="shared" si="24"/>
        <v/>
      </c>
      <c r="T101" s="4" t="str">
        <f t="shared" si="24"/>
        <v/>
      </c>
      <c r="U101" s="4" t="str">
        <f t="shared" si="24"/>
        <v/>
      </c>
      <c r="V101" s="4" t="str">
        <f t="shared" si="21"/>
        <v/>
      </c>
      <c r="W101" s="4" t="str">
        <f t="shared" si="18"/>
        <v/>
      </c>
      <c r="X101" s="4" t="str">
        <f t="shared" si="18"/>
        <v/>
      </c>
      <c r="Y101" s="4" t="str">
        <f t="shared" si="18"/>
        <v/>
      </c>
      <c r="Z101" s="4" t="str">
        <f t="shared" si="18"/>
        <v/>
      </c>
      <c r="AA101" s="4" t="str">
        <f t="shared" si="18"/>
        <v/>
      </c>
      <c r="AB101" s="4" t="str">
        <f t="shared" si="18"/>
        <v/>
      </c>
      <c r="AC101" s="5" t="str">
        <f t="shared" si="18"/>
        <v/>
      </c>
      <c r="AD101" s="3" t="str">
        <f t="shared" si="25"/>
        <v/>
      </c>
      <c r="AE101" s="4" t="str">
        <f t="shared" si="25"/>
        <v/>
      </c>
      <c r="AF101" s="4">
        <f t="shared" si="25"/>
        <v>1</v>
      </c>
      <c r="AG101" s="4" t="str">
        <f t="shared" si="25"/>
        <v/>
      </c>
      <c r="AH101" s="4" t="str">
        <f t="shared" si="25"/>
        <v/>
      </c>
      <c r="AI101" s="4" t="str">
        <f t="shared" si="25"/>
        <v/>
      </c>
      <c r="AJ101" s="4" t="str">
        <f t="shared" si="25"/>
        <v/>
      </c>
      <c r="AK101" s="4" t="str">
        <f t="shared" si="25"/>
        <v/>
      </c>
      <c r="AL101" s="4" t="str">
        <f t="shared" si="22"/>
        <v/>
      </c>
      <c r="AM101" s="4" t="str">
        <f t="shared" si="19"/>
        <v/>
      </c>
      <c r="AN101" s="4" t="str">
        <f t="shared" si="19"/>
        <v/>
      </c>
      <c r="AO101" s="4" t="str">
        <f t="shared" si="19"/>
        <v/>
      </c>
      <c r="AP101" s="4" t="str">
        <f t="shared" si="19"/>
        <v/>
      </c>
      <c r="AQ101" s="4" t="str">
        <f t="shared" si="19"/>
        <v/>
      </c>
      <c r="AR101" s="4" t="str">
        <f t="shared" si="19"/>
        <v/>
      </c>
      <c r="AS101" s="5" t="str">
        <f t="shared" si="19"/>
        <v/>
      </c>
      <c r="AT101" s="3" t="str">
        <f t="shared" si="26"/>
        <v/>
      </c>
      <c r="AU101" s="4" t="str">
        <f t="shared" si="26"/>
        <v/>
      </c>
      <c r="AV101" s="4" t="str">
        <f t="shared" si="26"/>
        <v/>
      </c>
      <c r="AW101" s="4" t="str">
        <f t="shared" si="26"/>
        <v/>
      </c>
      <c r="AX101" s="4" t="str">
        <f t="shared" si="26"/>
        <v/>
      </c>
      <c r="AY101" s="4" t="str">
        <f t="shared" si="26"/>
        <v/>
      </c>
      <c r="AZ101" s="4" t="str">
        <f t="shared" si="26"/>
        <v/>
      </c>
      <c r="BA101" s="4" t="str">
        <f t="shared" si="26"/>
        <v/>
      </c>
      <c r="BB101" s="4" t="str">
        <f t="shared" si="23"/>
        <v/>
      </c>
      <c r="BC101" s="4" t="str">
        <f t="shared" si="20"/>
        <v/>
      </c>
      <c r="BD101" s="4" t="str">
        <f t="shared" si="20"/>
        <v/>
      </c>
      <c r="BE101" s="4" t="str">
        <f t="shared" si="20"/>
        <v/>
      </c>
      <c r="BF101" s="4" t="str">
        <f t="shared" si="20"/>
        <v/>
      </c>
      <c r="BG101" s="4" t="str">
        <f t="shared" si="20"/>
        <v/>
      </c>
      <c r="BH101" s="4" t="str">
        <f t="shared" si="20"/>
        <v/>
      </c>
      <c r="BI101" s="5" t="str">
        <f t="shared" si="20"/>
        <v/>
      </c>
    </row>
    <row r="102" spans="1:61" x14ac:dyDescent="0.25">
      <c r="A102">
        <v>296258</v>
      </c>
      <c r="B102" t="s">
        <v>14</v>
      </c>
      <c r="C102" t="s">
        <v>16</v>
      </c>
      <c r="D102">
        <v>13668</v>
      </c>
      <c r="E102">
        <v>141</v>
      </c>
      <c r="F102">
        <v>5</v>
      </c>
      <c r="G102">
        <v>20124</v>
      </c>
      <c r="H102" t="s">
        <v>0</v>
      </c>
      <c r="I102">
        <v>64419</v>
      </c>
      <c r="J102">
        <v>2153</v>
      </c>
      <c r="K102">
        <v>34823.699999999997</v>
      </c>
      <c r="L102">
        <v>33672.879999999997</v>
      </c>
      <c r="M102">
        <v>1150.82</v>
      </c>
      <c r="N102" s="3" t="str">
        <f t="shared" si="24"/>
        <v/>
      </c>
      <c r="O102" s="4" t="str">
        <f t="shared" si="24"/>
        <v/>
      </c>
      <c r="P102" s="4" t="str">
        <f t="shared" si="24"/>
        <v/>
      </c>
      <c r="Q102" s="4" t="str">
        <f t="shared" si="24"/>
        <v/>
      </c>
      <c r="R102" s="4" t="str">
        <f t="shared" si="24"/>
        <v/>
      </c>
      <c r="S102" s="4" t="str">
        <f t="shared" si="24"/>
        <v/>
      </c>
      <c r="T102" s="4" t="str">
        <f t="shared" si="24"/>
        <v/>
      </c>
      <c r="U102" s="4" t="str">
        <f t="shared" si="24"/>
        <v/>
      </c>
      <c r="V102" s="4" t="str">
        <f t="shared" si="21"/>
        <v/>
      </c>
      <c r="W102" s="4" t="str">
        <f t="shared" si="18"/>
        <v/>
      </c>
      <c r="X102" s="4" t="str">
        <f t="shared" si="18"/>
        <v/>
      </c>
      <c r="Y102" s="4" t="str">
        <f t="shared" si="18"/>
        <v/>
      </c>
      <c r="Z102" s="4" t="str">
        <f t="shared" si="18"/>
        <v/>
      </c>
      <c r="AA102" s="4" t="str">
        <f t="shared" si="18"/>
        <v/>
      </c>
      <c r="AB102" s="4" t="str">
        <f t="shared" si="18"/>
        <v/>
      </c>
      <c r="AC102" s="5" t="str">
        <f t="shared" si="18"/>
        <v/>
      </c>
      <c r="AD102" s="3" t="str">
        <f t="shared" si="25"/>
        <v/>
      </c>
      <c r="AE102" s="4" t="str">
        <f t="shared" si="25"/>
        <v/>
      </c>
      <c r="AF102" s="4" t="str">
        <f t="shared" si="25"/>
        <v/>
      </c>
      <c r="AG102" s="4">
        <f t="shared" si="25"/>
        <v>1</v>
      </c>
      <c r="AH102" s="4" t="str">
        <f t="shared" si="25"/>
        <v/>
      </c>
      <c r="AI102" s="4" t="str">
        <f t="shared" si="25"/>
        <v/>
      </c>
      <c r="AJ102" s="4" t="str">
        <f t="shared" si="25"/>
        <v/>
      </c>
      <c r="AK102" s="4" t="str">
        <f t="shared" si="25"/>
        <v/>
      </c>
      <c r="AL102" s="4" t="str">
        <f t="shared" si="22"/>
        <v/>
      </c>
      <c r="AM102" s="4" t="str">
        <f t="shared" si="19"/>
        <v/>
      </c>
      <c r="AN102" s="4" t="str">
        <f t="shared" si="19"/>
        <v/>
      </c>
      <c r="AO102" s="4" t="str">
        <f t="shared" si="19"/>
        <v/>
      </c>
      <c r="AP102" s="4" t="str">
        <f t="shared" si="19"/>
        <v/>
      </c>
      <c r="AQ102" s="4" t="str">
        <f t="shared" si="19"/>
        <v/>
      </c>
      <c r="AR102" s="4" t="str">
        <f t="shared" si="19"/>
        <v/>
      </c>
      <c r="AS102" s="5" t="str">
        <f t="shared" si="19"/>
        <v/>
      </c>
      <c r="AT102" s="3" t="str">
        <f t="shared" si="26"/>
        <v/>
      </c>
      <c r="AU102" s="4" t="str">
        <f t="shared" si="26"/>
        <v/>
      </c>
      <c r="AV102" s="4" t="str">
        <f t="shared" si="26"/>
        <v/>
      </c>
      <c r="AW102" s="4" t="str">
        <f t="shared" si="26"/>
        <v/>
      </c>
      <c r="AX102" s="4" t="str">
        <f t="shared" si="26"/>
        <v/>
      </c>
      <c r="AY102" s="4" t="str">
        <f t="shared" si="26"/>
        <v/>
      </c>
      <c r="AZ102" s="4" t="str">
        <f t="shared" si="26"/>
        <v/>
      </c>
      <c r="BA102" s="4" t="str">
        <f t="shared" si="26"/>
        <v/>
      </c>
      <c r="BB102" s="4" t="str">
        <f t="shared" si="23"/>
        <v/>
      </c>
      <c r="BC102" s="4" t="str">
        <f t="shared" si="20"/>
        <v/>
      </c>
      <c r="BD102" s="4" t="str">
        <f t="shared" si="20"/>
        <v/>
      </c>
      <c r="BE102" s="4" t="str">
        <f t="shared" si="20"/>
        <v/>
      </c>
      <c r="BF102" s="4" t="str">
        <f t="shared" si="20"/>
        <v/>
      </c>
      <c r="BG102" s="4" t="str">
        <f t="shared" si="20"/>
        <v/>
      </c>
      <c r="BH102" s="4" t="str">
        <f t="shared" si="20"/>
        <v/>
      </c>
      <c r="BI102" s="5" t="str">
        <f t="shared" si="20"/>
        <v/>
      </c>
    </row>
    <row r="103" spans="1:61" x14ac:dyDescent="0.25">
      <c r="A103">
        <v>296259</v>
      </c>
      <c r="B103" t="s">
        <v>14</v>
      </c>
      <c r="C103" t="s">
        <v>16</v>
      </c>
      <c r="D103">
        <v>13668</v>
      </c>
      <c r="E103">
        <v>141</v>
      </c>
      <c r="F103">
        <v>30</v>
      </c>
      <c r="G103">
        <v>20122</v>
      </c>
      <c r="H103" t="s">
        <v>0</v>
      </c>
      <c r="I103">
        <v>2822</v>
      </c>
      <c r="J103">
        <v>93</v>
      </c>
      <c r="K103">
        <v>3074.59</v>
      </c>
      <c r="L103">
        <v>3050.59</v>
      </c>
      <c r="M103">
        <v>24</v>
      </c>
      <c r="N103" s="3" t="str">
        <f t="shared" si="24"/>
        <v/>
      </c>
      <c r="O103" s="4" t="str">
        <f t="shared" si="24"/>
        <v/>
      </c>
      <c r="P103" s="4" t="str">
        <f t="shared" si="24"/>
        <v/>
      </c>
      <c r="Q103" s="4" t="str">
        <f t="shared" si="24"/>
        <v/>
      </c>
      <c r="R103" s="4" t="str">
        <f t="shared" si="24"/>
        <v/>
      </c>
      <c r="S103" s="4" t="str">
        <f t="shared" si="24"/>
        <v/>
      </c>
      <c r="T103" s="4" t="str">
        <f t="shared" si="24"/>
        <v/>
      </c>
      <c r="U103" s="4" t="str">
        <f t="shared" si="24"/>
        <v/>
      </c>
      <c r="V103" s="4" t="str">
        <f t="shared" si="21"/>
        <v/>
      </c>
      <c r="W103" s="4" t="str">
        <f t="shared" si="18"/>
        <v/>
      </c>
      <c r="X103" s="4" t="str">
        <f t="shared" si="18"/>
        <v/>
      </c>
      <c r="Y103" s="4" t="str">
        <f t="shared" si="18"/>
        <v/>
      </c>
      <c r="Z103" s="4" t="str">
        <f t="shared" si="18"/>
        <v/>
      </c>
      <c r="AA103" s="4" t="str">
        <f t="shared" si="18"/>
        <v/>
      </c>
      <c r="AB103" s="4" t="str">
        <f t="shared" si="18"/>
        <v/>
      </c>
      <c r="AC103" s="5" t="str">
        <f t="shared" si="18"/>
        <v/>
      </c>
      <c r="AD103" s="3" t="str">
        <f t="shared" si="25"/>
        <v/>
      </c>
      <c r="AE103" s="4">
        <f t="shared" si="25"/>
        <v>1</v>
      </c>
      <c r="AF103" s="4" t="str">
        <f t="shared" si="25"/>
        <v/>
      </c>
      <c r="AG103" s="4" t="str">
        <f t="shared" si="25"/>
        <v/>
      </c>
      <c r="AH103" s="4" t="str">
        <f t="shared" si="25"/>
        <v/>
      </c>
      <c r="AI103" s="4" t="str">
        <f t="shared" si="25"/>
        <v/>
      </c>
      <c r="AJ103" s="4" t="str">
        <f t="shared" si="25"/>
        <v/>
      </c>
      <c r="AK103" s="4" t="str">
        <f t="shared" si="25"/>
        <v/>
      </c>
      <c r="AL103" s="4" t="str">
        <f t="shared" si="22"/>
        <v/>
      </c>
      <c r="AM103" s="4" t="str">
        <f t="shared" si="19"/>
        <v/>
      </c>
      <c r="AN103" s="4" t="str">
        <f t="shared" si="19"/>
        <v/>
      </c>
      <c r="AO103" s="4" t="str">
        <f t="shared" si="19"/>
        <v/>
      </c>
      <c r="AP103" s="4" t="str">
        <f t="shared" si="19"/>
        <v/>
      </c>
      <c r="AQ103" s="4" t="str">
        <f t="shared" si="19"/>
        <v/>
      </c>
      <c r="AR103" s="4" t="str">
        <f t="shared" si="19"/>
        <v/>
      </c>
      <c r="AS103" s="5" t="str">
        <f t="shared" si="19"/>
        <v/>
      </c>
      <c r="AT103" s="3" t="str">
        <f t="shared" si="26"/>
        <v/>
      </c>
      <c r="AU103" s="4" t="str">
        <f t="shared" si="26"/>
        <v/>
      </c>
      <c r="AV103" s="4" t="str">
        <f t="shared" si="26"/>
        <v/>
      </c>
      <c r="AW103" s="4" t="str">
        <f t="shared" si="26"/>
        <v/>
      </c>
      <c r="AX103" s="4" t="str">
        <f t="shared" si="26"/>
        <v/>
      </c>
      <c r="AY103" s="4" t="str">
        <f t="shared" si="26"/>
        <v/>
      </c>
      <c r="AZ103" s="4" t="str">
        <f t="shared" si="26"/>
        <v/>
      </c>
      <c r="BA103" s="4" t="str">
        <f t="shared" si="26"/>
        <v/>
      </c>
      <c r="BB103" s="4" t="str">
        <f t="shared" si="23"/>
        <v/>
      </c>
      <c r="BC103" s="4" t="str">
        <f t="shared" si="20"/>
        <v/>
      </c>
      <c r="BD103" s="4" t="str">
        <f t="shared" si="20"/>
        <v/>
      </c>
      <c r="BE103" s="4" t="str">
        <f t="shared" si="20"/>
        <v/>
      </c>
      <c r="BF103" s="4" t="str">
        <f t="shared" si="20"/>
        <v/>
      </c>
      <c r="BG103" s="4" t="str">
        <f t="shared" si="20"/>
        <v/>
      </c>
      <c r="BH103" s="4" t="str">
        <f t="shared" si="20"/>
        <v/>
      </c>
      <c r="BI103" s="5" t="str">
        <f t="shared" si="20"/>
        <v/>
      </c>
    </row>
    <row r="104" spans="1:61" x14ac:dyDescent="0.25">
      <c r="A104">
        <v>296260</v>
      </c>
      <c r="B104" t="s">
        <v>14</v>
      </c>
      <c r="C104" t="s">
        <v>16</v>
      </c>
      <c r="D104">
        <v>13668</v>
      </c>
      <c r="E104">
        <v>141</v>
      </c>
      <c r="F104">
        <v>30</v>
      </c>
      <c r="G104">
        <v>20123</v>
      </c>
      <c r="H104" t="s">
        <v>0</v>
      </c>
      <c r="I104">
        <v>37277</v>
      </c>
      <c r="J104">
        <v>1158</v>
      </c>
      <c r="K104">
        <v>98165.36</v>
      </c>
      <c r="L104">
        <v>97707.46</v>
      </c>
      <c r="M104">
        <v>457.9</v>
      </c>
      <c r="N104" s="3" t="str">
        <f t="shared" si="24"/>
        <v/>
      </c>
      <c r="O104" s="4" t="str">
        <f t="shared" si="24"/>
        <v/>
      </c>
      <c r="P104" s="4" t="str">
        <f t="shared" si="24"/>
        <v/>
      </c>
      <c r="Q104" s="4" t="str">
        <f t="shared" si="24"/>
        <v/>
      </c>
      <c r="R104" s="4" t="str">
        <f t="shared" si="24"/>
        <v/>
      </c>
      <c r="S104" s="4" t="str">
        <f t="shared" si="24"/>
        <v/>
      </c>
      <c r="T104" s="4" t="str">
        <f t="shared" si="24"/>
        <v/>
      </c>
      <c r="U104" s="4" t="str">
        <f t="shared" si="24"/>
        <v/>
      </c>
      <c r="V104" s="4" t="str">
        <f t="shared" si="21"/>
        <v/>
      </c>
      <c r="W104" s="4" t="str">
        <f t="shared" si="18"/>
        <v/>
      </c>
      <c r="X104" s="4" t="str">
        <f t="shared" si="18"/>
        <v/>
      </c>
      <c r="Y104" s="4" t="str">
        <f t="shared" si="18"/>
        <v/>
      </c>
      <c r="Z104" s="4" t="str">
        <f t="shared" si="18"/>
        <v/>
      </c>
      <c r="AA104" s="4" t="str">
        <f t="shared" si="18"/>
        <v/>
      </c>
      <c r="AB104" s="4" t="str">
        <f t="shared" si="18"/>
        <v/>
      </c>
      <c r="AC104" s="5" t="str">
        <f t="shared" si="18"/>
        <v/>
      </c>
      <c r="AD104" s="3" t="str">
        <f t="shared" si="25"/>
        <v/>
      </c>
      <c r="AE104" s="4" t="str">
        <f t="shared" si="25"/>
        <v/>
      </c>
      <c r="AF104" s="4">
        <f t="shared" si="25"/>
        <v>1</v>
      </c>
      <c r="AG104" s="4" t="str">
        <f t="shared" si="25"/>
        <v/>
      </c>
      <c r="AH104" s="4" t="str">
        <f t="shared" si="25"/>
        <v/>
      </c>
      <c r="AI104" s="4" t="str">
        <f t="shared" si="25"/>
        <v/>
      </c>
      <c r="AJ104" s="4" t="str">
        <f t="shared" si="25"/>
        <v/>
      </c>
      <c r="AK104" s="4" t="str">
        <f t="shared" si="25"/>
        <v/>
      </c>
      <c r="AL104" s="4" t="str">
        <f t="shared" si="22"/>
        <v/>
      </c>
      <c r="AM104" s="4" t="str">
        <f t="shared" si="19"/>
        <v/>
      </c>
      <c r="AN104" s="4" t="str">
        <f t="shared" si="19"/>
        <v/>
      </c>
      <c r="AO104" s="4" t="str">
        <f t="shared" si="19"/>
        <v/>
      </c>
      <c r="AP104" s="4" t="str">
        <f t="shared" si="19"/>
        <v/>
      </c>
      <c r="AQ104" s="4" t="str">
        <f t="shared" si="19"/>
        <v/>
      </c>
      <c r="AR104" s="4" t="str">
        <f t="shared" si="19"/>
        <v/>
      </c>
      <c r="AS104" s="5" t="str">
        <f t="shared" si="19"/>
        <v/>
      </c>
      <c r="AT104" s="3" t="str">
        <f t="shared" si="26"/>
        <v/>
      </c>
      <c r="AU104" s="4" t="str">
        <f t="shared" si="26"/>
        <v/>
      </c>
      <c r="AV104" s="4" t="str">
        <f t="shared" si="26"/>
        <v/>
      </c>
      <c r="AW104" s="4" t="str">
        <f t="shared" si="26"/>
        <v/>
      </c>
      <c r="AX104" s="4" t="str">
        <f t="shared" si="26"/>
        <v/>
      </c>
      <c r="AY104" s="4" t="str">
        <f t="shared" si="26"/>
        <v/>
      </c>
      <c r="AZ104" s="4" t="str">
        <f t="shared" si="26"/>
        <v/>
      </c>
      <c r="BA104" s="4" t="str">
        <f t="shared" si="26"/>
        <v/>
      </c>
      <c r="BB104" s="4" t="str">
        <f t="shared" si="23"/>
        <v/>
      </c>
      <c r="BC104" s="4" t="str">
        <f t="shared" si="20"/>
        <v/>
      </c>
      <c r="BD104" s="4" t="str">
        <f t="shared" si="20"/>
        <v/>
      </c>
      <c r="BE104" s="4" t="str">
        <f t="shared" si="20"/>
        <v/>
      </c>
      <c r="BF104" s="4" t="str">
        <f t="shared" si="20"/>
        <v/>
      </c>
      <c r="BG104" s="4" t="str">
        <f t="shared" si="20"/>
        <v/>
      </c>
      <c r="BH104" s="4" t="str">
        <f t="shared" si="20"/>
        <v/>
      </c>
      <c r="BI104" s="5" t="str">
        <f t="shared" si="20"/>
        <v/>
      </c>
    </row>
    <row r="105" spans="1:61" x14ac:dyDescent="0.25">
      <c r="A105">
        <v>296261</v>
      </c>
      <c r="B105" t="s">
        <v>14</v>
      </c>
      <c r="C105" t="s">
        <v>16</v>
      </c>
      <c r="D105">
        <v>13668</v>
      </c>
      <c r="E105">
        <v>141</v>
      </c>
      <c r="F105">
        <v>30</v>
      </c>
      <c r="G105">
        <v>20124</v>
      </c>
      <c r="H105" t="s">
        <v>0</v>
      </c>
      <c r="I105">
        <v>26135</v>
      </c>
      <c r="J105">
        <v>832</v>
      </c>
      <c r="K105">
        <v>13438.27</v>
      </c>
      <c r="L105">
        <v>13034.37</v>
      </c>
      <c r="M105">
        <v>403.9</v>
      </c>
      <c r="N105" s="3" t="str">
        <f t="shared" si="24"/>
        <v/>
      </c>
      <c r="O105" s="4" t="str">
        <f t="shared" si="24"/>
        <v/>
      </c>
      <c r="P105" s="4" t="str">
        <f t="shared" si="24"/>
        <v/>
      </c>
      <c r="Q105" s="4" t="str">
        <f t="shared" si="24"/>
        <v/>
      </c>
      <c r="R105" s="4" t="str">
        <f t="shared" si="24"/>
        <v/>
      </c>
      <c r="S105" s="4" t="str">
        <f t="shared" si="24"/>
        <v/>
      </c>
      <c r="T105" s="4" t="str">
        <f t="shared" si="24"/>
        <v/>
      </c>
      <c r="U105" s="4" t="str">
        <f t="shared" si="24"/>
        <v/>
      </c>
      <c r="V105" s="4" t="str">
        <f t="shared" si="21"/>
        <v/>
      </c>
      <c r="W105" s="4" t="str">
        <f t="shared" si="18"/>
        <v/>
      </c>
      <c r="X105" s="4" t="str">
        <f t="shared" si="18"/>
        <v/>
      </c>
      <c r="Y105" s="4" t="str">
        <f t="shared" si="18"/>
        <v/>
      </c>
      <c r="Z105" s="4" t="str">
        <f t="shared" si="18"/>
        <v/>
      </c>
      <c r="AA105" s="4" t="str">
        <f t="shared" si="18"/>
        <v/>
      </c>
      <c r="AB105" s="4" t="str">
        <f t="shared" si="18"/>
        <v/>
      </c>
      <c r="AC105" s="5" t="str">
        <f t="shared" si="18"/>
        <v/>
      </c>
      <c r="AD105" s="3" t="str">
        <f t="shared" si="25"/>
        <v/>
      </c>
      <c r="AE105" s="4" t="str">
        <f t="shared" si="25"/>
        <v/>
      </c>
      <c r="AF105" s="4" t="str">
        <f t="shared" si="25"/>
        <v/>
      </c>
      <c r="AG105" s="4">
        <f t="shared" si="25"/>
        <v>1</v>
      </c>
      <c r="AH105" s="4" t="str">
        <f t="shared" si="25"/>
        <v/>
      </c>
      <c r="AI105" s="4" t="str">
        <f t="shared" si="25"/>
        <v/>
      </c>
      <c r="AJ105" s="4" t="str">
        <f t="shared" si="25"/>
        <v/>
      </c>
      <c r="AK105" s="4" t="str">
        <f t="shared" si="25"/>
        <v/>
      </c>
      <c r="AL105" s="4" t="str">
        <f t="shared" si="22"/>
        <v/>
      </c>
      <c r="AM105" s="4" t="str">
        <f t="shared" si="19"/>
        <v/>
      </c>
      <c r="AN105" s="4" t="str">
        <f t="shared" si="19"/>
        <v/>
      </c>
      <c r="AO105" s="4" t="str">
        <f t="shared" si="19"/>
        <v/>
      </c>
      <c r="AP105" s="4" t="str">
        <f t="shared" si="19"/>
        <v/>
      </c>
      <c r="AQ105" s="4" t="str">
        <f t="shared" si="19"/>
        <v/>
      </c>
      <c r="AR105" s="4" t="str">
        <f t="shared" si="19"/>
        <v/>
      </c>
      <c r="AS105" s="5" t="str">
        <f t="shared" si="19"/>
        <v/>
      </c>
      <c r="AT105" s="3" t="str">
        <f t="shared" si="26"/>
        <v/>
      </c>
      <c r="AU105" s="4" t="str">
        <f t="shared" si="26"/>
        <v/>
      </c>
      <c r="AV105" s="4" t="str">
        <f t="shared" si="26"/>
        <v/>
      </c>
      <c r="AW105" s="4" t="str">
        <f t="shared" si="26"/>
        <v/>
      </c>
      <c r="AX105" s="4" t="str">
        <f t="shared" si="26"/>
        <v/>
      </c>
      <c r="AY105" s="4" t="str">
        <f t="shared" si="26"/>
        <v/>
      </c>
      <c r="AZ105" s="4" t="str">
        <f t="shared" si="26"/>
        <v/>
      </c>
      <c r="BA105" s="4" t="str">
        <f t="shared" si="26"/>
        <v/>
      </c>
      <c r="BB105" s="4" t="str">
        <f t="shared" si="23"/>
        <v/>
      </c>
      <c r="BC105" s="4" t="str">
        <f t="shared" si="20"/>
        <v/>
      </c>
      <c r="BD105" s="4" t="str">
        <f t="shared" si="20"/>
        <v/>
      </c>
      <c r="BE105" s="4" t="str">
        <f t="shared" si="20"/>
        <v/>
      </c>
      <c r="BF105" s="4" t="str">
        <f t="shared" si="20"/>
        <v/>
      </c>
      <c r="BG105" s="4" t="str">
        <f t="shared" si="20"/>
        <v/>
      </c>
      <c r="BH105" s="4" t="str">
        <f t="shared" si="20"/>
        <v/>
      </c>
      <c r="BI105" s="5" t="str">
        <f t="shared" si="20"/>
        <v/>
      </c>
    </row>
    <row r="106" spans="1:61" x14ac:dyDescent="0.25">
      <c r="A106">
        <v>296262</v>
      </c>
      <c r="B106" t="s">
        <v>14</v>
      </c>
      <c r="C106" t="s">
        <v>16</v>
      </c>
      <c r="D106">
        <v>13668</v>
      </c>
      <c r="E106">
        <v>141</v>
      </c>
      <c r="F106">
        <v>90</v>
      </c>
      <c r="G106">
        <v>20122</v>
      </c>
      <c r="H106" t="s">
        <v>0</v>
      </c>
      <c r="I106">
        <v>8097</v>
      </c>
      <c r="J106">
        <v>247</v>
      </c>
      <c r="K106">
        <v>14413.01</v>
      </c>
      <c r="L106">
        <v>14041.85</v>
      </c>
      <c r="M106">
        <v>371.16</v>
      </c>
      <c r="N106" s="3" t="str">
        <f t="shared" si="24"/>
        <v/>
      </c>
      <c r="O106" s="4" t="str">
        <f t="shared" si="24"/>
        <v/>
      </c>
      <c r="P106" s="4" t="str">
        <f t="shared" si="24"/>
        <v/>
      </c>
      <c r="Q106" s="4" t="str">
        <f t="shared" si="24"/>
        <v/>
      </c>
      <c r="R106" s="4" t="str">
        <f t="shared" si="24"/>
        <v/>
      </c>
      <c r="S106" s="4" t="str">
        <f t="shared" si="24"/>
        <v/>
      </c>
      <c r="T106" s="4" t="str">
        <f t="shared" si="24"/>
        <v/>
      </c>
      <c r="U106" s="4" t="str">
        <f t="shared" si="24"/>
        <v/>
      </c>
      <c r="V106" s="4" t="str">
        <f t="shared" si="21"/>
        <v/>
      </c>
      <c r="W106" s="4" t="str">
        <f t="shared" si="18"/>
        <v/>
      </c>
      <c r="X106" s="4" t="str">
        <f t="shared" si="18"/>
        <v/>
      </c>
      <c r="Y106" s="4" t="str">
        <f t="shared" si="18"/>
        <v/>
      </c>
      <c r="Z106" s="4" t="str">
        <f t="shared" si="18"/>
        <v/>
      </c>
      <c r="AA106" s="4" t="str">
        <f t="shared" si="18"/>
        <v/>
      </c>
      <c r="AB106" s="4" t="str">
        <f t="shared" si="18"/>
        <v/>
      </c>
      <c r="AC106" s="5" t="str">
        <f t="shared" si="18"/>
        <v/>
      </c>
      <c r="AD106" s="3" t="str">
        <f t="shared" si="25"/>
        <v/>
      </c>
      <c r="AE106" s="4">
        <f t="shared" si="25"/>
        <v>1</v>
      </c>
      <c r="AF106" s="4" t="str">
        <f t="shared" si="25"/>
        <v/>
      </c>
      <c r="AG106" s="4" t="str">
        <f t="shared" si="25"/>
        <v/>
      </c>
      <c r="AH106" s="4" t="str">
        <f t="shared" si="25"/>
        <v/>
      </c>
      <c r="AI106" s="4" t="str">
        <f t="shared" si="25"/>
        <v/>
      </c>
      <c r="AJ106" s="4" t="str">
        <f t="shared" si="25"/>
        <v/>
      </c>
      <c r="AK106" s="4" t="str">
        <f t="shared" si="25"/>
        <v/>
      </c>
      <c r="AL106" s="4" t="str">
        <f t="shared" si="22"/>
        <v/>
      </c>
      <c r="AM106" s="4" t="str">
        <f t="shared" si="19"/>
        <v/>
      </c>
      <c r="AN106" s="4" t="str">
        <f t="shared" si="19"/>
        <v/>
      </c>
      <c r="AO106" s="4" t="str">
        <f t="shared" si="19"/>
        <v/>
      </c>
      <c r="AP106" s="4" t="str">
        <f t="shared" si="19"/>
        <v/>
      </c>
      <c r="AQ106" s="4" t="str">
        <f t="shared" si="19"/>
        <v/>
      </c>
      <c r="AR106" s="4" t="str">
        <f t="shared" si="19"/>
        <v/>
      </c>
      <c r="AS106" s="5" t="str">
        <f t="shared" si="19"/>
        <v/>
      </c>
      <c r="AT106" s="3" t="str">
        <f t="shared" si="26"/>
        <v/>
      </c>
      <c r="AU106" s="4" t="str">
        <f t="shared" si="26"/>
        <v/>
      </c>
      <c r="AV106" s="4" t="str">
        <f t="shared" si="26"/>
        <v/>
      </c>
      <c r="AW106" s="4" t="str">
        <f t="shared" si="26"/>
        <v/>
      </c>
      <c r="AX106" s="4" t="str">
        <f t="shared" si="26"/>
        <v/>
      </c>
      <c r="AY106" s="4" t="str">
        <f t="shared" si="26"/>
        <v/>
      </c>
      <c r="AZ106" s="4" t="str">
        <f t="shared" si="26"/>
        <v/>
      </c>
      <c r="BA106" s="4" t="str">
        <f t="shared" si="26"/>
        <v/>
      </c>
      <c r="BB106" s="4" t="str">
        <f t="shared" si="23"/>
        <v/>
      </c>
      <c r="BC106" s="4" t="str">
        <f t="shared" si="20"/>
        <v/>
      </c>
      <c r="BD106" s="4" t="str">
        <f t="shared" si="20"/>
        <v/>
      </c>
      <c r="BE106" s="4" t="str">
        <f t="shared" si="20"/>
        <v/>
      </c>
      <c r="BF106" s="4" t="str">
        <f t="shared" si="20"/>
        <v/>
      </c>
      <c r="BG106" s="4" t="str">
        <f t="shared" si="20"/>
        <v/>
      </c>
      <c r="BH106" s="4" t="str">
        <f t="shared" si="20"/>
        <v/>
      </c>
      <c r="BI106" s="5" t="str">
        <f t="shared" si="20"/>
        <v/>
      </c>
    </row>
    <row r="107" spans="1:61" x14ac:dyDescent="0.25">
      <c r="A107">
        <v>296263</v>
      </c>
      <c r="B107" t="s">
        <v>14</v>
      </c>
      <c r="C107" t="s">
        <v>16</v>
      </c>
      <c r="D107">
        <v>13668</v>
      </c>
      <c r="E107">
        <v>141</v>
      </c>
      <c r="F107">
        <v>90</v>
      </c>
      <c r="G107">
        <v>20123</v>
      </c>
      <c r="H107" t="s">
        <v>0</v>
      </c>
      <c r="I107">
        <v>75097</v>
      </c>
      <c r="J107">
        <v>2343</v>
      </c>
      <c r="K107">
        <v>90515.27</v>
      </c>
      <c r="L107">
        <v>88622.06</v>
      </c>
      <c r="M107">
        <v>1893.21</v>
      </c>
      <c r="N107" s="3" t="str">
        <f t="shared" si="24"/>
        <v/>
      </c>
      <c r="O107" s="4" t="str">
        <f t="shared" si="24"/>
        <v/>
      </c>
      <c r="P107" s="4" t="str">
        <f t="shared" si="24"/>
        <v/>
      </c>
      <c r="Q107" s="4" t="str">
        <f t="shared" si="24"/>
        <v/>
      </c>
      <c r="R107" s="4" t="str">
        <f t="shared" si="24"/>
        <v/>
      </c>
      <c r="S107" s="4" t="str">
        <f t="shared" si="24"/>
        <v/>
      </c>
      <c r="T107" s="4" t="str">
        <f t="shared" si="24"/>
        <v/>
      </c>
      <c r="U107" s="4" t="str">
        <f t="shared" si="24"/>
        <v/>
      </c>
      <c r="V107" s="4" t="str">
        <f t="shared" si="21"/>
        <v/>
      </c>
      <c r="W107" s="4" t="str">
        <f t="shared" si="18"/>
        <v/>
      </c>
      <c r="X107" s="4" t="str">
        <f t="shared" si="18"/>
        <v/>
      </c>
      <c r="Y107" s="4" t="str">
        <f t="shared" si="18"/>
        <v/>
      </c>
      <c r="Z107" s="4" t="str">
        <f t="shared" si="18"/>
        <v/>
      </c>
      <c r="AA107" s="4" t="str">
        <f t="shared" si="18"/>
        <v/>
      </c>
      <c r="AB107" s="4" t="str">
        <f t="shared" si="18"/>
        <v/>
      </c>
      <c r="AC107" s="5" t="str">
        <f t="shared" si="18"/>
        <v/>
      </c>
      <c r="AD107" s="3" t="str">
        <f t="shared" si="25"/>
        <v/>
      </c>
      <c r="AE107" s="4" t="str">
        <f t="shared" si="25"/>
        <v/>
      </c>
      <c r="AF107" s="4">
        <f t="shared" si="25"/>
        <v>1</v>
      </c>
      <c r="AG107" s="4" t="str">
        <f t="shared" si="25"/>
        <v/>
      </c>
      <c r="AH107" s="4" t="str">
        <f t="shared" si="25"/>
        <v/>
      </c>
      <c r="AI107" s="4" t="str">
        <f t="shared" si="25"/>
        <v/>
      </c>
      <c r="AJ107" s="4" t="str">
        <f t="shared" si="25"/>
        <v/>
      </c>
      <c r="AK107" s="4" t="str">
        <f t="shared" si="25"/>
        <v/>
      </c>
      <c r="AL107" s="4" t="str">
        <f t="shared" si="22"/>
        <v/>
      </c>
      <c r="AM107" s="4" t="str">
        <f t="shared" si="19"/>
        <v/>
      </c>
      <c r="AN107" s="4" t="str">
        <f t="shared" si="19"/>
        <v/>
      </c>
      <c r="AO107" s="4" t="str">
        <f t="shared" si="19"/>
        <v/>
      </c>
      <c r="AP107" s="4" t="str">
        <f t="shared" si="19"/>
        <v/>
      </c>
      <c r="AQ107" s="4" t="str">
        <f t="shared" si="19"/>
        <v/>
      </c>
      <c r="AR107" s="4" t="str">
        <f t="shared" si="19"/>
        <v/>
      </c>
      <c r="AS107" s="5" t="str">
        <f t="shared" si="19"/>
        <v/>
      </c>
      <c r="AT107" s="3" t="str">
        <f t="shared" si="26"/>
        <v/>
      </c>
      <c r="AU107" s="4" t="str">
        <f t="shared" si="26"/>
        <v/>
      </c>
      <c r="AV107" s="4" t="str">
        <f t="shared" si="26"/>
        <v/>
      </c>
      <c r="AW107" s="4" t="str">
        <f t="shared" si="26"/>
        <v/>
      </c>
      <c r="AX107" s="4" t="str">
        <f t="shared" si="26"/>
        <v/>
      </c>
      <c r="AY107" s="4" t="str">
        <f t="shared" si="26"/>
        <v/>
      </c>
      <c r="AZ107" s="4" t="str">
        <f t="shared" si="26"/>
        <v/>
      </c>
      <c r="BA107" s="4" t="str">
        <f t="shared" si="26"/>
        <v/>
      </c>
      <c r="BB107" s="4" t="str">
        <f t="shared" si="23"/>
        <v/>
      </c>
      <c r="BC107" s="4" t="str">
        <f t="shared" si="20"/>
        <v/>
      </c>
      <c r="BD107" s="4" t="str">
        <f t="shared" si="20"/>
        <v/>
      </c>
      <c r="BE107" s="4" t="str">
        <f t="shared" si="20"/>
        <v/>
      </c>
      <c r="BF107" s="4" t="str">
        <f t="shared" si="20"/>
        <v/>
      </c>
      <c r="BG107" s="4" t="str">
        <f t="shared" si="20"/>
        <v/>
      </c>
      <c r="BH107" s="4" t="str">
        <f t="shared" si="20"/>
        <v/>
      </c>
      <c r="BI107" s="5" t="str">
        <f t="shared" si="20"/>
        <v/>
      </c>
    </row>
    <row r="108" spans="1:61" x14ac:dyDescent="0.25">
      <c r="A108">
        <v>296264</v>
      </c>
      <c r="B108" t="s">
        <v>14</v>
      </c>
      <c r="C108" t="s">
        <v>16</v>
      </c>
      <c r="D108">
        <v>13668</v>
      </c>
      <c r="E108">
        <v>141</v>
      </c>
      <c r="F108">
        <v>90</v>
      </c>
      <c r="G108">
        <v>20124</v>
      </c>
      <c r="H108" t="s">
        <v>0</v>
      </c>
      <c r="I108">
        <v>98858</v>
      </c>
      <c r="J108">
        <v>3140</v>
      </c>
      <c r="K108">
        <v>56699.91</v>
      </c>
      <c r="L108">
        <v>54792.11</v>
      </c>
      <c r="M108">
        <v>1907.8</v>
      </c>
      <c r="N108" s="3" t="str">
        <f t="shared" si="24"/>
        <v/>
      </c>
      <c r="O108" s="4" t="str">
        <f t="shared" si="24"/>
        <v/>
      </c>
      <c r="P108" s="4" t="str">
        <f t="shared" si="24"/>
        <v/>
      </c>
      <c r="Q108" s="4" t="str">
        <f t="shared" si="24"/>
        <v/>
      </c>
      <c r="R108" s="4" t="str">
        <f t="shared" si="24"/>
        <v/>
      </c>
      <c r="S108" s="4" t="str">
        <f t="shared" si="24"/>
        <v/>
      </c>
      <c r="T108" s="4" t="str">
        <f t="shared" si="24"/>
        <v/>
      </c>
      <c r="U108" s="4" t="str">
        <f t="shared" si="24"/>
        <v/>
      </c>
      <c r="V108" s="4" t="str">
        <f t="shared" si="21"/>
        <v/>
      </c>
      <c r="W108" s="4" t="str">
        <f t="shared" si="18"/>
        <v/>
      </c>
      <c r="X108" s="4" t="str">
        <f t="shared" si="18"/>
        <v/>
      </c>
      <c r="Y108" s="4" t="str">
        <f t="shared" si="18"/>
        <v/>
      </c>
      <c r="Z108" s="4" t="str">
        <f t="shared" si="18"/>
        <v/>
      </c>
      <c r="AA108" s="4" t="str">
        <f t="shared" si="18"/>
        <v/>
      </c>
      <c r="AB108" s="4" t="str">
        <f t="shared" si="18"/>
        <v/>
      </c>
      <c r="AC108" s="5" t="str">
        <f t="shared" si="18"/>
        <v/>
      </c>
      <c r="AD108" s="3" t="str">
        <f t="shared" si="25"/>
        <v/>
      </c>
      <c r="AE108" s="4" t="str">
        <f t="shared" si="25"/>
        <v/>
      </c>
      <c r="AF108" s="4" t="str">
        <f t="shared" si="25"/>
        <v/>
      </c>
      <c r="AG108" s="4">
        <f t="shared" si="25"/>
        <v>1</v>
      </c>
      <c r="AH108" s="4" t="str">
        <f t="shared" si="25"/>
        <v/>
      </c>
      <c r="AI108" s="4" t="str">
        <f t="shared" si="25"/>
        <v/>
      </c>
      <c r="AJ108" s="4" t="str">
        <f t="shared" si="25"/>
        <v/>
      </c>
      <c r="AK108" s="4" t="str">
        <f t="shared" si="25"/>
        <v/>
      </c>
      <c r="AL108" s="4" t="str">
        <f t="shared" si="22"/>
        <v/>
      </c>
      <c r="AM108" s="4" t="str">
        <f t="shared" si="19"/>
        <v/>
      </c>
      <c r="AN108" s="4" t="str">
        <f t="shared" si="19"/>
        <v/>
      </c>
      <c r="AO108" s="4" t="str">
        <f t="shared" si="19"/>
        <v/>
      </c>
      <c r="AP108" s="4" t="str">
        <f t="shared" si="19"/>
        <v/>
      </c>
      <c r="AQ108" s="4" t="str">
        <f t="shared" si="19"/>
        <v/>
      </c>
      <c r="AR108" s="4" t="str">
        <f t="shared" si="19"/>
        <v/>
      </c>
      <c r="AS108" s="5" t="str">
        <f t="shared" si="19"/>
        <v/>
      </c>
      <c r="AT108" s="3" t="str">
        <f t="shared" si="26"/>
        <v/>
      </c>
      <c r="AU108" s="4" t="str">
        <f t="shared" si="26"/>
        <v/>
      </c>
      <c r="AV108" s="4" t="str">
        <f t="shared" si="26"/>
        <v/>
      </c>
      <c r="AW108" s="4" t="str">
        <f t="shared" si="26"/>
        <v/>
      </c>
      <c r="AX108" s="4" t="str">
        <f t="shared" si="26"/>
        <v/>
      </c>
      <c r="AY108" s="4" t="str">
        <f t="shared" si="26"/>
        <v/>
      </c>
      <c r="AZ108" s="4" t="str">
        <f t="shared" si="26"/>
        <v/>
      </c>
      <c r="BA108" s="4" t="str">
        <f t="shared" si="26"/>
        <v/>
      </c>
      <c r="BB108" s="4" t="str">
        <f t="shared" si="23"/>
        <v/>
      </c>
      <c r="BC108" s="4" t="str">
        <f t="shared" si="20"/>
        <v/>
      </c>
      <c r="BD108" s="4" t="str">
        <f t="shared" si="20"/>
        <v/>
      </c>
      <c r="BE108" s="4" t="str">
        <f t="shared" si="20"/>
        <v/>
      </c>
      <c r="BF108" s="4" t="str">
        <f t="shared" si="20"/>
        <v/>
      </c>
      <c r="BG108" s="4" t="str">
        <f t="shared" si="20"/>
        <v/>
      </c>
      <c r="BH108" s="4" t="str">
        <f t="shared" si="20"/>
        <v/>
      </c>
      <c r="BI108" s="5" t="str">
        <f t="shared" si="20"/>
        <v/>
      </c>
    </row>
    <row r="109" spans="1:61" x14ac:dyDescent="0.25">
      <c r="A109">
        <v>420749</v>
      </c>
      <c r="B109" t="s">
        <v>15</v>
      </c>
      <c r="C109" t="s">
        <v>16</v>
      </c>
      <c r="D109">
        <v>13668</v>
      </c>
      <c r="E109">
        <v>141</v>
      </c>
      <c r="F109">
        <v>5</v>
      </c>
      <c r="G109">
        <v>20122</v>
      </c>
      <c r="H109" t="s">
        <v>0</v>
      </c>
      <c r="I109">
        <v>12738</v>
      </c>
      <c r="J109">
        <v>428</v>
      </c>
      <c r="K109">
        <v>29504.75</v>
      </c>
      <c r="L109">
        <v>29291.65</v>
      </c>
      <c r="M109">
        <v>213.1</v>
      </c>
      <c r="N109" s="3" t="str">
        <f t="shared" si="24"/>
        <v/>
      </c>
      <c r="O109" s="4" t="str">
        <f t="shared" si="24"/>
        <v/>
      </c>
      <c r="P109" s="4" t="str">
        <f t="shared" si="24"/>
        <v/>
      </c>
      <c r="Q109" s="4" t="str">
        <f t="shared" si="24"/>
        <v/>
      </c>
      <c r="R109" s="4" t="str">
        <f t="shared" si="24"/>
        <v/>
      </c>
      <c r="S109" s="4" t="str">
        <f t="shared" si="24"/>
        <v/>
      </c>
      <c r="T109" s="4" t="str">
        <f t="shared" si="24"/>
        <v/>
      </c>
      <c r="U109" s="4" t="str">
        <f t="shared" si="24"/>
        <v/>
      </c>
      <c r="V109" s="4" t="str">
        <f t="shared" si="21"/>
        <v/>
      </c>
      <c r="W109" s="4" t="str">
        <f t="shared" si="18"/>
        <v/>
      </c>
      <c r="X109" s="4" t="str">
        <f t="shared" si="18"/>
        <v/>
      </c>
      <c r="Y109" s="4" t="str">
        <f t="shared" si="18"/>
        <v/>
      </c>
      <c r="Z109" s="4" t="str">
        <f t="shared" si="18"/>
        <v/>
      </c>
      <c r="AA109" s="4" t="str">
        <f t="shared" si="18"/>
        <v/>
      </c>
      <c r="AB109" s="4" t="str">
        <f t="shared" si="18"/>
        <v/>
      </c>
      <c r="AC109" s="5" t="str">
        <f t="shared" si="18"/>
        <v/>
      </c>
      <c r="AD109" s="3" t="str">
        <f t="shared" si="25"/>
        <v/>
      </c>
      <c r="AE109" s="4" t="str">
        <f t="shared" si="25"/>
        <v/>
      </c>
      <c r="AF109" s="4" t="str">
        <f t="shared" si="25"/>
        <v/>
      </c>
      <c r="AG109" s="4" t="str">
        <f t="shared" si="25"/>
        <v/>
      </c>
      <c r="AH109" s="4" t="str">
        <f t="shared" si="25"/>
        <v/>
      </c>
      <c r="AI109" s="4">
        <f t="shared" si="25"/>
        <v>1</v>
      </c>
      <c r="AJ109" s="4" t="str">
        <f t="shared" si="25"/>
        <v/>
      </c>
      <c r="AK109" s="4" t="str">
        <f t="shared" si="25"/>
        <v/>
      </c>
      <c r="AL109" s="4" t="str">
        <f t="shared" si="22"/>
        <v/>
      </c>
      <c r="AM109" s="4" t="str">
        <f t="shared" si="19"/>
        <v/>
      </c>
      <c r="AN109" s="4" t="str">
        <f t="shared" si="19"/>
        <v/>
      </c>
      <c r="AO109" s="4" t="str">
        <f t="shared" si="19"/>
        <v/>
      </c>
      <c r="AP109" s="4" t="str">
        <f t="shared" si="19"/>
        <v/>
      </c>
      <c r="AQ109" s="4" t="str">
        <f t="shared" si="19"/>
        <v/>
      </c>
      <c r="AR109" s="4" t="str">
        <f t="shared" si="19"/>
        <v/>
      </c>
      <c r="AS109" s="5" t="str">
        <f t="shared" si="19"/>
        <v/>
      </c>
      <c r="AT109" s="3" t="str">
        <f t="shared" si="26"/>
        <v/>
      </c>
      <c r="AU109" s="4" t="str">
        <f t="shared" si="26"/>
        <v/>
      </c>
      <c r="AV109" s="4" t="str">
        <f t="shared" si="26"/>
        <v/>
      </c>
      <c r="AW109" s="4" t="str">
        <f t="shared" si="26"/>
        <v/>
      </c>
      <c r="AX109" s="4" t="str">
        <f t="shared" si="26"/>
        <v/>
      </c>
      <c r="AY109" s="4" t="str">
        <f t="shared" si="26"/>
        <v/>
      </c>
      <c r="AZ109" s="4" t="str">
        <f t="shared" si="26"/>
        <v/>
      </c>
      <c r="BA109" s="4" t="str">
        <f t="shared" si="26"/>
        <v/>
      </c>
      <c r="BB109" s="4" t="str">
        <f t="shared" si="23"/>
        <v/>
      </c>
      <c r="BC109" s="4" t="str">
        <f t="shared" si="20"/>
        <v/>
      </c>
      <c r="BD109" s="4" t="str">
        <f t="shared" si="20"/>
        <v/>
      </c>
      <c r="BE109" s="4" t="str">
        <f t="shared" si="20"/>
        <v/>
      </c>
      <c r="BF109" s="4" t="str">
        <f t="shared" si="20"/>
        <v/>
      </c>
      <c r="BG109" s="4" t="str">
        <f t="shared" si="20"/>
        <v/>
      </c>
      <c r="BH109" s="4" t="str">
        <f t="shared" si="20"/>
        <v/>
      </c>
      <c r="BI109" s="5" t="str">
        <f t="shared" si="20"/>
        <v/>
      </c>
    </row>
    <row r="110" spans="1:61" x14ac:dyDescent="0.25">
      <c r="A110">
        <v>420750</v>
      </c>
      <c r="B110" t="s">
        <v>15</v>
      </c>
      <c r="C110" t="s">
        <v>16</v>
      </c>
      <c r="D110">
        <v>13668</v>
      </c>
      <c r="E110">
        <v>141</v>
      </c>
      <c r="F110">
        <v>5</v>
      </c>
      <c r="G110">
        <v>20123</v>
      </c>
      <c r="H110" t="s">
        <v>0</v>
      </c>
      <c r="I110">
        <v>74648</v>
      </c>
      <c r="J110">
        <v>2502</v>
      </c>
      <c r="K110">
        <v>144319.78</v>
      </c>
      <c r="L110">
        <v>143845.19</v>
      </c>
      <c r="M110">
        <v>474.59</v>
      </c>
      <c r="N110" s="3" t="str">
        <f t="shared" si="24"/>
        <v/>
      </c>
      <c r="O110" s="4" t="str">
        <f t="shared" si="24"/>
        <v/>
      </c>
      <c r="P110" s="4" t="str">
        <f t="shared" si="24"/>
        <v/>
      </c>
      <c r="Q110" s="4" t="str">
        <f t="shared" si="24"/>
        <v/>
      </c>
      <c r="R110" s="4" t="str">
        <f t="shared" si="24"/>
        <v/>
      </c>
      <c r="S110" s="4" t="str">
        <f t="shared" si="24"/>
        <v/>
      </c>
      <c r="T110" s="4" t="str">
        <f t="shared" si="24"/>
        <v/>
      </c>
      <c r="U110" s="4" t="str">
        <f t="shared" si="24"/>
        <v/>
      </c>
      <c r="V110" s="4" t="str">
        <f t="shared" si="21"/>
        <v/>
      </c>
      <c r="W110" s="4" t="str">
        <f t="shared" si="18"/>
        <v/>
      </c>
      <c r="X110" s="4" t="str">
        <f t="shared" si="18"/>
        <v/>
      </c>
      <c r="Y110" s="4" t="str">
        <f t="shared" si="18"/>
        <v/>
      </c>
      <c r="Z110" s="4" t="str">
        <f t="shared" si="18"/>
        <v/>
      </c>
      <c r="AA110" s="4" t="str">
        <f t="shared" si="18"/>
        <v/>
      </c>
      <c r="AB110" s="4" t="str">
        <f t="shared" si="18"/>
        <v/>
      </c>
      <c r="AC110" s="5" t="str">
        <f t="shared" si="18"/>
        <v/>
      </c>
      <c r="AD110" s="3" t="str">
        <f t="shared" si="25"/>
        <v/>
      </c>
      <c r="AE110" s="4" t="str">
        <f t="shared" si="25"/>
        <v/>
      </c>
      <c r="AF110" s="4" t="str">
        <f t="shared" si="25"/>
        <v/>
      </c>
      <c r="AG110" s="4" t="str">
        <f t="shared" si="25"/>
        <v/>
      </c>
      <c r="AH110" s="4" t="str">
        <f t="shared" si="25"/>
        <v/>
      </c>
      <c r="AI110" s="4" t="str">
        <f t="shared" si="25"/>
        <v/>
      </c>
      <c r="AJ110" s="4">
        <f t="shared" si="25"/>
        <v>1</v>
      </c>
      <c r="AK110" s="4" t="str">
        <f t="shared" si="25"/>
        <v/>
      </c>
      <c r="AL110" s="4" t="str">
        <f t="shared" si="22"/>
        <v/>
      </c>
      <c r="AM110" s="4" t="str">
        <f t="shared" si="19"/>
        <v/>
      </c>
      <c r="AN110" s="4" t="str">
        <f t="shared" si="19"/>
        <v/>
      </c>
      <c r="AO110" s="4" t="str">
        <f t="shared" si="19"/>
        <v/>
      </c>
      <c r="AP110" s="4" t="str">
        <f t="shared" si="19"/>
        <v/>
      </c>
      <c r="AQ110" s="4" t="str">
        <f t="shared" si="19"/>
        <v/>
      </c>
      <c r="AR110" s="4" t="str">
        <f t="shared" si="19"/>
        <v/>
      </c>
      <c r="AS110" s="5" t="str">
        <f t="shared" si="19"/>
        <v/>
      </c>
      <c r="AT110" s="3" t="str">
        <f t="shared" si="26"/>
        <v/>
      </c>
      <c r="AU110" s="4" t="str">
        <f t="shared" si="26"/>
        <v/>
      </c>
      <c r="AV110" s="4" t="str">
        <f t="shared" si="26"/>
        <v/>
      </c>
      <c r="AW110" s="4" t="str">
        <f t="shared" si="26"/>
        <v/>
      </c>
      <c r="AX110" s="4" t="str">
        <f t="shared" si="26"/>
        <v/>
      </c>
      <c r="AY110" s="4" t="str">
        <f t="shared" si="26"/>
        <v/>
      </c>
      <c r="AZ110" s="4" t="str">
        <f t="shared" si="26"/>
        <v/>
      </c>
      <c r="BA110" s="4" t="str">
        <f t="shared" si="26"/>
        <v/>
      </c>
      <c r="BB110" s="4" t="str">
        <f t="shared" si="23"/>
        <v/>
      </c>
      <c r="BC110" s="4" t="str">
        <f t="shared" si="20"/>
        <v/>
      </c>
      <c r="BD110" s="4" t="str">
        <f t="shared" si="20"/>
        <v/>
      </c>
      <c r="BE110" s="4" t="str">
        <f t="shared" si="20"/>
        <v/>
      </c>
      <c r="BF110" s="4" t="str">
        <f t="shared" si="20"/>
        <v/>
      </c>
      <c r="BG110" s="4" t="str">
        <f t="shared" si="20"/>
        <v/>
      </c>
      <c r="BH110" s="4" t="str">
        <f t="shared" si="20"/>
        <v/>
      </c>
      <c r="BI110" s="5" t="str">
        <f t="shared" si="20"/>
        <v/>
      </c>
    </row>
    <row r="111" spans="1:61" x14ac:dyDescent="0.25">
      <c r="A111">
        <v>420751</v>
      </c>
      <c r="B111" t="s">
        <v>15</v>
      </c>
      <c r="C111" t="s">
        <v>16</v>
      </c>
      <c r="D111">
        <v>13668</v>
      </c>
      <c r="E111">
        <v>141</v>
      </c>
      <c r="F111">
        <v>5</v>
      </c>
      <c r="G111">
        <v>20124</v>
      </c>
      <c r="H111" t="s">
        <v>0</v>
      </c>
      <c r="I111">
        <v>44317</v>
      </c>
      <c r="J111">
        <v>1480</v>
      </c>
      <c r="K111">
        <v>71283.240000000005</v>
      </c>
      <c r="L111">
        <v>71078.740000000005</v>
      </c>
      <c r="M111">
        <v>204.5</v>
      </c>
      <c r="N111" s="3" t="str">
        <f t="shared" si="24"/>
        <v/>
      </c>
      <c r="O111" s="4" t="str">
        <f t="shared" si="24"/>
        <v/>
      </c>
      <c r="P111" s="4" t="str">
        <f t="shared" si="24"/>
        <v/>
      </c>
      <c r="Q111" s="4" t="str">
        <f t="shared" si="24"/>
        <v/>
      </c>
      <c r="R111" s="4" t="str">
        <f t="shared" si="24"/>
        <v/>
      </c>
      <c r="S111" s="4" t="str">
        <f t="shared" si="24"/>
        <v/>
      </c>
      <c r="T111" s="4" t="str">
        <f t="shared" si="24"/>
        <v/>
      </c>
      <c r="U111" s="4" t="str">
        <f t="shared" si="24"/>
        <v/>
      </c>
      <c r="V111" s="4" t="str">
        <f t="shared" si="21"/>
        <v/>
      </c>
      <c r="W111" s="4" t="str">
        <f t="shared" si="18"/>
        <v/>
      </c>
      <c r="X111" s="4" t="str">
        <f t="shared" si="18"/>
        <v/>
      </c>
      <c r="Y111" s="4" t="str">
        <f t="shared" si="18"/>
        <v/>
      </c>
      <c r="Z111" s="4" t="str">
        <f t="shared" si="18"/>
        <v/>
      </c>
      <c r="AA111" s="4" t="str">
        <f t="shared" si="18"/>
        <v/>
      </c>
      <c r="AB111" s="4" t="str">
        <f t="shared" si="18"/>
        <v/>
      </c>
      <c r="AC111" s="5" t="str">
        <f t="shared" si="18"/>
        <v/>
      </c>
      <c r="AD111" s="3" t="str">
        <f t="shared" si="25"/>
        <v/>
      </c>
      <c r="AE111" s="4" t="str">
        <f t="shared" si="25"/>
        <v/>
      </c>
      <c r="AF111" s="4" t="str">
        <f t="shared" si="25"/>
        <v/>
      </c>
      <c r="AG111" s="4" t="str">
        <f t="shared" si="25"/>
        <v/>
      </c>
      <c r="AH111" s="4" t="str">
        <f t="shared" si="25"/>
        <v/>
      </c>
      <c r="AI111" s="4" t="str">
        <f t="shared" si="25"/>
        <v/>
      </c>
      <c r="AJ111" s="4" t="str">
        <f t="shared" si="25"/>
        <v/>
      </c>
      <c r="AK111" s="4">
        <f t="shared" si="25"/>
        <v>1</v>
      </c>
      <c r="AL111" s="4" t="str">
        <f t="shared" si="22"/>
        <v/>
      </c>
      <c r="AM111" s="4" t="str">
        <f t="shared" si="19"/>
        <v/>
      </c>
      <c r="AN111" s="4" t="str">
        <f t="shared" si="19"/>
        <v/>
      </c>
      <c r="AO111" s="4" t="str">
        <f t="shared" si="19"/>
        <v/>
      </c>
      <c r="AP111" s="4" t="str">
        <f t="shared" si="19"/>
        <v/>
      </c>
      <c r="AQ111" s="4" t="str">
        <f t="shared" si="19"/>
        <v/>
      </c>
      <c r="AR111" s="4" t="str">
        <f t="shared" si="19"/>
        <v/>
      </c>
      <c r="AS111" s="5" t="str">
        <f t="shared" si="19"/>
        <v/>
      </c>
      <c r="AT111" s="3" t="str">
        <f t="shared" si="26"/>
        <v/>
      </c>
      <c r="AU111" s="4" t="str">
        <f t="shared" si="26"/>
        <v/>
      </c>
      <c r="AV111" s="4" t="str">
        <f t="shared" si="26"/>
        <v/>
      </c>
      <c r="AW111" s="4" t="str">
        <f t="shared" si="26"/>
        <v/>
      </c>
      <c r="AX111" s="4" t="str">
        <f t="shared" si="26"/>
        <v/>
      </c>
      <c r="AY111" s="4" t="str">
        <f t="shared" si="26"/>
        <v/>
      </c>
      <c r="AZ111" s="4" t="str">
        <f t="shared" si="26"/>
        <v/>
      </c>
      <c r="BA111" s="4" t="str">
        <f t="shared" si="26"/>
        <v/>
      </c>
      <c r="BB111" s="4" t="str">
        <f t="shared" si="23"/>
        <v/>
      </c>
      <c r="BC111" s="4" t="str">
        <f t="shared" si="20"/>
        <v/>
      </c>
      <c r="BD111" s="4" t="str">
        <f t="shared" si="20"/>
        <v/>
      </c>
      <c r="BE111" s="4" t="str">
        <f t="shared" si="20"/>
        <v/>
      </c>
      <c r="BF111" s="4" t="str">
        <f t="shared" si="20"/>
        <v/>
      </c>
      <c r="BG111" s="4" t="str">
        <f t="shared" si="20"/>
        <v/>
      </c>
      <c r="BH111" s="4" t="str">
        <f t="shared" si="20"/>
        <v/>
      </c>
      <c r="BI111" s="5" t="str">
        <f t="shared" si="20"/>
        <v/>
      </c>
    </row>
    <row r="112" spans="1:61" x14ac:dyDescent="0.25">
      <c r="A112">
        <v>420752</v>
      </c>
      <c r="B112" t="s">
        <v>15</v>
      </c>
      <c r="C112" t="s">
        <v>16</v>
      </c>
      <c r="D112">
        <v>13668</v>
      </c>
      <c r="E112">
        <v>141</v>
      </c>
      <c r="F112">
        <v>30</v>
      </c>
      <c r="G112">
        <v>20122</v>
      </c>
      <c r="H112" t="s">
        <v>0</v>
      </c>
      <c r="I112">
        <v>5539</v>
      </c>
      <c r="J112">
        <v>186</v>
      </c>
      <c r="K112">
        <v>16060.32</v>
      </c>
      <c r="L112">
        <v>15943.32</v>
      </c>
      <c r="M112">
        <v>117</v>
      </c>
      <c r="N112" s="3" t="str">
        <f t="shared" si="24"/>
        <v/>
      </c>
      <c r="O112" s="4" t="str">
        <f t="shared" si="24"/>
        <v/>
      </c>
      <c r="P112" s="4" t="str">
        <f t="shared" si="24"/>
        <v/>
      </c>
      <c r="Q112" s="4" t="str">
        <f t="shared" si="24"/>
        <v/>
      </c>
      <c r="R112" s="4" t="str">
        <f t="shared" si="24"/>
        <v/>
      </c>
      <c r="S112" s="4" t="str">
        <f t="shared" si="24"/>
        <v/>
      </c>
      <c r="T112" s="4" t="str">
        <f t="shared" si="24"/>
        <v/>
      </c>
      <c r="U112" s="4" t="str">
        <f t="shared" si="24"/>
        <v/>
      </c>
      <c r="V112" s="4" t="str">
        <f t="shared" si="21"/>
        <v/>
      </c>
      <c r="W112" s="4" t="str">
        <f t="shared" si="18"/>
        <v/>
      </c>
      <c r="X112" s="4" t="str">
        <f t="shared" si="18"/>
        <v/>
      </c>
      <c r="Y112" s="4" t="str">
        <f t="shared" si="18"/>
        <v/>
      </c>
      <c r="Z112" s="4" t="str">
        <f t="shared" si="18"/>
        <v/>
      </c>
      <c r="AA112" s="4" t="str">
        <f t="shared" si="18"/>
        <v/>
      </c>
      <c r="AB112" s="4" t="str">
        <f t="shared" si="18"/>
        <v/>
      </c>
      <c r="AC112" s="5" t="str">
        <f t="shared" si="18"/>
        <v/>
      </c>
      <c r="AD112" s="3" t="str">
        <f t="shared" si="25"/>
        <v/>
      </c>
      <c r="AE112" s="4" t="str">
        <f t="shared" si="25"/>
        <v/>
      </c>
      <c r="AF112" s="4" t="str">
        <f t="shared" si="25"/>
        <v/>
      </c>
      <c r="AG112" s="4" t="str">
        <f t="shared" si="25"/>
        <v/>
      </c>
      <c r="AH112" s="4" t="str">
        <f t="shared" si="25"/>
        <v/>
      </c>
      <c r="AI112" s="4">
        <f t="shared" si="25"/>
        <v>1</v>
      </c>
      <c r="AJ112" s="4" t="str">
        <f t="shared" si="25"/>
        <v/>
      </c>
      <c r="AK112" s="4" t="str">
        <f t="shared" si="25"/>
        <v/>
      </c>
      <c r="AL112" s="4" t="str">
        <f t="shared" si="22"/>
        <v/>
      </c>
      <c r="AM112" s="4" t="str">
        <f t="shared" si="19"/>
        <v/>
      </c>
      <c r="AN112" s="4" t="str">
        <f t="shared" si="19"/>
        <v/>
      </c>
      <c r="AO112" s="4" t="str">
        <f t="shared" si="19"/>
        <v/>
      </c>
      <c r="AP112" s="4" t="str">
        <f t="shared" si="19"/>
        <v/>
      </c>
      <c r="AQ112" s="4" t="str">
        <f t="shared" si="19"/>
        <v/>
      </c>
      <c r="AR112" s="4" t="str">
        <f t="shared" si="19"/>
        <v/>
      </c>
      <c r="AS112" s="5" t="str">
        <f t="shared" si="19"/>
        <v/>
      </c>
      <c r="AT112" s="3" t="str">
        <f t="shared" si="26"/>
        <v/>
      </c>
      <c r="AU112" s="4" t="str">
        <f t="shared" si="26"/>
        <v/>
      </c>
      <c r="AV112" s="4" t="str">
        <f t="shared" si="26"/>
        <v/>
      </c>
      <c r="AW112" s="4" t="str">
        <f t="shared" si="26"/>
        <v/>
      </c>
      <c r="AX112" s="4" t="str">
        <f t="shared" si="26"/>
        <v/>
      </c>
      <c r="AY112" s="4" t="str">
        <f t="shared" si="26"/>
        <v/>
      </c>
      <c r="AZ112" s="4" t="str">
        <f t="shared" si="26"/>
        <v/>
      </c>
      <c r="BA112" s="4" t="str">
        <f t="shared" si="26"/>
        <v/>
      </c>
      <c r="BB112" s="4" t="str">
        <f t="shared" si="23"/>
        <v/>
      </c>
      <c r="BC112" s="4" t="str">
        <f t="shared" si="20"/>
        <v/>
      </c>
      <c r="BD112" s="4" t="str">
        <f t="shared" si="20"/>
        <v/>
      </c>
      <c r="BE112" s="4" t="str">
        <f t="shared" si="20"/>
        <v/>
      </c>
      <c r="BF112" s="4" t="str">
        <f t="shared" si="20"/>
        <v/>
      </c>
      <c r="BG112" s="4" t="str">
        <f t="shared" si="20"/>
        <v/>
      </c>
      <c r="BH112" s="4" t="str">
        <f t="shared" si="20"/>
        <v/>
      </c>
      <c r="BI112" s="5" t="str">
        <f t="shared" si="20"/>
        <v/>
      </c>
    </row>
    <row r="113" spans="1:61" x14ac:dyDescent="0.25">
      <c r="A113">
        <v>420753</v>
      </c>
      <c r="B113" t="s">
        <v>15</v>
      </c>
      <c r="C113" t="s">
        <v>16</v>
      </c>
      <c r="D113">
        <v>13668</v>
      </c>
      <c r="E113">
        <v>141</v>
      </c>
      <c r="F113">
        <v>30</v>
      </c>
      <c r="G113">
        <v>20123</v>
      </c>
      <c r="H113" t="s">
        <v>0</v>
      </c>
      <c r="I113">
        <v>38467</v>
      </c>
      <c r="J113">
        <v>1291</v>
      </c>
      <c r="K113">
        <v>94341.63</v>
      </c>
      <c r="L113">
        <v>94175.89</v>
      </c>
      <c r="M113">
        <v>165.74</v>
      </c>
      <c r="N113" s="3" t="str">
        <f t="shared" si="24"/>
        <v/>
      </c>
      <c r="O113" s="4" t="str">
        <f t="shared" si="24"/>
        <v/>
      </c>
      <c r="P113" s="4" t="str">
        <f t="shared" si="24"/>
        <v/>
      </c>
      <c r="Q113" s="4" t="str">
        <f t="shared" si="24"/>
        <v/>
      </c>
      <c r="R113" s="4" t="str">
        <f t="shared" si="24"/>
        <v/>
      </c>
      <c r="S113" s="4" t="str">
        <f t="shared" si="24"/>
        <v/>
      </c>
      <c r="T113" s="4" t="str">
        <f t="shared" si="24"/>
        <v/>
      </c>
      <c r="U113" s="4" t="str">
        <f t="shared" si="24"/>
        <v/>
      </c>
      <c r="V113" s="4" t="str">
        <f t="shared" si="21"/>
        <v/>
      </c>
      <c r="W113" s="4" t="str">
        <f t="shared" si="18"/>
        <v/>
      </c>
      <c r="X113" s="4" t="str">
        <f t="shared" si="18"/>
        <v/>
      </c>
      <c r="Y113" s="4" t="str">
        <f t="shared" si="18"/>
        <v/>
      </c>
      <c r="Z113" s="4" t="str">
        <f t="shared" si="18"/>
        <v/>
      </c>
      <c r="AA113" s="4" t="str">
        <f t="shared" si="18"/>
        <v/>
      </c>
      <c r="AB113" s="4" t="str">
        <f t="shared" si="18"/>
        <v/>
      </c>
      <c r="AC113" s="5" t="str">
        <f t="shared" si="18"/>
        <v/>
      </c>
      <c r="AD113" s="3" t="str">
        <f t="shared" si="25"/>
        <v/>
      </c>
      <c r="AE113" s="4" t="str">
        <f t="shared" si="25"/>
        <v/>
      </c>
      <c r="AF113" s="4" t="str">
        <f t="shared" si="25"/>
        <v/>
      </c>
      <c r="AG113" s="4" t="str">
        <f t="shared" si="25"/>
        <v/>
      </c>
      <c r="AH113" s="4" t="str">
        <f t="shared" si="25"/>
        <v/>
      </c>
      <c r="AI113" s="4" t="str">
        <f t="shared" si="25"/>
        <v/>
      </c>
      <c r="AJ113" s="4">
        <f t="shared" si="25"/>
        <v>1</v>
      </c>
      <c r="AK113" s="4" t="str">
        <f t="shared" si="25"/>
        <v/>
      </c>
      <c r="AL113" s="4" t="str">
        <f t="shared" si="22"/>
        <v/>
      </c>
      <c r="AM113" s="4" t="str">
        <f t="shared" si="19"/>
        <v/>
      </c>
      <c r="AN113" s="4" t="str">
        <f t="shared" si="19"/>
        <v/>
      </c>
      <c r="AO113" s="4" t="str">
        <f t="shared" si="19"/>
        <v/>
      </c>
      <c r="AP113" s="4" t="str">
        <f t="shared" si="19"/>
        <v/>
      </c>
      <c r="AQ113" s="4" t="str">
        <f t="shared" si="19"/>
        <v/>
      </c>
      <c r="AR113" s="4" t="str">
        <f t="shared" si="19"/>
        <v/>
      </c>
      <c r="AS113" s="5" t="str">
        <f t="shared" si="19"/>
        <v/>
      </c>
      <c r="AT113" s="3" t="str">
        <f t="shared" si="26"/>
        <v/>
      </c>
      <c r="AU113" s="4" t="str">
        <f t="shared" si="26"/>
        <v/>
      </c>
      <c r="AV113" s="4" t="str">
        <f t="shared" si="26"/>
        <v/>
      </c>
      <c r="AW113" s="4" t="str">
        <f t="shared" si="26"/>
        <v/>
      </c>
      <c r="AX113" s="4" t="str">
        <f t="shared" si="26"/>
        <v/>
      </c>
      <c r="AY113" s="4" t="str">
        <f t="shared" si="26"/>
        <v/>
      </c>
      <c r="AZ113" s="4" t="str">
        <f t="shared" si="26"/>
        <v/>
      </c>
      <c r="BA113" s="4" t="str">
        <f t="shared" si="26"/>
        <v/>
      </c>
      <c r="BB113" s="4" t="str">
        <f t="shared" si="23"/>
        <v/>
      </c>
      <c r="BC113" s="4" t="str">
        <f t="shared" si="20"/>
        <v/>
      </c>
      <c r="BD113" s="4" t="str">
        <f t="shared" si="20"/>
        <v/>
      </c>
      <c r="BE113" s="4" t="str">
        <f t="shared" si="20"/>
        <v/>
      </c>
      <c r="BF113" s="4" t="str">
        <f t="shared" si="20"/>
        <v/>
      </c>
      <c r="BG113" s="4" t="str">
        <f t="shared" si="20"/>
        <v/>
      </c>
      <c r="BH113" s="4" t="str">
        <f t="shared" si="20"/>
        <v/>
      </c>
      <c r="BI113" s="5" t="str">
        <f t="shared" si="20"/>
        <v/>
      </c>
    </row>
    <row r="114" spans="1:61" x14ac:dyDescent="0.25">
      <c r="A114">
        <v>420754</v>
      </c>
      <c r="B114" t="s">
        <v>15</v>
      </c>
      <c r="C114" t="s">
        <v>16</v>
      </c>
      <c r="D114">
        <v>13668</v>
      </c>
      <c r="E114">
        <v>141</v>
      </c>
      <c r="F114">
        <v>30</v>
      </c>
      <c r="G114">
        <v>20124</v>
      </c>
      <c r="H114" t="s">
        <v>0</v>
      </c>
      <c r="I114">
        <v>37638</v>
      </c>
      <c r="J114">
        <v>1268</v>
      </c>
      <c r="K114">
        <v>74429.19</v>
      </c>
      <c r="L114">
        <v>74243.08</v>
      </c>
      <c r="M114">
        <v>186.11</v>
      </c>
      <c r="N114" s="3" t="str">
        <f t="shared" si="24"/>
        <v/>
      </c>
      <c r="O114" s="4" t="str">
        <f t="shared" si="24"/>
        <v/>
      </c>
      <c r="P114" s="4" t="str">
        <f t="shared" si="24"/>
        <v/>
      </c>
      <c r="Q114" s="4" t="str">
        <f t="shared" si="24"/>
        <v/>
      </c>
      <c r="R114" s="4" t="str">
        <f t="shared" si="24"/>
        <v/>
      </c>
      <c r="S114" s="4" t="str">
        <f t="shared" si="24"/>
        <v/>
      </c>
      <c r="T114" s="4" t="str">
        <f t="shared" si="24"/>
        <v/>
      </c>
      <c r="U114" s="4" t="str">
        <f t="shared" si="24"/>
        <v/>
      </c>
      <c r="V114" s="4" t="str">
        <f t="shared" si="21"/>
        <v/>
      </c>
      <c r="W114" s="4" t="str">
        <f t="shared" si="18"/>
        <v/>
      </c>
      <c r="X114" s="4" t="str">
        <f t="shared" si="18"/>
        <v/>
      </c>
      <c r="Y114" s="4" t="str">
        <f t="shared" si="18"/>
        <v/>
      </c>
      <c r="Z114" s="4" t="str">
        <f t="shared" si="18"/>
        <v/>
      </c>
      <c r="AA114" s="4" t="str">
        <f t="shared" si="18"/>
        <v/>
      </c>
      <c r="AB114" s="4" t="str">
        <f t="shared" si="18"/>
        <v/>
      </c>
      <c r="AC114" s="5" t="str">
        <f t="shared" si="18"/>
        <v/>
      </c>
      <c r="AD114" s="3" t="str">
        <f t="shared" si="25"/>
        <v/>
      </c>
      <c r="AE114" s="4" t="str">
        <f t="shared" si="25"/>
        <v/>
      </c>
      <c r="AF114" s="4" t="str">
        <f t="shared" si="25"/>
        <v/>
      </c>
      <c r="AG114" s="4" t="str">
        <f t="shared" si="25"/>
        <v/>
      </c>
      <c r="AH114" s="4" t="str">
        <f t="shared" si="25"/>
        <v/>
      </c>
      <c r="AI114" s="4" t="str">
        <f t="shared" si="25"/>
        <v/>
      </c>
      <c r="AJ114" s="4" t="str">
        <f t="shared" si="25"/>
        <v/>
      </c>
      <c r="AK114" s="4">
        <f t="shared" si="25"/>
        <v>1</v>
      </c>
      <c r="AL114" s="4" t="str">
        <f t="shared" si="22"/>
        <v/>
      </c>
      <c r="AM114" s="4" t="str">
        <f t="shared" si="19"/>
        <v/>
      </c>
      <c r="AN114" s="4" t="str">
        <f t="shared" si="19"/>
        <v/>
      </c>
      <c r="AO114" s="4" t="str">
        <f t="shared" si="19"/>
        <v/>
      </c>
      <c r="AP114" s="4" t="str">
        <f t="shared" si="19"/>
        <v/>
      </c>
      <c r="AQ114" s="4" t="str">
        <f t="shared" si="19"/>
        <v/>
      </c>
      <c r="AR114" s="4" t="str">
        <f t="shared" si="19"/>
        <v/>
      </c>
      <c r="AS114" s="5" t="str">
        <f t="shared" si="19"/>
        <v/>
      </c>
      <c r="AT114" s="3" t="str">
        <f t="shared" si="26"/>
        <v/>
      </c>
      <c r="AU114" s="4" t="str">
        <f t="shared" si="26"/>
        <v/>
      </c>
      <c r="AV114" s="4" t="str">
        <f t="shared" si="26"/>
        <v/>
      </c>
      <c r="AW114" s="4" t="str">
        <f t="shared" si="26"/>
        <v/>
      </c>
      <c r="AX114" s="4" t="str">
        <f t="shared" si="26"/>
        <v/>
      </c>
      <c r="AY114" s="4" t="str">
        <f t="shared" si="26"/>
        <v/>
      </c>
      <c r="AZ114" s="4" t="str">
        <f t="shared" si="26"/>
        <v/>
      </c>
      <c r="BA114" s="4" t="str">
        <f t="shared" si="26"/>
        <v/>
      </c>
      <c r="BB114" s="4" t="str">
        <f t="shared" si="23"/>
        <v/>
      </c>
      <c r="BC114" s="4" t="str">
        <f t="shared" si="20"/>
        <v/>
      </c>
      <c r="BD114" s="4" t="str">
        <f t="shared" si="20"/>
        <v/>
      </c>
      <c r="BE114" s="4" t="str">
        <f t="shared" si="20"/>
        <v/>
      </c>
      <c r="BF114" s="4" t="str">
        <f t="shared" si="20"/>
        <v/>
      </c>
      <c r="BG114" s="4" t="str">
        <f t="shared" si="20"/>
        <v/>
      </c>
      <c r="BH114" s="4" t="str">
        <f t="shared" si="20"/>
        <v/>
      </c>
      <c r="BI114" s="5" t="str">
        <f t="shared" si="20"/>
        <v/>
      </c>
    </row>
    <row r="115" spans="1:61" x14ac:dyDescent="0.25">
      <c r="A115">
        <v>420755</v>
      </c>
      <c r="B115" t="s">
        <v>15</v>
      </c>
      <c r="C115" t="s">
        <v>16</v>
      </c>
      <c r="D115">
        <v>13668</v>
      </c>
      <c r="E115">
        <v>141</v>
      </c>
      <c r="F115">
        <v>90</v>
      </c>
      <c r="G115">
        <v>20122</v>
      </c>
      <c r="H115" t="s">
        <v>0</v>
      </c>
      <c r="I115">
        <v>9823</v>
      </c>
      <c r="J115">
        <v>328</v>
      </c>
      <c r="K115">
        <v>23679.23</v>
      </c>
      <c r="L115">
        <v>23565.23</v>
      </c>
      <c r="M115">
        <v>114</v>
      </c>
      <c r="N115" s="3" t="str">
        <f t="shared" si="24"/>
        <v/>
      </c>
      <c r="O115" s="4" t="str">
        <f t="shared" si="24"/>
        <v/>
      </c>
      <c r="P115" s="4" t="str">
        <f t="shared" si="24"/>
        <v/>
      </c>
      <c r="Q115" s="4" t="str">
        <f t="shared" si="24"/>
        <v/>
      </c>
      <c r="R115" s="4" t="str">
        <f t="shared" si="24"/>
        <v/>
      </c>
      <c r="S115" s="4" t="str">
        <f t="shared" ref="N115:U147" si="27">IF(AND($B115=S$3, $G115=S$2, $H115=S$1), 1, "")</f>
        <v/>
      </c>
      <c r="T115" s="4" t="str">
        <f t="shared" si="27"/>
        <v/>
      </c>
      <c r="U115" s="4" t="str">
        <f t="shared" si="27"/>
        <v/>
      </c>
      <c r="V115" s="4" t="str">
        <f t="shared" si="21"/>
        <v/>
      </c>
      <c r="W115" s="4" t="str">
        <f t="shared" si="18"/>
        <v/>
      </c>
      <c r="X115" s="4" t="str">
        <f t="shared" si="18"/>
        <v/>
      </c>
      <c r="Y115" s="4" t="str">
        <f t="shared" si="18"/>
        <v/>
      </c>
      <c r="Z115" s="4" t="str">
        <f t="shared" si="18"/>
        <v/>
      </c>
      <c r="AA115" s="4" t="str">
        <f t="shared" si="18"/>
        <v/>
      </c>
      <c r="AB115" s="4" t="str">
        <f t="shared" si="18"/>
        <v/>
      </c>
      <c r="AC115" s="5" t="str">
        <f t="shared" si="18"/>
        <v/>
      </c>
      <c r="AD115" s="3" t="str">
        <f t="shared" si="25"/>
        <v/>
      </c>
      <c r="AE115" s="4" t="str">
        <f t="shared" si="25"/>
        <v/>
      </c>
      <c r="AF115" s="4" t="str">
        <f t="shared" si="25"/>
        <v/>
      </c>
      <c r="AG115" s="4" t="str">
        <f t="shared" si="25"/>
        <v/>
      </c>
      <c r="AH115" s="4" t="str">
        <f t="shared" si="25"/>
        <v/>
      </c>
      <c r="AI115" s="4">
        <f t="shared" ref="AD115:AK147" si="28">IF(AND($B115=AI$3, $G115=AI$2, $H115=AI$1), 1, "")</f>
        <v>1</v>
      </c>
      <c r="AJ115" s="4" t="str">
        <f t="shared" si="28"/>
        <v/>
      </c>
      <c r="AK115" s="4" t="str">
        <f t="shared" si="28"/>
        <v/>
      </c>
      <c r="AL115" s="4" t="str">
        <f t="shared" si="22"/>
        <v/>
      </c>
      <c r="AM115" s="4" t="str">
        <f t="shared" si="19"/>
        <v/>
      </c>
      <c r="AN115" s="4" t="str">
        <f t="shared" si="19"/>
        <v/>
      </c>
      <c r="AO115" s="4" t="str">
        <f t="shared" si="19"/>
        <v/>
      </c>
      <c r="AP115" s="4" t="str">
        <f t="shared" si="19"/>
        <v/>
      </c>
      <c r="AQ115" s="4" t="str">
        <f t="shared" si="19"/>
        <v/>
      </c>
      <c r="AR115" s="4" t="str">
        <f t="shared" si="19"/>
        <v/>
      </c>
      <c r="AS115" s="5" t="str">
        <f t="shared" si="19"/>
        <v/>
      </c>
      <c r="AT115" s="3" t="str">
        <f t="shared" si="26"/>
        <v/>
      </c>
      <c r="AU115" s="4" t="str">
        <f t="shared" si="26"/>
        <v/>
      </c>
      <c r="AV115" s="4" t="str">
        <f t="shared" si="26"/>
        <v/>
      </c>
      <c r="AW115" s="4" t="str">
        <f t="shared" si="26"/>
        <v/>
      </c>
      <c r="AX115" s="4" t="str">
        <f t="shared" si="26"/>
        <v/>
      </c>
      <c r="AY115" s="4" t="str">
        <f t="shared" ref="AT115:BA147" si="29">IF(AND($B115=AY$3, $G115=AY$2, $H115=AY$1), 1, "")</f>
        <v/>
      </c>
      <c r="AZ115" s="4" t="str">
        <f t="shared" si="29"/>
        <v/>
      </c>
      <c r="BA115" s="4" t="str">
        <f t="shared" si="29"/>
        <v/>
      </c>
      <c r="BB115" s="4" t="str">
        <f t="shared" si="23"/>
        <v/>
      </c>
      <c r="BC115" s="4" t="str">
        <f t="shared" si="20"/>
        <v/>
      </c>
      <c r="BD115" s="4" t="str">
        <f t="shared" si="20"/>
        <v/>
      </c>
      <c r="BE115" s="4" t="str">
        <f t="shared" si="20"/>
        <v/>
      </c>
      <c r="BF115" s="4" t="str">
        <f t="shared" si="20"/>
        <v/>
      </c>
      <c r="BG115" s="4" t="str">
        <f t="shared" si="20"/>
        <v/>
      </c>
      <c r="BH115" s="4" t="str">
        <f t="shared" si="20"/>
        <v/>
      </c>
      <c r="BI115" s="5" t="str">
        <f t="shared" si="20"/>
        <v/>
      </c>
    </row>
    <row r="116" spans="1:61" x14ac:dyDescent="0.25">
      <c r="A116">
        <v>420756</v>
      </c>
      <c r="B116" t="s">
        <v>15</v>
      </c>
      <c r="C116" t="s">
        <v>16</v>
      </c>
      <c r="D116">
        <v>13668</v>
      </c>
      <c r="E116">
        <v>141</v>
      </c>
      <c r="F116">
        <v>90</v>
      </c>
      <c r="G116">
        <v>20123</v>
      </c>
      <c r="H116" t="s">
        <v>0</v>
      </c>
      <c r="I116">
        <v>63180</v>
      </c>
      <c r="J116">
        <v>2101</v>
      </c>
      <c r="K116">
        <v>114186.83</v>
      </c>
      <c r="L116">
        <v>113745.68</v>
      </c>
      <c r="M116">
        <v>441.15</v>
      </c>
      <c r="N116" s="3" t="str">
        <f t="shared" si="27"/>
        <v/>
      </c>
      <c r="O116" s="4" t="str">
        <f t="shared" si="27"/>
        <v/>
      </c>
      <c r="P116" s="4" t="str">
        <f t="shared" si="27"/>
        <v/>
      </c>
      <c r="Q116" s="4" t="str">
        <f t="shared" si="27"/>
        <v/>
      </c>
      <c r="R116" s="4" t="str">
        <f t="shared" si="27"/>
        <v/>
      </c>
      <c r="S116" s="4" t="str">
        <f t="shared" si="27"/>
        <v/>
      </c>
      <c r="T116" s="4" t="str">
        <f t="shared" si="27"/>
        <v/>
      </c>
      <c r="U116" s="4" t="str">
        <f t="shared" si="27"/>
        <v/>
      </c>
      <c r="V116" s="4" t="str">
        <f t="shared" si="21"/>
        <v/>
      </c>
      <c r="W116" s="4" t="str">
        <f t="shared" si="18"/>
        <v/>
      </c>
      <c r="X116" s="4" t="str">
        <f t="shared" si="18"/>
        <v/>
      </c>
      <c r="Y116" s="4" t="str">
        <f t="shared" si="18"/>
        <v/>
      </c>
      <c r="Z116" s="4" t="str">
        <f t="shared" si="18"/>
        <v/>
      </c>
      <c r="AA116" s="4" t="str">
        <f t="shared" si="18"/>
        <v/>
      </c>
      <c r="AB116" s="4" t="str">
        <f t="shared" si="18"/>
        <v/>
      </c>
      <c r="AC116" s="5" t="str">
        <f t="shared" si="18"/>
        <v/>
      </c>
      <c r="AD116" s="3" t="str">
        <f t="shared" si="28"/>
        <v/>
      </c>
      <c r="AE116" s="4" t="str">
        <f t="shared" si="28"/>
        <v/>
      </c>
      <c r="AF116" s="4" t="str">
        <f t="shared" si="28"/>
        <v/>
      </c>
      <c r="AG116" s="4" t="str">
        <f t="shared" si="28"/>
        <v/>
      </c>
      <c r="AH116" s="4" t="str">
        <f t="shared" si="28"/>
        <v/>
      </c>
      <c r="AI116" s="4" t="str">
        <f t="shared" si="28"/>
        <v/>
      </c>
      <c r="AJ116" s="4">
        <f t="shared" si="28"/>
        <v>1</v>
      </c>
      <c r="AK116" s="4" t="str">
        <f t="shared" si="28"/>
        <v/>
      </c>
      <c r="AL116" s="4" t="str">
        <f t="shared" si="22"/>
        <v/>
      </c>
      <c r="AM116" s="4" t="str">
        <f t="shared" si="19"/>
        <v/>
      </c>
      <c r="AN116" s="4" t="str">
        <f t="shared" si="19"/>
        <v/>
      </c>
      <c r="AO116" s="4" t="str">
        <f t="shared" si="19"/>
        <v/>
      </c>
      <c r="AP116" s="4" t="str">
        <f t="shared" si="19"/>
        <v/>
      </c>
      <c r="AQ116" s="4" t="str">
        <f t="shared" si="19"/>
        <v/>
      </c>
      <c r="AR116" s="4" t="str">
        <f t="shared" si="19"/>
        <v/>
      </c>
      <c r="AS116" s="5" t="str">
        <f t="shared" si="19"/>
        <v/>
      </c>
      <c r="AT116" s="3" t="str">
        <f t="shared" si="29"/>
        <v/>
      </c>
      <c r="AU116" s="4" t="str">
        <f t="shared" si="29"/>
        <v/>
      </c>
      <c r="AV116" s="4" t="str">
        <f t="shared" si="29"/>
        <v/>
      </c>
      <c r="AW116" s="4" t="str">
        <f t="shared" si="29"/>
        <v/>
      </c>
      <c r="AX116" s="4" t="str">
        <f t="shared" si="29"/>
        <v/>
      </c>
      <c r="AY116" s="4" t="str">
        <f t="shared" si="29"/>
        <v/>
      </c>
      <c r="AZ116" s="4" t="str">
        <f t="shared" si="29"/>
        <v/>
      </c>
      <c r="BA116" s="4" t="str">
        <f t="shared" si="29"/>
        <v/>
      </c>
      <c r="BB116" s="4" t="str">
        <f t="shared" si="23"/>
        <v/>
      </c>
      <c r="BC116" s="4" t="str">
        <f t="shared" si="20"/>
        <v/>
      </c>
      <c r="BD116" s="4" t="str">
        <f t="shared" si="20"/>
        <v/>
      </c>
      <c r="BE116" s="4" t="str">
        <f t="shared" si="20"/>
        <v/>
      </c>
      <c r="BF116" s="4" t="str">
        <f t="shared" si="20"/>
        <v/>
      </c>
      <c r="BG116" s="4" t="str">
        <f t="shared" si="20"/>
        <v/>
      </c>
      <c r="BH116" s="4" t="str">
        <f t="shared" si="20"/>
        <v/>
      </c>
      <c r="BI116" s="5" t="str">
        <f t="shared" si="20"/>
        <v/>
      </c>
    </row>
    <row r="117" spans="1:61" x14ac:dyDescent="0.25">
      <c r="A117">
        <v>420757</v>
      </c>
      <c r="B117" t="s">
        <v>15</v>
      </c>
      <c r="C117" t="s">
        <v>16</v>
      </c>
      <c r="D117">
        <v>13668</v>
      </c>
      <c r="E117">
        <v>141</v>
      </c>
      <c r="F117">
        <v>90</v>
      </c>
      <c r="G117">
        <v>20124</v>
      </c>
      <c r="H117" t="s">
        <v>0</v>
      </c>
      <c r="I117">
        <v>78575</v>
      </c>
      <c r="J117">
        <v>2622</v>
      </c>
      <c r="K117">
        <v>122260.55</v>
      </c>
      <c r="L117">
        <v>121846.08</v>
      </c>
      <c r="M117">
        <v>414.47</v>
      </c>
      <c r="N117" s="3" t="str">
        <f t="shared" si="27"/>
        <v/>
      </c>
      <c r="O117" s="4" t="str">
        <f t="shared" si="27"/>
        <v/>
      </c>
      <c r="P117" s="4" t="str">
        <f t="shared" si="27"/>
        <v/>
      </c>
      <c r="Q117" s="4" t="str">
        <f t="shared" si="27"/>
        <v/>
      </c>
      <c r="R117" s="4" t="str">
        <f t="shared" si="27"/>
        <v/>
      </c>
      <c r="S117" s="4" t="str">
        <f t="shared" si="27"/>
        <v/>
      </c>
      <c r="T117" s="4" t="str">
        <f t="shared" si="27"/>
        <v/>
      </c>
      <c r="U117" s="4" t="str">
        <f t="shared" si="27"/>
        <v/>
      </c>
      <c r="V117" s="4" t="str">
        <f t="shared" si="21"/>
        <v/>
      </c>
      <c r="W117" s="4" t="str">
        <f t="shared" si="18"/>
        <v/>
      </c>
      <c r="X117" s="4" t="str">
        <f t="shared" si="18"/>
        <v/>
      </c>
      <c r="Y117" s="4" t="str">
        <f t="shared" si="18"/>
        <v/>
      </c>
      <c r="Z117" s="4" t="str">
        <f t="shared" si="18"/>
        <v/>
      </c>
      <c r="AA117" s="4" t="str">
        <f t="shared" si="18"/>
        <v/>
      </c>
      <c r="AB117" s="4" t="str">
        <f t="shared" si="18"/>
        <v/>
      </c>
      <c r="AC117" s="5" t="str">
        <f t="shared" si="18"/>
        <v/>
      </c>
      <c r="AD117" s="3" t="str">
        <f t="shared" si="28"/>
        <v/>
      </c>
      <c r="AE117" s="4" t="str">
        <f t="shared" si="28"/>
        <v/>
      </c>
      <c r="AF117" s="4" t="str">
        <f t="shared" si="28"/>
        <v/>
      </c>
      <c r="AG117" s="4" t="str">
        <f t="shared" si="28"/>
        <v/>
      </c>
      <c r="AH117" s="4" t="str">
        <f t="shared" si="28"/>
        <v/>
      </c>
      <c r="AI117" s="4" t="str">
        <f t="shared" si="28"/>
        <v/>
      </c>
      <c r="AJ117" s="4" t="str">
        <f t="shared" si="28"/>
        <v/>
      </c>
      <c r="AK117" s="4">
        <f t="shared" si="28"/>
        <v>1</v>
      </c>
      <c r="AL117" s="4" t="str">
        <f t="shared" si="22"/>
        <v/>
      </c>
      <c r="AM117" s="4" t="str">
        <f t="shared" si="19"/>
        <v/>
      </c>
      <c r="AN117" s="4" t="str">
        <f t="shared" si="19"/>
        <v/>
      </c>
      <c r="AO117" s="4" t="str">
        <f t="shared" si="19"/>
        <v/>
      </c>
      <c r="AP117" s="4" t="str">
        <f t="shared" si="19"/>
        <v/>
      </c>
      <c r="AQ117" s="4" t="str">
        <f t="shared" si="19"/>
        <v/>
      </c>
      <c r="AR117" s="4" t="str">
        <f t="shared" si="19"/>
        <v/>
      </c>
      <c r="AS117" s="5" t="str">
        <f t="shared" si="19"/>
        <v/>
      </c>
      <c r="AT117" s="3" t="str">
        <f t="shared" si="29"/>
        <v/>
      </c>
      <c r="AU117" s="4" t="str">
        <f t="shared" si="29"/>
        <v/>
      </c>
      <c r="AV117" s="4" t="str">
        <f t="shared" si="29"/>
        <v/>
      </c>
      <c r="AW117" s="4" t="str">
        <f t="shared" si="29"/>
        <v/>
      </c>
      <c r="AX117" s="4" t="str">
        <f t="shared" si="29"/>
        <v/>
      </c>
      <c r="AY117" s="4" t="str">
        <f t="shared" si="29"/>
        <v/>
      </c>
      <c r="AZ117" s="4" t="str">
        <f t="shared" si="29"/>
        <v/>
      </c>
      <c r="BA117" s="4" t="str">
        <f t="shared" si="29"/>
        <v/>
      </c>
      <c r="BB117" s="4" t="str">
        <f t="shared" si="23"/>
        <v/>
      </c>
      <c r="BC117" s="4" t="str">
        <f t="shared" si="20"/>
        <v/>
      </c>
      <c r="BD117" s="4" t="str">
        <f t="shared" si="20"/>
        <v/>
      </c>
      <c r="BE117" s="4" t="str">
        <f t="shared" si="20"/>
        <v/>
      </c>
      <c r="BF117" s="4" t="str">
        <f t="shared" si="20"/>
        <v/>
      </c>
      <c r="BG117" s="4" t="str">
        <f t="shared" si="20"/>
        <v/>
      </c>
      <c r="BH117" s="4" t="str">
        <f t="shared" si="20"/>
        <v/>
      </c>
      <c r="BI117" s="5" t="str">
        <f t="shared" si="20"/>
        <v/>
      </c>
    </row>
    <row r="118" spans="1:61" x14ac:dyDescent="0.25">
      <c r="A118">
        <v>542615</v>
      </c>
      <c r="B118" t="s">
        <v>14</v>
      </c>
      <c r="C118" t="s">
        <v>16</v>
      </c>
      <c r="D118">
        <v>13668</v>
      </c>
      <c r="E118">
        <v>141</v>
      </c>
      <c r="F118">
        <v>5</v>
      </c>
      <c r="G118">
        <v>20131</v>
      </c>
      <c r="H118" t="s">
        <v>0</v>
      </c>
      <c r="I118">
        <v>76712</v>
      </c>
      <c r="J118">
        <v>2540</v>
      </c>
      <c r="K118">
        <v>38085.120000000003</v>
      </c>
      <c r="L118">
        <v>36093.14</v>
      </c>
      <c r="M118">
        <v>1991.98</v>
      </c>
      <c r="N118" s="3" t="str">
        <f t="shared" si="27"/>
        <v/>
      </c>
      <c r="O118" s="4" t="str">
        <f t="shared" si="27"/>
        <v/>
      </c>
      <c r="P118" s="4" t="str">
        <f t="shared" si="27"/>
        <v/>
      </c>
      <c r="Q118" s="4" t="str">
        <f t="shared" si="27"/>
        <v/>
      </c>
      <c r="R118" s="4" t="str">
        <f t="shared" si="27"/>
        <v/>
      </c>
      <c r="S118" s="4" t="str">
        <f t="shared" si="27"/>
        <v/>
      </c>
      <c r="T118" s="4" t="str">
        <f t="shared" si="27"/>
        <v/>
      </c>
      <c r="U118" s="4" t="str">
        <f t="shared" si="27"/>
        <v/>
      </c>
      <c r="V118" s="4" t="str">
        <f t="shared" si="21"/>
        <v/>
      </c>
      <c r="W118" s="4" t="str">
        <f t="shared" si="18"/>
        <v/>
      </c>
      <c r="X118" s="4" t="str">
        <f t="shared" si="18"/>
        <v/>
      </c>
      <c r="Y118" s="4" t="str">
        <f t="shared" ref="W118:AC154" si="30">IF(AND($B118=Y$3, $G118=Y$2, LEFT($H118, 6)=Y$1), 1, "")</f>
        <v/>
      </c>
      <c r="Z118" s="4" t="str">
        <f t="shared" si="30"/>
        <v/>
      </c>
      <c r="AA118" s="4" t="str">
        <f t="shared" si="30"/>
        <v/>
      </c>
      <c r="AB118" s="4" t="str">
        <f t="shared" si="30"/>
        <v/>
      </c>
      <c r="AC118" s="5" t="str">
        <f t="shared" si="30"/>
        <v/>
      </c>
      <c r="AD118" s="3" t="str">
        <f t="shared" si="28"/>
        <v/>
      </c>
      <c r="AE118" s="4" t="str">
        <f t="shared" si="28"/>
        <v/>
      </c>
      <c r="AF118" s="4" t="str">
        <f t="shared" si="28"/>
        <v/>
      </c>
      <c r="AG118" s="4" t="str">
        <f t="shared" si="28"/>
        <v/>
      </c>
      <c r="AH118" s="4" t="str">
        <f t="shared" si="28"/>
        <v/>
      </c>
      <c r="AI118" s="4" t="str">
        <f t="shared" si="28"/>
        <v/>
      </c>
      <c r="AJ118" s="4" t="str">
        <f t="shared" si="28"/>
        <v/>
      </c>
      <c r="AK118" s="4" t="str">
        <f t="shared" si="28"/>
        <v/>
      </c>
      <c r="AL118" s="4" t="str">
        <f t="shared" si="22"/>
        <v/>
      </c>
      <c r="AM118" s="4" t="str">
        <f t="shared" si="19"/>
        <v/>
      </c>
      <c r="AN118" s="4" t="str">
        <f t="shared" si="19"/>
        <v/>
      </c>
      <c r="AO118" s="4" t="str">
        <f t="shared" ref="AM118:AS154" si="31">IF(AND($B118=AO$3, $G118=AO$2, LEFT($H118, 6)=AO$1), 1, "")</f>
        <v/>
      </c>
      <c r="AP118" s="4" t="str">
        <f t="shared" si="31"/>
        <v/>
      </c>
      <c r="AQ118" s="4" t="str">
        <f t="shared" si="31"/>
        <v/>
      </c>
      <c r="AR118" s="4" t="str">
        <f t="shared" si="31"/>
        <v/>
      </c>
      <c r="AS118" s="5" t="str">
        <f t="shared" si="31"/>
        <v/>
      </c>
      <c r="AT118" s="3">
        <f t="shared" si="29"/>
        <v>1</v>
      </c>
      <c r="AU118" s="4" t="str">
        <f t="shared" si="29"/>
        <v/>
      </c>
      <c r="AV118" s="4" t="str">
        <f t="shared" si="29"/>
        <v/>
      </c>
      <c r="AW118" s="4" t="str">
        <f t="shared" si="29"/>
        <v/>
      </c>
      <c r="AX118" s="4" t="str">
        <f t="shared" si="29"/>
        <v/>
      </c>
      <c r="AY118" s="4" t="str">
        <f t="shared" si="29"/>
        <v/>
      </c>
      <c r="AZ118" s="4" t="str">
        <f t="shared" si="29"/>
        <v/>
      </c>
      <c r="BA118" s="4" t="str">
        <f t="shared" si="29"/>
        <v/>
      </c>
      <c r="BB118" s="4" t="str">
        <f t="shared" si="23"/>
        <v/>
      </c>
      <c r="BC118" s="4" t="str">
        <f t="shared" si="20"/>
        <v/>
      </c>
      <c r="BD118" s="4" t="str">
        <f t="shared" si="20"/>
        <v/>
      </c>
      <c r="BE118" s="4" t="str">
        <f t="shared" ref="BC118:BI154" si="32">IF(AND($B118=BE$3, $G118=BE$2, LEFT($H118, 6)=BE$1), 1, "")</f>
        <v/>
      </c>
      <c r="BF118" s="4" t="str">
        <f t="shared" si="32"/>
        <v/>
      </c>
      <c r="BG118" s="4" t="str">
        <f t="shared" si="32"/>
        <v/>
      </c>
      <c r="BH118" s="4" t="str">
        <f t="shared" si="32"/>
        <v/>
      </c>
      <c r="BI118" s="5" t="str">
        <f t="shared" si="32"/>
        <v/>
      </c>
    </row>
    <row r="119" spans="1:61" x14ac:dyDescent="0.25">
      <c r="A119">
        <v>542616</v>
      </c>
      <c r="B119" t="s">
        <v>14</v>
      </c>
      <c r="C119" t="s">
        <v>16</v>
      </c>
      <c r="D119">
        <v>13668</v>
      </c>
      <c r="E119">
        <v>141</v>
      </c>
      <c r="F119">
        <v>5</v>
      </c>
      <c r="G119">
        <v>20132</v>
      </c>
      <c r="H119" t="s">
        <v>0</v>
      </c>
      <c r="I119">
        <v>120774</v>
      </c>
      <c r="J119">
        <v>3917</v>
      </c>
      <c r="K119">
        <v>55832.480000000003</v>
      </c>
      <c r="L119">
        <v>52129.64</v>
      </c>
      <c r="M119">
        <v>3702.84</v>
      </c>
      <c r="N119" s="3" t="str">
        <f t="shared" si="27"/>
        <v/>
      </c>
      <c r="O119" s="4" t="str">
        <f t="shared" si="27"/>
        <v/>
      </c>
      <c r="P119" s="4" t="str">
        <f t="shared" si="27"/>
        <v/>
      </c>
      <c r="Q119" s="4" t="str">
        <f t="shared" si="27"/>
        <v/>
      </c>
      <c r="R119" s="4" t="str">
        <f t="shared" si="27"/>
        <v/>
      </c>
      <c r="S119" s="4" t="str">
        <f t="shared" si="27"/>
        <v/>
      </c>
      <c r="T119" s="4" t="str">
        <f t="shared" si="27"/>
        <v/>
      </c>
      <c r="U119" s="4" t="str">
        <f t="shared" si="27"/>
        <v/>
      </c>
      <c r="V119" s="4" t="str">
        <f t="shared" si="21"/>
        <v/>
      </c>
      <c r="W119" s="4" t="str">
        <f t="shared" si="30"/>
        <v/>
      </c>
      <c r="X119" s="4" t="str">
        <f t="shared" si="30"/>
        <v/>
      </c>
      <c r="Y119" s="4" t="str">
        <f t="shared" si="30"/>
        <v/>
      </c>
      <c r="Z119" s="4" t="str">
        <f t="shared" si="30"/>
        <v/>
      </c>
      <c r="AA119" s="4" t="str">
        <f t="shared" si="30"/>
        <v/>
      </c>
      <c r="AB119" s="4" t="str">
        <f t="shared" si="30"/>
        <v/>
      </c>
      <c r="AC119" s="5" t="str">
        <f t="shared" si="30"/>
        <v/>
      </c>
      <c r="AD119" s="3" t="str">
        <f t="shared" si="28"/>
        <v/>
      </c>
      <c r="AE119" s="4" t="str">
        <f t="shared" si="28"/>
        <v/>
      </c>
      <c r="AF119" s="4" t="str">
        <f t="shared" si="28"/>
        <v/>
      </c>
      <c r="AG119" s="4" t="str">
        <f t="shared" si="28"/>
        <v/>
      </c>
      <c r="AH119" s="4" t="str">
        <f t="shared" si="28"/>
        <v/>
      </c>
      <c r="AI119" s="4" t="str">
        <f t="shared" si="28"/>
        <v/>
      </c>
      <c r="AJ119" s="4" t="str">
        <f t="shared" si="28"/>
        <v/>
      </c>
      <c r="AK119" s="4" t="str">
        <f t="shared" si="28"/>
        <v/>
      </c>
      <c r="AL119" s="4" t="str">
        <f t="shared" si="22"/>
        <v/>
      </c>
      <c r="AM119" s="4" t="str">
        <f t="shared" si="31"/>
        <v/>
      </c>
      <c r="AN119" s="4" t="str">
        <f t="shared" si="31"/>
        <v/>
      </c>
      <c r="AO119" s="4" t="str">
        <f t="shared" si="31"/>
        <v/>
      </c>
      <c r="AP119" s="4" t="str">
        <f t="shared" si="31"/>
        <v/>
      </c>
      <c r="AQ119" s="4" t="str">
        <f t="shared" si="31"/>
        <v/>
      </c>
      <c r="AR119" s="4" t="str">
        <f t="shared" si="31"/>
        <v/>
      </c>
      <c r="AS119" s="5" t="str">
        <f t="shared" si="31"/>
        <v/>
      </c>
      <c r="AT119" s="3" t="str">
        <f t="shared" si="29"/>
        <v/>
      </c>
      <c r="AU119" s="4">
        <f t="shared" si="29"/>
        <v>1</v>
      </c>
      <c r="AV119" s="4" t="str">
        <f t="shared" si="29"/>
        <v/>
      </c>
      <c r="AW119" s="4" t="str">
        <f t="shared" si="29"/>
        <v/>
      </c>
      <c r="AX119" s="4" t="str">
        <f t="shared" si="29"/>
        <v/>
      </c>
      <c r="AY119" s="4" t="str">
        <f t="shared" si="29"/>
        <v/>
      </c>
      <c r="AZ119" s="4" t="str">
        <f t="shared" si="29"/>
        <v/>
      </c>
      <c r="BA119" s="4" t="str">
        <f t="shared" si="29"/>
        <v/>
      </c>
      <c r="BB119" s="4" t="str">
        <f t="shared" si="23"/>
        <v/>
      </c>
      <c r="BC119" s="4" t="str">
        <f t="shared" si="32"/>
        <v/>
      </c>
      <c r="BD119" s="4" t="str">
        <f t="shared" si="32"/>
        <v/>
      </c>
      <c r="BE119" s="4" t="str">
        <f t="shared" si="32"/>
        <v/>
      </c>
      <c r="BF119" s="4" t="str">
        <f t="shared" si="32"/>
        <v/>
      </c>
      <c r="BG119" s="4" t="str">
        <f t="shared" si="32"/>
        <v/>
      </c>
      <c r="BH119" s="4" t="str">
        <f t="shared" si="32"/>
        <v/>
      </c>
      <c r="BI119" s="5" t="str">
        <f t="shared" si="32"/>
        <v/>
      </c>
    </row>
    <row r="120" spans="1:61" x14ac:dyDescent="0.25">
      <c r="A120">
        <v>542617</v>
      </c>
      <c r="B120" t="s">
        <v>14</v>
      </c>
      <c r="C120" t="s">
        <v>16</v>
      </c>
      <c r="D120">
        <v>13668</v>
      </c>
      <c r="E120">
        <v>141</v>
      </c>
      <c r="F120">
        <v>5</v>
      </c>
      <c r="G120">
        <v>20133</v>
      </c>
      <c r="H120" t="s">
        <v>0</v>
      </c>
      <c r="I120">
        <v>116399</v>
      </c>
      <c r="J120">
        <v>3779</v>
      </c>
      <c r="K120">
        <v>50650.51</v>
      </c>
      <c r="L120">
        <v>47638.9</v>
      </c>
      <c r="M120">
        <v>3011.61</v>
      </c>
      <c r="N120" s="3" t="str">
        <f t="shared" si="27"/>
        <v/>
      </c>
      <c r="O120" s="4" t="str">
        <f t="shared" si="27"/>
        <v/>
      </c>
      <c r="P120" s="4" t="str">
        <f t="shared" si="27"/>
        <v/>
      </c>
      <c r="Q120" s="4" t="str">
        <f t="shared" si="27"/>
        <v/>
      </c>
      <c r="R120" s="4" t="str">
        <f t="shared" si="27"/>
        <v/>
      </c>
      <c r="S120" s="4" t="str">
        <f t="shared" si="27"/>
        <v/>
      </c>
      <c r="T120" s="4" t="str">
        <f t="shared" si="27"/>
        <v/>
      </c>
      <c r="U120" s="4" t="str">
        <f t="shared" si="27"/>
        <v/>
      </c>
      <c r="V120" s="4" t="str">
        <f t="shared" si="21"/>
        <v/>
      </c>
      <c r="W120" s="4" t="str">
        <f t="shared" si="30"/>
        <v/>
      </c>
      <c r="X120" s="4" t="str">
        <f t="shared" si="30"/>
        <v/>
      </c>
      <c r="Y120" s="4" t="str">
        <f t="shared" si="30"/>
        <v/>
      </c>
      <c r="Z120" s="4" t="str">
        <f t="shared" si="30"/>
        <v/>
      </c>
      <c r="AA120" s="4" t="str">
        <f t="shared" si="30"/>
        <v/>
      </c>
      <c r="AB120" s="4" t="str">
        <f t="shared" si="30"/>
        <v/>
      </c>
      <c r="AC120" s="5" t="str">
        <f t="shared" si="30"/>
        <v/>
      </c>
      <c r="AD120" s="3" t="str">
        <f t="shared" si="28"/>
        <v/>
      </c>
      <c r="AE120" s="4" t="str">
        <f t="shared" si="28"/>
        <v/>
      </c>
      <c r="AF120" s="4" t="str">
        <f t="shared" si="28"/>
        <v/>
      </c>
      <c r="AG120" s="4" t="str">
        <f t="shared" si="28"/>
        <v/>
      </c>
      <c r="AH120" s="4" t="str">
        <f t="shared" si="28"/>
        <v/>
      </c>
      <c r="AI120" s="4" t="str">
        <f t="shared" si="28"/>
        <v/>
      </c>
      <c r="AJ120" s="4" t="str">
        <f t="shared" si="28"/>
        <v/>
      </c>
      <c r="AK120" s="4" t="str">
        <f t="shared" si="28"/>
        <v/>
      </c>
      <c r="AL120" s="4" t="str">
        <f t="shared" si="22"/>
        <v/>
      </c>
      <c r="AM120" s="4" t="str">
        <f t="shared" si="31"/>
        <v/>
      </c>
      <c r="AN120" s="4" t="str">
        <f t="shared" si="31"/>
        <v/>
      </c>
      <c r="AO120" s="4" t="str">
        <f t="shared" si="31"/>
        <v/>
      </c>
      <c r="AP120" s="4" t="str">
        <f t="shared" si="31"/>
        <v/>
      </c>
      <c r="AQ120" s="4" t="str">
        <f t="shared" si="31"/>
        <v/>
      </c>
      <c r="AR120" s="4" t="str">
        <f t="shared" si="31"/>
        <v/>
      </c>
      <c r="AS120" s="5" t="str">
        <f t="shared" si="31"/>
        <v/>
      </c>
      <c r="AT120" s="3" t="str">
        <f t="shared" si="29"/>
        <v/>
      </c>
      <c r="AU120" s="4" t="str">
        <f t="shared" si="29"/>
        <v/>
      </c>
      <c r="AV120" s="4">
        <f t="shared" si="29"/>
        <v>1</v>
      </c>
      <c r="AW120" s="4" t="str">
        <f t="shared" si="29"/>
        <v/>
      </c>
      <c r="AX120" s="4" t="str">
        <f t="shared" si="29"/>
        <v/>
      </c>
      <c r="AY120" s="4" t="str">
        <f t="shared" si="29"/>
        <v/>
      </c>
      <c r="AZ120" s="4" t="str">
        <f t="shared" si="29"/>
        <v/>
      </c>
      <c r="BA120" s="4" t="str">
        <f t="shared" si="29"/>
        <v/>
      </c>
      <c r="BB120" s="4" t="str">
        <f t="shared" si="23"/>
        <v/>
      </c>
      <c r="BC120" s="4" t="str">
        <f t="shared" si="32"/>
        <v/>
      </c>
      <c r="BD120" s="4" t="str">
        <f t="shared" si="32"/>
        <v/>
      </c>
      <c r="BE120" s="4" t="str">
        <f t="shared" si="32"/>
        <v/>
      </c>
      <c r="BF120" s="4" t="str">
        <f t="shared" si="32"/>
        <v/>
      </c>
      <c r="BG120" s="4" t="str">
        <f t="shared" si="32"/>
        <v/>
      </c>
      <c r="BH120" s="4" t="str">
        <f t="shared" si="32"/>
        <v/>
      </c>
      <c r="BI120" s="5" t="str">
        <f t="shared" si="32"/>
        <v/>
      </c>
    </row>
    <row r="121" spans="1:61" x14ac:dyDescent="0.25">
      <c r="A121">
        <v>542618</v>
      </c>
      <c r="B121" t="s">
        <v>14</v>
      </c>
      <c r="C121" t="s">
        <v>16</v>
      </c>
      <c r="D121">
        <v>13668</v>
      </c>
      <c r="E121">
        <v>141</v>
      </c>
      <c r="F121">
        <v>5</v>
      </c>
      <c r="G121">
        <v>20134</v>
      </c>
      <c r="H121" t="s">
        <v>0</v>
      </c>
      <c r="I121">
        <v>122051.38</v>
      </c>
      <c r="J121">
        <v>3936</v>
      </c>
      <c r="K121">
        <v>54391.199999999997</v>
      </c>
      <c r="L121">
        <v>52182.35</v>
      </c>
      <c r="M121">
        <v>2208.85</v>
      </c>
      <c r="N121" s="3" t="str">
        <f t="shared" si="27"/>
        <v/>
      </c>
      <c r="O121" s="4" t="str">
        <f t="shared" si="27"/>
        <v/>
      </c>
      <c r="P121" s="4" t="str">
        <f t="shared" si="27"/>
        <v/>
      </c>
      <c r="Q121" s="4" t="str">
        <f t="shared" si="27"/>
        <v/>
      </c>
      <c r="R121" s="4" t="str">
        <f t="shared" si="27"/>
        <v/>
      </c>
      <c r="S121" s="4" t="str">
        <f t="shared" si="27"/>
        <v/>
      </c>
      <c r="T121" s="4" t="str">
        <f t="shared" si="27"/>
        <v/>
      </c>
      <c r="U121" s="4" t="str">
        <f t="shared" si="27"/>
        <v/>
      </c>
      <c r="V121" s="4" t="str">
        <f t="shared" si="21"/>
        <v/>
      </c>
      <c r="W121" s="4" t="str">
        <f t="shared" si="30"/>
        <v/>
      </c>
      <c r="X121" s="4" t="str">
        <f t="shared" si="30"/>
        <v/>
      </c>
      <c r="Y121" s="4" t="str">
        <f t="shared" si="30"/>
        <v/>
      </c>
      <c r="Z121" s="4" t="str">
        <f t="shared" si="30"/>
        <v/>
      </c>
      <c r="AA121" s="4" t="str">
        <f t="shared" si="30"/>
        <v/>
      </c>
      <c r="AB121" s="4" t="str">
        <f t="shared" si="30"/>
        <v/>
      </c>
      <c r="AC121" s="5" t="str">
        <f t="shared" si="30"/>
        <v/>
      </c>
      <c r="AD121" s="3" t="str">
        <f t="shared" si="28"/>
        <v/>
      </c>
      <c r="AE121" s="4" t="str">
        <f t="shared" si="28"/>
        <v/>
      </c>
      <c r="AF121" s="4" t="str">
        <f t="shared" si="28"/>
        <v/>
      </c>
      <c r="AG121" s="4" t="str">
        <f t="shared" si="28"/>
        <v/>
      </c>
      <c r="AH121" s="4" t="str">
        <f t="shared" si="28"/>
        <v/>
      </c>
      <c r="AI121" s="4" t="str">
        <f t="shared" si="28"/>
        <v/>
      </c>
      <c r="AJ121" s="4" t="str">
        <f t="shared" si="28"/>
        <v/>
      </c>
      <c r="AK121" s="4" t="str">
        <f t="shared" si="28"/>
        <v/>
      </c>
      <c r="AL121" s="4" t="str">
        <f t="shared" si="22"/>
        <v/>
      </c>
      <c r="AM121" s="4" t="str">
        <f t="shared" si="31"/>
        <v/>
      </c>
      <c r="AN121" s="4" t="str">
        <f t="shared" si="31"/>
        <v/>
      </c>
      <c r="AO121" s="4" t="str">
        <f t="shared" si="31"/>
        <v/>
      </c>
      <c r="AP121" s="4" t="str">
        <f t="shared" si="31"/>
        <v/>
      </c>
      <c r="AQ121" s="4" t="str">
        <f t="shared" si="31"/>
        <v/>
      </c>
      <c r="AR121" s="4" t="str">
        <f t="shared" si="31"/>
        <v/>
      </c>
      <c r="AS121" s="5" t="str">
        <f t="shared" si="31"/>
        <v/>
      </c>
      <c r="AT121" s="3" t="str">
        <f t="shared" si="29"/>
        <v/>
      </c>
      <c r="AU121" s="4" t="str">
        <f t="shared" si="29"/>
        <v/>
      </c>
      <c r="AV121" s="4" t="str">
        <f t="shared" si="29"/>
        <v/>
      </c>
      <c r="AW121" s="4">
        <f t="shared" si="29"/>
        <v>1</v>
      </c>
      <c r="AX121" s="4" t="str">
        <f t="shared" si="29"/>
        <v/>
      </c>
      <c r="AY121" s="4" t="str">
        <f t="shared" si="29"/>
        <v/>
      </c>
      <c r="AZ121" s="4" t="str">
        <f t="shared" si="29"/>
        <v/>
      </c>
      <c r="BA121" s="4" t="str">
        <f t="shared" si="29"/>
        <v/>
      </c>
      <c r="BB121" s="4" t="str">
        <f t="shared" si="23"/>
        <v/>
      </c>
      <c r="BC121" s="4" t="str">
        <f t="shared" si="32"/>
        <v/>
      </c>
      <c r="BD121" s="4" t="str">
        <f t="shared" si="32"/>
        <v/>
      </c>
      <c r="BE121" s="4" t="str">
        <f t="shared" si="32"/>
        <v/>
      </c>
      <c r="BF121" s="4" t="str">
        <f t="shared" si="32"/>
        <v/>
      </c>
      <c r="BG121" s="4" t="str">
        <f t="shared" si="32"/>
        <v/>
      </c>
      <c r="BH121" s="4" t="str">
        <f t="shared" si="32"/>
        <v/>
      </c>
      <c r="BI121" s="5" t="str">
        <f t="shared" si="32"/>
        <v/>
      </c>
    </row>
    <row r="122" spans="1:61" x14ac:dyDescent="0.25">
      <c r="A122">
        <v>542619</v>
      </c>
      <c r="B122" t="s">
        <v>14</v>
      </c>
      <c r="C122" t="s">
        <v>16</v>
      </c>
      <c r="D122">
        <v>13668</v>
      </c>
      <c r="E122">
        <v>141</v>
      </c>
      <c r="F122">
        <v>30</v>
      </c>
      <c r="G122">
        <v>20131</v>
      </c>
      <c r="H122" t="s">
        <v>0</v>
      </c>
      <c r="I122">
        <v>17618</v>
      </c>
      <c r="J122">
        <v>561</v>
      </c>
      <c r="K122">
        <v>8079.22</v>
      </c>
      <c r="L122">
        <v>7773.64</v>
      </c>
      <c r="M122">
        <v>305.58</v>
      </c>
      <c r="N122" s="3" t="str">
        <f t="shared" si="27"/>
        <v/>
      </c>
      <c r="O122" s="4" t="str">
        <f t="shared" si="27"/>
        <v/>
      </c>
      <c r="P122" s="4" t="str">
        <f t="shared" si="27"/>
        <v/>
      </c>
      <c r="Q122" s="4" t="str">
        <f t="shared" si="27"/>
        <v/>
      </c>
      <c r="R122" s="4" t="str">
        <f t="shared" si="27"/>
        <v/>
      </c>
      <c r="S122" s="4" t="str">
        <f t="shared" si="27"/>
        <v/>
      </c>
      <c r="T122" s="4" t="str">
        <f t="shared" si="27"/>
        <v/>
      </c>
      <c r="U122" s="4" t="str">
        <f t="shared" si="27"/>
        <v/>
      </c>
      <c r="V122" s="4" t="str">
        <f t="shared" si="21"/>
        <v/>
      </c>
      <c r="W122" s="4" t="str">
        <f t="shared" si="30"/>
        <v/>
      </c>
      <c r="X122" s="4" t="str">
        <f t="shared" si="30"/>
        <v/>
      </c>
      <c r="Y122" s="4" t="str">
        <f t="shared" si="30"/>
        <v/>
      </c>
      <c r="Z122" s="4" t="str">
        <f t="shared" si="30"/>
        <v/>
      </c>
      <c r="AA122" s="4" t="str">
        <f t="shared" si="30"/>
        <v/>
      </c>
      <c r="AB122" s="4" t="str">
        <f t="shared" si="30"/>
        <v/>
      </c>
      <c r="AC122" s="5" t="str">
        <f t="shared" si="30"/>
        <v/>
      </c>
      <c r="AD122" s="3" t="str">
        <f t="shared" si="28"/>
        <v/>
      </c>
      <c r="AE122" s="4" t="str">
        <f t="shared" si="28"/>
        <v/>
      </c>
      <c r="AF122" s="4" t="str">
        <f t="shared" si="28"/>
        <v/>
      </c>
      <c r="AG122" s="4" t="str">
        <f t="shared" si="28"/>
        <v/>
      </c>
      <c r="AH122" s="4" t="str">
        <f t="shared" si="28"/>
        <v/>
      </c>
      <c r="AI122" s="4" t="str">
        <f t="shared" si="28"/>
        <v/>
      </c>
      <c r="AJ122" s="4" t="str">
        <f t="shared" si="28"/>
        <v/>
      </c>
      <c r="AK122" s="4" t="str">
        <f t="shared" si="28"/>
        <v/>
      </c>
      <c r="AL122" s="4" t="str">
        <f t="shared" si="22"/>
        <v/>
      </c>
      <c r="AM122" s="4" t="str">
        <f t="shared" si="31"/>
        <v/>
      </c>
      <c r="AN122" s="4" t="str">
        <f t="shared" si="31"/>
        <v/>
      </c>
      <c r="AO122" s="4" t="str">
        <f t="shared" si="31"/>
        <v/>
      </c>
      <c r="AP122" s="4" t="str">
        <f t="shared" si="31"/>
        <v/>
      </c>
      <c r="AQ122" s="4" t="str">
        <f t="shared" si="31"/>
        <v/>
      </c>
      <c r="AR122" s="4" t="str">
        <f t="shared" si="31"/>
        <v/>
      </c>
      <c r="AS122" s="5" t="str">
        <f t="shared" si="31"/>
        <v/>
      </c>
      <c r="AT122" s="3">
        <f t="shared" si="29"/>
        <v>1</v>
      </c>
      <c r="AU122" s="4" t="str">
        <f t="shared" si="29"/>
        <v/>
      </c>
      <c r="AV122" s="4" t="str">
        <f t="shared" si="29"/>
        <v/>
      </c>
      <c r="AW122" s="4" t="str">
        <f t="shared" si="29"/>
        <v/>
      </c>
      <c r="AX122" s="4" t="str">
        <f t="shared" si="29"/>
        <v/>
      </c>
      <c r="AY122" s="4" t="str">
        <f t="shared" si="29"/>
        <v/>
      </c>
      <c r="AZ122" s="4" t="str">
        <f t="shared" si="29"/>
        <v/>
      </c>
      <c r="BA122" s="4" t="str">
        <f t="shared" si="29"/>
        <v/>
      </c>
      <c r="BB122" s="4" t="str">
        <f t="shared" si="23"/>
        <v/>
      </c>
      <c r="BC122" s="4" t="str">
        <f t="shared" si="32"/>
        <v/>
      </c>
      <c r="BD122" s="4" t="str">
        <f t="shared" si="32"/>
        <v/>
      </c>
      <c r="BE122" s="4" t="str">
        <f t="shared" si="32"/>
        <v/>
      </c>
      <c r="BF122" s="4" t="str">
        <f t="shared" si="32"/>
        <v/>
      </c>
      <c r="BG122" s="4" t="str">
        <f t="shared" si="32"/>
        <v/>
      </c>
      <c r="BH122" s="4" t="str">
        <f t="shared" si="32"/>
        <v/>
      </c>
      <c r="BI122" s="5" t="str">
        <f t="shared" si="32"/>
        <v/>
      </c>
    </row>
    <row r="123" spans="1:61" x14ac:dyDescent="0.25">
      <c r="A123">
        <v>542620</v>
      </c>
      <c r="B123" t="s">
        <v>14</v>
      </c>
      <c r="C123" t="s">
        <v>16</v>
      </c>
      <c r="D123">
        <v>13668</v>
      </c>
      <c r="E123">
        <v>141</v>
      </c>
      <c r="F123">
        <v>30</v>
      </c>
      <c r="G123">
        <v>20132</v>
      </c>
      <c r="H123" t="s">
        <v>0</v>
      </c>
      <c r="I123">
        <v>30356</v>
      </c>
      <c r="J123">
        <v>1002</v>
      </c>
      <c r="K123">
        <v>13222.95</v>
      </c>
      <c r="L123">
        <v>12680.25</v>
      </c>
      <c r="M123">
        <v>542.70000000000005</v>
      </c>
      <c r="N123" s="3" t="str">
        <f t="shared" si="27"/>
        <v/>
      </c>
      <c r="O123" s="4" t="str">
        <f t="shared" si="27"/>
        <v/>
      </c>
      <c r="P123" s="4" t="str">
        <f t="shared" si="27"/>
        <v/>
      </c>
      <c r="Q123" s="4" t="str">
        <f t="shared" si="27"/>
        <v/>
      </c>
      <c r="R123" s="4" t="str">
        <f t="shared" si="27"/>
        <v/>
      </c>
      <c r="S123" s="4" t="str">
        <f t="shared" si="27"/>
        <v/>
      </c>
      <c r="T123" s="4" t="str">
        <f t="shared" si="27"/>
        <v/>
      </c>
      <c r="U123" s="4" t="str">
        <f t="shared" si="27"/>
        <v/>
      </c>
      <c r="V123" s="4" t="str">
        <f t="shared" si="21"/>
        <v/>
      </c>
      <c r="W123" s="4" t="str">
        <f t="shared" si="30"/>
        <v/>
      </c>
      <c r="X123" s="4" t="str">
        <f t="shared" si="30"/>
        <v/>
      </c>
      <c r="Y123" s="4" t="str">
        <f t="shared" si="30"/>
        <v/>
      </c>
      <c r="Z123" s="4" t="str">
        <f t="shared" si="30"/>
        <v/>
      </c>
      <c r="AA123" s="4" t="str">
        <f t="shared" si="30"/>
        <v/>
      </c>
      <c r="AB123" s="4" t="str">
        <f t="shared" si="30"/>
        <v/>
      </c>
      <c r="AC123" s="5" t="str">
        <f t="shared" si="30"/>
        <v/>
      </c>
      <c r="AD123" s="3" t="str">
        <f t="shared" si="28"/>
        <v/>
      </c>
      <c r="AE123" s="4" t="str">
        <f t="shared" si="28"/>
        <v/>
      </c>
      <c r="AF123" s="4" t="str">
        <f t="shared" si="28"/>
        <v/>
      </c>
      <c r="AG123" s="4" t="str">
        <f t="shared" si="28"/>
        <v/>
      </c>
      <c r="AH123" s="4" t="str">
        <f t="shared" si="28"/>
        <v/>
      </c>
      <c r="AI123" s="4" t="str">
        <f t="shared" si="28"/>
        <v/>
      </c>
      <c r="AJ123" s="4" t="str">
        <f t="shared" si="28"/>
        <v/>
      </c>
      <c r="AK123" s="4" t="str">
        <f t="shared" si="28"/>
        <v/>
      </c>
      <c r="AL123" s="4" t="str">
        <f t="shared" si="22"/>
        <v/>
      </c>
      <c r="AM123" s="4" t="str">
        <f t="shared" si="31"/>
        <v/>
      </c>
      <c r="AN123" s="4" t="str">
        <f t="shared" si="31"/>
        <v/>
      </c>
      <c r="AO123" s="4" t="str">
        <f t="shared" si="31"/>
        <v/>
      </c>
      <c r="AP123" s="4" t="str">
        <f t="shared" si="31"/>
        <v/>
      </c>
      <c r="AQ123" s="4" t="str">
        <f t="shared" si="31"/>
        <v/>
      </c>
      <c r="AR123" s="4" t="str">
        <f t="shared" si="31"/>
        <v/>
      </c>
      <c r="AS123" s="5" t="str">
        <f t="shared" si="31"/>
        <v/>
      </c>
      <c r="AT123" s="3" t="str">
        <f t="shared" si="29"/>
        <v/>
      </c>
      <c r="AU123" s="4">
        <f t="shared" si="29"/>
        <v>1</v>
      </c>
      <c r="AV123" s="4" t="str">
        <f t="shared" si="29"/>
        <v/>
      </c>
      <c r="AW123" s="4" t="str">
        <f t="shared" si="29"/>
        <v/>
      </c>
      <c r="AX123" s="4" t="str">
        <f t="shared" si="29"/>
        <v/>
      </c>
      <c r="AY123" s="4" t="str">
        <f t="shared" si="29"/>
        <v/>
      </c>
      <c r="AZ123" s="4" t="str">
        <f t="shared" si="29"/>
        <v/>
      </c>
      <c r="BA123" s="4" t="str">
        <f t="shared" si="29"/>
        <v/>
      </c>
      <c r="BB123" s="4" t="str">
        <f t="shared" si="23"/>
        <v/>
      </c>
      <c r="BC123" s="4" t="str">
        <f t="shared" si="32"/>
        <v/>
      </c>
      <c r="BD123" s="4" t="str">
        <f t="shared" si="32"/>
        <v/>
      </c>
      <c r="BE123" s="4" t="str">
        <f t="shared" si="32"/>
        <v/>
      </c>
      <c r="BF123" s="4" t="str">
        <f t="shared" si="32"/>
        <v/>
      </c>
      <c r="BG123" s="4" t="str">
        <f t="shared" si="32"/>
        <v/>
      </c>
      <c r="BH123" s="4" t="str">
        <f t="shared" si="32"/>
        <v/>
      </c>
      <c r="BI123" s="5" t="str">
        <f t="shared" si="32"/>
        <v/>
      </c>
    </row>
    <row r="124" spans="1:61" x14ac:dyDescent="0.25">
      <c r="A124">
        <v>542621</v>
      </c>
      <c r="B124" t="s">
        <v>14</v>
      </c>
      <c r="C124" t="s">
        <v>16</v>
      </c>
      <c r="D124">
        <v>13668</v>
      </c>
      <c r="E124">
        <v>141</v>
      </c>
      <c r="F124">
        <v>30</v>
      </c>
      <c r="G124">
        <v>20133</v>
      </c>
      <c r="H124" t="s">
        <v>0</v>
      </c>
      <c r="I124">
        <v>36540</v>
      </c>
      <c r="J124">
        <v>1201</v>
      </c>
      <c r="K124">
        <v>15725.2</v>
      </c>
      <c r="L124">
        <v>14657.32</v>
      </c>
      <c r="M124">
        <v>1067.8800000000001</v>
      </c>
      <c r="N124" s="3" t="str">
        <f t="shared" si="27"/>
        <v/>
      </c>
      <c r="O124" s="4" t="str">
        <f t="shared" si="27"/>
        <v/>
      </c>
      <c r="P124" s="4" t="str">
        <f t="shared" si="27"/>
        <v/>
      </c>
      <c r="Q124" s="4" t="str">
        <f t="shared" si="27"/>
        <v/>
      </c>
      <c r="R124" s="4" t="str">
        <f t="shared" si="27"/>
        <v/>
      </c>
      <c r="S124" s="4" t="str">
        <f t="shared" si="27"/>
        <v/>
      </c>
      <c r="T124" s="4" t="str">
        <f t="shared" si="27"/>
        <v/>
      </c>
      <c r="U124" s="4" t="str">
        <f t="shared" si="27"/>
        <v/>
      </c>
      <c r="V124" s="4" t="str">
        <f t="shared" si="21"/>
        <v/>
      </c>
      <c r="W124" s="4" t="str">
        <f t="shared" si="30"/>
        <v/>
      </c>
      <c r="X124" s="4" t="str">
        <f t="shared" si="30"/>
        <v/>
      </c>
      <c r="Y124" s="4" t="str">
        <f t="shared" si="30"/>
        <v/>
      </c>
      <c r="Z124" s="4" t="str">
        <f t="shared" si="30"/>
        <v/>
      </c>
      <c r="AA124" s="4" t="str">
        <f t="shared" si="30"/>
        <v/>
      </c>
      <c r="AB124" s="4" t="str">
        <f t="shared" si="30"/>
        <v/>
      </c>
      <c r="AC124" s="5" t="str">
        <f t="shared" si="30"/>
        <v/>
      </c>
      <c r="AD124" s="3" t="str">
        <f t="shared" si="28"/>
        <v/>
      </c>
      <c r="AE124" s="4" t="str">
        <f t="shared" si="28"/>
        <v/>
      </c>
      <c r="AF124" s="4" t="str">
        <f t="shared" si="28"/>
        <v/>
      </c>
      <c r="AG124" s="4" t="str">
        <f t="shared" si="28"/>
        <v/>
      </c>
      <c r="AH124" s="4" t="str">
        <f t="shared" si="28"/>
        <v/>
      </c>
      <c r="AI124" s="4" t="str">
        <f t="shared" si="28"/>
        <v/>
      </c>
      <c r="AJ124" s="4" t="str">
        <f t="shared" si="28"/>
        <v/>
      </c>
      <c r="AK124" s="4" t="str">
        <f t="shared" si="28"/>
        <v/>
      </c>
      <c r="AL124" s="4" t="str">
        <f t="shared" si="22"/>
        <v/>
      </c>
      <c r="AM124" s="4" t="str">
        <f t="shared" si="31"/>
        <v/>
      </c>
      <c r="AN124" s="4" t="str">
        <f t="shared" si="31"/>
        <v/>
      </c>
      <c r="AO124" s="4" t="str">
        <f t="shared" si="31"/>
        <v/>
      </c>
      <c r="AP124" s="4" t="str">
        <f t="shared" si="31"/>
        <v/>
      </c>
      <c r="AQ124" s="4" t="str">
        <f t="shared" si="31"/>
        <v/>
      </c>
      <c r="AR124" s="4" t="str">
        <f t="shared" si="31"/>
        <v/>
      </c>
      <c r="AS124" s="5" t="str">
        <f t="shared" si="31"/>
        <v/>
      </c>
      <c r="AT124" s="3" t="str">
        <f t="shared" si="29"/>
        <v/>
      </c>
      <c r="AU124" s="4" t="str">
        <f t="shared" si="29"/>
        <v/>
      </c>
      <c r="AV124" s="4">
        <f t="shared" si="29"/>
        <v>1</v>
      </c>
      <c r="AW124" s="4" t="str">
        <f t="shared" si="29"/>
        <v/>
      </c>
      <c r="AX124" s="4" t="str">
        <f t="shared" si="29"/>
        <v/>
      </c>
      <c r="AY124" s="4" t="str">
        <f t="shared" si="29"/>
        <v/>
      </c>
      <c r="AZ124" s="4" t="str">
        <f t="shared" si="29"/>
        <v/>
      </c>
      <c r="BA124" s="4" t="str">
        <f t="shared" si="29"/>
        <v/>
      </c>
      <c r="BB124" s="4" t="str">
        <f t="shared" si="23"/>
        <v/>
      </c>
      <c r="BC124" s="4" t="str">
        <f t="shared" si="32"/>
        <v/>
      </c>
      <c r="BD124" s="4" t="str">
        <f t="shared" si="32"/>
        <v/>
      </c>
      <c r="BE124" s="4" t="str">
        <f t="shared" si="32"/>
        <v/>
      </c>
      <c r="BF124" s="4" t="str">
        <f t="shared" si="32"/>
        <v/>
      </c>
      <c r="BG124" s="4" t="str">
        <f t="shared" si="32"/>
        <v/>
      </c>
      <c r="BH124" s="4" t="str">
        <f t="shared" si="32"/>
        <v/>
      </c>
      <c r="BI124" s="5" t="str">
        <f t="shared" si="32"/>
        <v/>
      </c>
    </row>
    <row r="125" spans="1:61" x14ac:dyDescent="0.25">
      <c r="A125">
        <v>542622</v>
      </c>
      <c r="B125" t="s">
        <v>14</v>
      </c>
      <c r="C125" t="s">
        <v>16</v>
      </c>
      <c r="D125">
        <v>13668</v>
      </c>
      <c r="E125">
        <v>141</v>
      </c>
      <c r="F125">
        <v>30</v>
      </c>
      <c r="G125">
        <v>20134</v>
      </c>
      <c r="H125" t="s">
        <v>0</v>
      </c>
      <c r="I125">
        <v>21636</v>
      </c>
      <c r="J125">
        <v>700</v>
      </c>
      <c r="K125">
        <v>12334.33</v>
      </c>
      <c r="L125">
        <v>11946.88</v>
      </c>
      <c r="M125">
        <v>387.45</v>
      </c>
      <c r="N125" s="3" t="str">
        <f t="shared" si="27"/>
        <v/>
      </c>
      <c r="O125" s="4" t="str">
        <f t="shared" si="27"/>
        <v/>
      </c>
      <c r="P125" s="4" t="str">
        <f t="shared" si="27"/>
        <v/>
      </c>
      <c r="Q125" s="4" t="str">
        <f t="shared" si="27"/>
        <v/>
      </c>
      <c r="R125" s="4" t="str">
        <f t="shared" si="27"/>
        <v/>
      </c>
      <c r="S125" s="4" t="str">
        <f t="shared" si="27"/>
        <v/>
      </c>
      <c r="T125" s="4" t="str">
        <f t="shared" si="27"/>
        <v/>
      </c>
      <c r="U125" s="4" t="str">
        <f t="shared" si="27"/>
        <v/>
      </c>
      <c r="V125" s="4" t="str">
        <f t="shared" si="21"/>
        <v/>
      </c>
      <c r="W125" s="4" t="str">
        <f t="shared" si="30"/>
        <v/>
      </c>
      <c r="X125" s="4" t="str">
        <f t="shared" si="30"/>
        <v/>
      </c>
      <c r="Y125" s="4" t="str">
        <f t="shared" si="30"/>
        <v/>
      </c>
      <c r="Z125" s="4" t="str">
        <f t="shared" si="30"/>
        <v/>
      </c>
      <c r="AA125" s="4" t="str">
        <f t="shared" si="30"/>
        <v/>
      </c>
      <c r="AB125" s="4" t="str">
        <f t="shared" si="30"/>
        <v/>
      </c>
      <c r="AC125" s="5" t="str">
        <f t="shared" si="30"/>
        <v/>
      </c>
      <c r="AD125" s="3" t="str">
        <f t="shared" si="28"/>
        <v/>
      </c>
      <c r="AE125" s="4" t="str">
        <f t="shared" si="28"/>
        <v/>
      </c>
      <c r="AF125" s="4" t="str">
        <f t="shared" si="28"/>
        <v/>
      </c>
      <c r="AG125" s="4" t="str">
        <f t="shared" si="28"/>
        <v/>
      </c>
      <c r="AH125" s="4" t="str">
        <f t="shared" si="28"/>
        <v/>
      </c>
      <c r="AI125" s="4" t="str">
        <f t="shared" si="28"/>
        <v/>
      </c>
      <c r="AJ125" s="4" t="str">
        <f t="shared" si="28"/>
        <v/>
      </c>
      <c r="AK125" s="4" t="str">
        <f t="shared" si="28"/>
        <v/>
      </c>
      <c r="AL125" s="4" t="str">
        <f t="shared" si="22"/>
        <v/>
      </c>
      <c r="AM125" s="4" t="str">
        <f t="shared" si="31"/>
        <v/>
      </c>
      <c r="AN125" s="4" t="str">
        <f t="shared" si="31"/>
        <v/>
      </c>
      <c r="AO125" s="4" t="str">
        <f t="shared" si="31"/>
        <v/>
      </c>
      <c r="AP125" s="4" t="str">
        <f t="shared" si="31"/>
        <v/>
      </c>
      <c r="AQ125" s="4" t="str">
        <f t="shared" si="31"/>
        <v/>
      </c>
      <c r="AR125" s="4" t="str">
        <f t="shared" si="31"/>
        <v/>
      </c>
      <c r="AS125" s="5" t="str">
        <f t="shared" si="31"/>
        <v/>
      </c>
      <c r="AT125" s="3" t="str">
        <f t="shared" si="29"/>
        <v/>
      </c>
      <c r="AU125" s="4" t="str">
        <f t="shared" si="29"/>
        <v/>
      </c>
      <c r="AV125" s="4" t="str">
        <f t="shared" si="29"/>
        <v/>
      </c>
      <c r="AW125" s="4">
        <f t="shared" si="29"/>
        <v>1</v>
      </c>
      <c r="AX125" s="4" t="str">
        <f t="shared" si="29"/>
        <v/>
      </c>
      <c r="AY125" s="4" t="str">
        <f t="shared" si="29"/>
        <v/>
      </c>
      <c r="AZ125" s="4" t="str">
        <f t="shared" si="29"/>
        <v/>
      </c>
      <c r="BA125" s="4" t="str">
        <f t="shared" si="29"/>
        <v/>
      </c>
      <c r="BB125" s="4" t="str">
        <f t="shared" si="23"/>
        <v/>
      </c>
      <c r="BC125" s="4" t="str">
        <f t="shared" si="32"/>
        <v/>
      </c>
      <c r="BD125" s="4" t="str">
        <f t="shared" si="32"/>
        <v/>
      </c>
      <c r="BE125" s="4" t="str">
        <f t="shared" si="32"/>
        <v/>
      </c>
      <c r="BF125" s="4" t="str">
        <f t="shared" si="32"/>
        <v/>
      </c>
      <c r="BG125" s="4" t="str">
        <f t="shared" si="32"/>
        <v/>
      </c>
      <c r="BH125" s="4" t="str">
        <f t="shared" si="32"/>
        <v/>
      </c>
      <c r="BI125" s="5" t="str">
        <f t="shared" si="32"/>
        <v/>
      </c>
    </row>
    <row r="126" spans="1:61" x14ac:dyDescent="0.25">
      <c r="A126">
        <v>542623</v>
      </c>
      <c r="B126" t="s">
        <v>14</v>
      </c>
      <c r="C126" t="s">
        <v>16</v>
      </c>
      <c r="D126">
        <v>13668</v>
      </c>
      <c r="E126">
        <v>141</v>
      </c>
      <c r="F126">
        <v>90</v>
      </c>
      <c r="G126">
        <v>20131</v>
      </c>
      <c r="H126" t="s">
        <v>0</v>
      </c>
      <c r="I126">
        <v>79551</v>
      </c>
      <c r="J126">
        <v>2519</v>
      </c>
      <c r="K126">
        <v>41380.959999999999</v>
      </c>
      <c r="L126">
        <v>39812.31</v>
      </c>
      <c r="M126">
        <v>1568.65</v>
      </c>
      <c r="N126" s="3" t="str">
        <f t="shared" si="27"/>
        <v/>
      </c>
      <c r="O126" s="4" t="str">
        <f t="shared" si="27"/>
        <v/>
      </c>
      <c r="P126" s="4" t="str">
        <f t="shared" si="27"/>
        <v/>
      </c>
      <c r="Q126" s="4" t="str">
        <f t="shared" si="27"/>
        <v/>
      </c>
      <c r="R126" s="4" t="str">
        <f t="shared" si="27"/>
        <v/>
      </c>
      <c r="S126" s="4" t="str">
        <f t="shared" si="27"/>
        <v/>
      </c>
      <c r="T126" s="4" t="str">
        <f t="shared" si="27"/>
        <v/>
      </c>
      <c r="U126" s="4" t="str">
        <f t="shared" si="27"/>
        <v/>
      </c>
      <c r="V126" s="4" t="str">
        <f t="shared" si="21"/>
        <v/>
      </c>
      <c r="W126" s="4" t="str">
        <f t="shared" si="30"/>
        <v/>
      </c>
      <c r="X126" s="4" t="str">
        <f t="shared" si="30"/>
        <v/>
      </c>
      <c r="Y126" s="4" t="str">
        <f t="shared" si="30"/>
        <v/>
      </c>
      <c r="Z126" s="4" t="str">
        <f t="shared" si="30"/>
        <v/>
      </c>
      <c r="AA126" s="4" t="str">
        <f t="shared" si="30"/>
        <v/>
      </c>
      <c r="AB126" s="4" t="str">
        <f t="shared" si="30"/>
        <v/>
      </c>
      <c r="AC126" s="5" t="str">
        <f t="shared" si="30"/>
        <v/>
      </c>
      <c r="AD126" s="3" t="str">
        <f t="shared" si="28"/>
        <v/>
      </c>
      <c r="AE126" s="4" t="str">
        <f t="shared" si="28"/>
        <v/>
      </c>
      <c r="AF126" s="4" t="str">
        <f t="shared" si="28"/>
        <v/>
      </c>
      <c r="AG126" s="4" t="str">
        <f t="shared" si="28"/>
        <v/>
      </c>
      <c r="AH126" s="4" t="str">
        <f t="shared" si="28"/>
        <v/>
      </c>
      <c r="AI126" s="4" t="str">
        <f t="shared" si="28"/>
        <v/>
      </c>
      <c r="AJ126" s="4" t="str">
        <f t="shared" si="28"/>
        <v/>
      </c>
      <c r="AK126" s="4" t="str">
        <f t="shared" si="28"/>
        <v/>
      </c>
      <c r="AL126" s="4" t="str">
        <f t="shared" si="22"/>
        <v/>
      </c>
      <c r="AM126" s="4" t="str">
        <f t="shared" si="31"/>
        <v/>
      </c>
      <c r="AN126" s="4" t="str">
        <f t="shared" si="31"/>
        <v/>
      </c>
      <c r="AO126" s="4" t="str">
        <f t="shared" si="31"/>
        <v/>
      </c>
      <c r="AP126" s="4" t="str">
        <f t="shared" si="31"/>
        <v/>
      </c>
      <c r="AQ126" s="4" t="str">
        <f t="shared" si="31"/>
        <v/>
      </c>
      <c r="AR126" s="4" t="str">
        <f t="shared" si="31"/>
        <v/>
      </c>
      <c r="AS126" s="5" t="str">
        <f t="shared" si="31"/>
        <v/>
      </c>
      <c r="AT126" s="3">
        <f t="shared" si="29"/>
        <v>1</v>
      </c>
      <c r="AU126" s="4" t="str">
        <f t="shared" si="29"/>
        <v/>
      </c>
      <c r="AV126" s="4" t="str">
        <f t="shared" si="29"/>
        <v/>
      </c>
      <c r="AW126" s="4" t="str">
        <f t="shared" si="29"/>
        <v/>
      </c>
      <c r="AX126" s="4" t="str">
        <f t="shared" si="29"/>
        <v/>
      </c>
      <c r="AY126" s="4" t="str">
        <f t="shared" si="29"/>
        <v/>
      </c>
      <c r="AZ126" s="4" t="str">
        <f t="shared" si="29"/>
        <v/>
      </c>
      <c r="BA126" s="4" t="str">
        <f t="shared" si="29"/>
        <v/>
      </c>
      <c r="BB126" s="4" t="str">
        <f t="shared" si="23"/>
        <v/>
      </c>
      <c r="BC126" s="4" t="str">
        <f t="shared" si="32"/>
        <v/>
      </c>
      <c r="BD126" s="4" t="str">
        <f t="shared" si="32"/>
        <v/>
      </c>
      <c r="BE126" s="4" t="str">
        <f t="shared" si="32"/>
        <v/>
      </c>
      <c r="BF126" s="4" t="str">
        <f t="shared" si="32"/>
        <v/>
      </c>
      <c r="BG126" s="4" t="str">
        <f t="shared" si="32"/>
        <v/>
      </c>
      <c r="BH126" s="4" t="str">
        <f t="shared" si="32"/>
        <v/>
      </c>
      <c r="BI126" s="5" t="str">
        <f t="shared" si="32"/>
        <v/>
      </c>
    </row>
    <row r="127" spans="1:61" x14ac:dyDescent="0.25">
      <c r="A127">
        <v>542624</v>
      </c>
      <c r="B127" t="s">
        <v>14</v>
      </c>
      <c r="C127" t="s">
        <v>16</v>
      </c>
      <c r="D127">
        <v>13668</v>
      </c>
      <c r="E127">
        <v>141</v>
      </c>
      <c r="F127">
        <v>90</v>
      </c>
      <c r="G127">
        <v>20132</v>
      </c>
      <c r="H127" t="s">
        <v>0</v>
      </c>
      <c r="I127">
        <v>68932</v>
      </c>
      <c r="J127">
        <v>2186</v>
      </c>
      <c r="K127">
        <v>31840.05</v>
      </c>
      <c r="L127">
        <v>30371.49</v>
      </c>
      <c r="M127">
        <v>1468.56</v>
      </c>
      <c r="N127" s="3" t="str">
        <f t="shared" si="27"/>
        <v/>
      </c>
      <c r="O127" s="4" t="str">
        <f t="shared" si="27"/>
        <v/>
      </c>
      <c r="P127" s="4" t="str">
        <f t="shared" si="27"/>
        <v/>
      </c>
      <c r="Q127" s="4" t="str">
        <f t="shared" si="27"/>
        <v/>
      </c>
      <c r="R127" s="4" t="str">
        <f t="shared" si="27"/>
        <v/>
      </c>
      <c r="S127" s="4" t="str">
        <f t="shared" si="27"/>
        <v/>
      </c>
      <c r="T127" s="4" t="str">
        <f t="shared" si="27"/>
        <v/>
      </c>
      <c r="U127" s="4" t="str">
        <f t="shared" si="27"/>
        <v/>
      </c>
      <c r="V127" s="4" t="str">
        <f t="shared" si="21"/>
        <v/>
      </c>
      <c r="W127" s="4" t="str">
        <f t="shared" si="30"/>
        <v/>
      </c>
      <c r="X127" s="4" t="str">
        <f t="shared" si="30"/>
        <v/>
      </c>
      <c r="Y127" s="4" t="str">
        <f t="shared" si="30"/>
        <v/>
      </c>
      <c r="Z127" s="4" t="str">
        <f t="shared" si="30"/>
        <v/>
      </c>
      <c r="AA127" s="4" t="str">
        <f t="shared" si="30"/>
        <v/>
      </c>
      <c r="AB127" s="4" t="str">
        <f t="shared" si="30"/>
        <v/>
      </c>
      <c r="AC127" s="5" t="str">
        <f t="shared" si="30"/>
        <v/>
      </c>
      <c r="AD127" s="3" t="str">
        <f t="shared" si="28"/>
        <v/>
      </c>
      <c r="AE127" s="4" t="str">
        <f t="shared" si="28"/>
        <v/>
      </c>
      <c r="AF127" s="4" t="str">
        <f t="shared" si="28"/>
        <v/>
      </c>
      <c r="AG127" s="4" t="str">
        <f t="shared" si="28"/>
        <v/>
      </c>
      <c r="AH127" s="4" t="str">
        <f t="shared" si="28"/>
        <v/>
      </c>
      <c r="AI127" s="4" t="str">
        <f t="shared" si="28"/>
        <v/>
      </c>
      <c r="AJ127" s="4" t="str">
        <f t="shared" si="28"/>
        <v/>
      </c>
      <c r="AK127" s="4" t="str">
        <f t="shared" si="28"/>
        <v/>
      </c>
      <c r="AL127" s="4" t="str">
        <f t="shared" si="22"/>
        <v/>
      </c>
      <c r="AM127" s="4" t="str">
        <f t="shared" si="31"/>
        <v/>
      </c>
      <c r="AN127" s="4" t="str">
        <f t="shared" si="31"/>
        <v/>
      </c>
      <c r="AO127" s="4" t="str">
        <f t="shared" si="31"/>
        <v/>
      </c>
      <c r="AP127" s="4" t="str">
        <f t="shared" si="31"/>
        <v/>
      </c>
      <c r="AQ127" s="4" t="str">
        <f t="shared" si="31"/>
        <v/>
      </c>
      <c r="AR127" s="4" t="str">
        <f t="shared" si="31"/>
        <v/>
      </c>
      <c r="AS127" s="5" t="str">
        <f t="shared" si="31"/>
        <v/>
      </c>
      <c r="AT127" s="3" t="str">
        <f t="shared" si="29"/>
        <v/>
      </c>
      <c r="AU127" s="4">
        <f t="shared" si="29"/>
        <v>1</v>
      </c>
      <c r="AV127" s="4" t="str">
        <f t="shared" si="29"/>
        <v/>
      </c>
      <c r="AW127" s="4" t="str">
        <f t="shared" si="29"/>
        <v/>
      </c>
      <c r="AX127" s="4" t="str">
        <f t="shared" si="29"/>
        <v/>
      </c>
      <c r="AY127" s="4" t="str">
        <f t="shared" si="29"/>
        <v/>
      </c>
      <c r="AZ127" s="4" t="str">
        <f t="shared" si="29"/>
        <v/>
      </c>
      <c r="BA127" s="4" t="str">
        <f t="shared" si="29"/>
        <v/>
      </c>
      <c r="BB127" s="4" t="str">
        <f t="shared" si="23"/>
        <v/>
      </c>
      <c r="BC127" s="4" t="str">
        <f t="shared" si="32"/>
        <v/>
      </c>
      <c r="BD127" s="4" t="str">
        <f t="shared" si="32"/>
        <v/>
      </c>
      <c r="BE127" s="4" t="str">
        <f t="shared" si="32"/>
        <v/>
      </c>
      <c r="BF127" s="4" t="str">
        <f t="shared" si="32"/>
        <v/>
      </c>
      <c r="BG127" s="4" t="str">
        <f t="shared" si="32"/>
        <v/>
      </c>
      <c r="BH127" s="4" t="str">
        <f t="shared" si="32"/>
        <v/>
      </c>
      <c r="BI127" s="5" t="str">
        <f t="shared" si="32"/>
        <v/>
      </c>
    </row>
    <row r="128" spans="1:61" x14ac:dyDescent="0.25">
      <c r="A128">
        <v>542625</v>
      </c>
      <c r="B128" t="s">
        <v>14</v>
      </c>
      <c r="C128" t="s">
        <v>16</v>
      </c>
      <c r="D128">
        <v>13668</v>
      </c>
      <c r="E128">
        <v>141</v>
      </c>
      <c r="F128">
        <v>90</v>
      </c>
      <c r="G128">
        <v>20133</v>
      </c>
      <c r="H128" t="s">
        <v>0</v>
      </c>
      <c r="I128">
        <v>49383</v>
      </c>
      <c r="J128">
        <v>1554</v>
      </c>
      <c r="K128">
        <v>20865.439999999999</v>
      </c>
      <c r="L128">
        <v>18725.27</v>
      </c>
      <c r="M128">
        <v>2140.17</v>
      </c>
      <c r="N128" s="3" t="str">
        <f t="shared" si="27"/>
        <v/>
      </c>
      <c r="O128" s="4" t="str">
        <f t="shared" si="27"/>
        <v/>
      </c>
      <c r="P128" s="4" t="str">
        <f t="shared" si="27"/>
        <v/>
      </c>
      <c r="Q128" s="4" t="str">
        <f t="shared" si="27"/>
        <v/>
      </c>
      <c r="R128" s="4" t="str">
        <f t="shared" si="27"/>
        <v/>
      </c>
      <c r="S128" s="4" t="str">
        <f t="shared" si="27"/>
        <v/>
      </c>
      <c r="T128" s="4" t="str">
        <f t="shared" si="27"/>
        <v/>
      </c>
      <c r="U128" s="4" t="str">
        <f t="shared" si="27"/>
        <v/>
      </c>
      <c r="V128" s="4" t="str">
        <f t="shared" si="21"/>
        <v/>
      </c>
      <c r="W128" s="4" t="str">
        <f t="shared" si="30"/>
        <v/>
      </c>
      <c r="X128" s="4" t="str">
        <f t="shared" si="30"/>
        <v/>
      </c>
      <c r="Y128" s="4" t="str">
        <f t="shared" si="30"/>
        <v/>
      </c>
      <c r="Z128" s="4" t="str">
        <f t="shared" si="30"/>
        <v/>
      </c>
      <c r="AA128" s="4" t="str">
        <f t="shared" si="30"/>
        <v/>
      </c>
      <c r="AB128" s="4" t="str">
        <f t="shared" si="30"/>
        <v/>
      </c>
      <c r="AC128" s="5" t="str">
        <f t="shared" si="30"/>
        <v/>
      </c>
      <c r="AD128" s="3" t="str">
        <f t="shared" si="28"/>
        <v/>
      </c>
      <c r="AE128" s="4" t="str">
        <f t="shared" si="28"/>
        <v/>
      </c>
      <c r="AF128" s="4" t="str">
        <f t="shared" si="28"/>
        <v/>
      </c>
      <c r="AG128" s="4" t="str">
        <f t="shared" si="28"/>
        <v/>
      </c>
      <c r="AH128" s="4" t="str">
        <f t="shared" si="28"/>
        <v/>
      </c>
      <c r="AI128" s="4" t="str">
        <f t="shared" si="28"/>
        <v/>
      </c>
      <c r="AJ128" s="4" t="str">
        <f t="shared" si="28"/>
        <v/>
      </c>
      <c r="AK128" s="4" t="str">
        <f t="shared" si="28"/>
        <v/>
      </c>
      <c r="AL128" s="4" t="str">
        <f t="shared" si="22"/>
        <v/>
      </c>
      <c r="AM128" s="4" t="str">
        <f t="shared" si="31"/>
        <v/>
      </c>
      <c r="AN128" s="4" t="str">
        <f t="shared" si="31"/>
        <v/>
      </c>
      <c r="AO128" s="4" t="str">
        <f t="shared" si="31"/>
        <v/>
      </c>
      <c r="AP128" s="4" t="str">
        <f t="shared" si="31"/>
        <v/>
      </c>
      <c r="AQ128" s="4" t="str">
        <f t="shared" si="31"/>
        <v/>
      </c>
      <c r="AR128" s="4" t="str">
        <f t="shared" si="31"/>
        <v/>
      </c>
      <c r="AS128" s="5" t="str">
        <f t="shared" si="31"/>
        <v/>
      </c>
      <c r="AT128" s="3" t="str">
        <f t="shared" si="29"/>
        <v/>
      </c>
      <c r="AU128" s="4" t="str">
        <f t="shared" si="29"/>
        <v/>
      </c>
      <c r="AV128" s="4">
        <f t="shared" si="29"/>
        <v>1</v>
      </c>
      <c r="AW128" s="4" t="str">
        <f t="shared" si="29"/>
        <v/>
      </c>
      <c r="AX128" s="4" t="str">
        <f t="shared" si="29"/>
        <v/>
      </c>
      <c r="AY128" s="4" t="str">
        <f t="shared" si="29"/>
        <v/>
      </c>
      <c r="AZ128" s="4" t="str">
        <f t="shared" si="29"/>
        <v/>
      </c>
      <c r="BA128" s="4" t="str">
        <f t="shared" si="29"/>
        <v/>
      </c>
      <c r="BB128" s="4" t="str">
        <f t="shared" si="23"/>
        <v/>
      </c>
      <c r="BC128" s="4" t="str">
        <f t="shared" si="32"/>
        <v/>
      </c>
      <c r="BD128" s="4" t="str">
        <f t="shared" si="32"/>
        <v/>
      </c>
      <c r="BE128" s="4" t="str">
        <f t="shared" si="32"/>
        <v/>
      </c>
      <c r="BF128" s="4" t="str">
        <f t="shared" si="32"/>
        <v/>
      </c>
      <c r="BG128" s="4" t="str">
        <f t="shared" si="32"/>
        <v/>
      </c>
      <c r="BH128" s="4" t="str">
        <f t="shared" si="32"/>
        <v/>
      </c>
      <c r="BI128" s="5" t="str">
        <f t="shared" si="32"/>
        <v/>
      </c>
    </row>
    <row r="129" spans="1:61" x14ac:dyDescent="0.25">
      <c r="A129">
        <v>542626</v>
      </c>
      <c r="B129" t="s">
        <v>14</v>
      </c>
      <c r="C129" t="s">
        <v>16</v>
      </c>
      <c r="D129">
        <v>13668</v>
      </c>
      <c r="E129">
        <v>141</v>
      </c>
      <c r="F129">
        <v>90</v>
      </c>
      <c r="G129">
        <v>20134</v>
      </c>
      <c r="H129" t="s">
        <v>0</v>
      </c>
      <c r="I129">
        <v>70467</v>
      </c>
      <c r="J129">
        <v>2365</v>
      </c>
      <c r="K129">
        <v>35691.33</v>
      </c>
      <c r="L129">
        <v>33464.74</v>
      </c>
      <c r="M129">
        <v>2226.59</v>
      </c>
      <c r="N129" s="3" t="str">
        <f t="shared" si="27"/>
        <v/>
      </c>
      <c r="O129" s="4" t="str">
        <f t="shared" si="27"/>
        <v/>
      </c>
      <c r="P129" s="4" t="str">
        <f t="shared" si="27"/>
        <v/>
      </c>
      <c r="Q129" s="4" t="str">
        <f t="shared" si="27"/>
        <v/>
      </c>
      <c r="R129" s="4" t="str">
        <f t="shared" si="27"/>
        <v/>
      </c>
      <c r="S129" s="4" t="str">
        <f t="shared" si="27"/>
        <v/>
      </c>
      <c r="T129" s="4" t="str">
        <f t="shared" si="27"/>
        <v/>
      </c>
      <c r="U129" s="4" t="str">
        <f t="shared" si="27"/>
        <v/>
      </c>
      <c r="V129" s="4" t="str">
        <f t="shared" si="21"/>
        <v/>
      </c>
      <c r="W129" s="4" t="str">
        <f t="shared" si="30"/>
        <v/>
      </c>
      <c r="X129" s="4" t="str">
        <f t="shared" si="30"/>
        <v/>
      </c>
      <c r="Y129" s="4" t="str">
        <f t="shared" si="30"/>
        <v/>
      </c>
      <c r="Z129" s="4" t="str">
        <f t="shared" si="30"/>
        <v/>
      </c>
      <c r="AA129" s="4" t="str">
        <f t="shared" si="30"/>
        <v/>
      </c>
      <c r="AB129" s="4" t="str">
        <f t="shared" si="30"/>
        <v/>
      </c>
      <c r="AC129" s="5" t="str">
        <f t="shared" si="30"/>
        <v/>
      </c>
      <c r="AD129" s="3" t="str">
        <f t="shared" si="28"/>
        <v/>
      </c>
      <c r="AE129" s="4" t="str">
        <f t="shared" si="28"/>
        <v/>
      </c>
      <c r="AF129" s="4" t="str">
        <f t="shared" si="28"/>
        <v/>
      </c>
      <c r="AG129" s="4" t="str">
        <f t="shared" si="28"/>
        <v/>
      </c>
      <c r="AH129" s="4" t="str">
        <f t="shared" si="28"/>
        <v/>
      </c>
      <c r="AI129" s="4" t="str">
        <f t="shared" si="28"/>
        <v/>
      </c>
      <c r="AJ129" s="4" t="str">
        <f t="shared" si="28"/>
        <v/>
      </c>
      <c r="AK129" s="4" t="str">
        <f t="shared" si="28"/>
        <v/>
      </c>
      <c r="AL129" s="4" t="str">
        <f t="shared" si="22"/>
        <v/>
      </c>
      <c r="AM129" s="4" t="str">
        <f t="shared" si="31"/>
        <v/>
      </c>
      <c r="AN129" s="4" t="str">
        <f t="shared" si="31"/>
        <v/>
      </c>
      <c r="AO129" s="4" t="str">
        <f t="shared" si="31"/>
        <v/>
      </c>
      <c r="AP129" s="4" t="str">
        <f t="shared" si="31"/>
        <v/>
      </c>
      <c r="AQ129" s="4" t="str">
        <f t="shared" si="31"/>
        <v/>
      </c>
      <c r="AR129" s="4" t="str">
        <f t="shared" si="31"/>
        <v/>
      </c>
      <c r="AS129" s="5" t="str">
        <f t="shared" si="31"/>
        <v/>
      </c>
      <c r="AT129" s="3" t="str">
        <f t="shared" si="29"/>
        <v/>
      </c>
      <c r="AU129" s="4" t="str">
        <f t="shared" si="29"/>
        <v/>
      </c>
      <c r="AV129" s="4" t="str">
        <f t="shared" si="29"/>
        <v/>
      </c>
      <c r="AW129" s="4">
        <f t="shared" si="29"/>
        <v>1</v>
      </c>
      <c r="AX129" s="4" t="str">
        <f t="shared" si="29"/>
        <v/>
      </c>
      <c r="AY129" s="4" t="str">
        <f t="shared" si="29"/>
        <v/>
      </c>
      <c r="AZ129" s="4" t="str">
        <f t="shared" si="29"/>
        <v/>
      </c>
      <c r="BA129" s="4" t="str">
        <f t="shared" si="29"/>
        <v/>
      </c>
      <c r="BB129" s="4" t="str">
        <f t="shared" si="23"/>
        <v/>
      </c>
      <c r="BC129" s="4" t="str">
        <f t="shared" si="32"/>
        <v/>
      </c>
      <c r="BD129" s="4" t="str">
        <f t="shared" si="32"/>
        <v/>
      </c>
      <c r="BE129" s="4" t="str">
        <f t="shared" si="32"/>
        <v/>
      </c>
      <c r="BF129" s="4" t="str">
        <f t="shared" si="32"/>
        <v/>
      </c>
      <c r="BG129" s="4" t="str">
        <f t="shared" si="32"/>
        <v/>
      </c>
      <c r="BH129" s="4" t="str">
        <f t="shared" si="32"/>
        <v/>
      </c>
      <c r="BI129" s="5" t="str">
        <f t="shared" si="32"/>
        <v/>
      </c>
    </row>
    <row r="130" spans="1:61" x14ac:dyDescent="0.25">
      <c r="A130">
        <v>669926</v>
      </c>
      <c r="B130" t="s">
        <v>15</v>
      </c>
      <c r="C130" t="s">
        <v>16</v>
      </c>
      <c r="D130">
        <v>13668</v>
      </c>
      <c r="E130">
        <v>141</v>
      </c>
      <c r="F130">
        <v>5</v>
      </c>
      <c r="G130">
        <v>20131</v>
      </c>
      <c r="H130" t="s">
        <v>0</v>
      </c>
      <c r="I130">
        <v>63979.03</v>
      </c>
      <c r="J130">
        <v>2141</v>
      </c>
      <c r="K130">
        <v>72395.8</v>
      </c>
      <c r="L130">
        <v>70359.42</v>
      </c>
      <c r="M130">
        <v>2036.38</v>
      </c>
      <c r="N130" s="3" t="str">
        <f t="shared" si="27"/>
        <v/>
      </c>
      <c r="O130" s="4" t="str">
        <f t="shared" si="27"/>
        <v/>
      </c>
      <c r="P130" s="4" t="str">
        <f t="shared" si="27"/>
        <v/>
      </c>
      <c r="Q130" s="4" t="str">
        <f t="shared" si="27"/>
        <v/>
      </c>
      <c r="R130" s="4" t="str">
        <f t="shared" si="27"/>
        <v/>
      </c>
      <c r="S130" s="4" t="str">
        <f t="shared" si="27"/>
        <v/>
      </c>
      <c r="T130" s="4" t="str">
        <f t="shared" si="27"/>
        <v/>
      </c>
      <c r="U130" s="4" t="str">
        <f t="shared" si="27"/>
        <v/>
      </c>
      <c r="V130" s="4" t="str">
        <f t="shared" si="21"/>
        <v/>
      </c>
      <c r="W130" s="4" t="str">
        <f t="shared" si="30"/>
        <v/>
      </c>
      <c r="X130" s="4" t="str">
        <f t="shared" si="30"/>
        <v/>
      </c>
      <c r="Y130" s="4" t="str">
        <f t="shared" si="30"/>
        <v/>
      </c>
      <c r="Z130" s="4" t="str">
        <f t="shared" si="30"/>
        <v/>
      </c>
      <c r="AA130" s="4" t="str">
        <f t="shared" si="30"/>
        <v/>
      </c>
      <c r="AB130" s="4" t="str">
        <f t="shared" si="30"/>
        <v/>
      </c>
      <c r="AC130" s="5" t="str">
        <f t="shared" si="30"/>
        <v/>
      </c>
      <c r="AD130" s="3" t="str">
        <f t="shared" si="28"/>
        <v/>
      </c>
      <c r="AE130" s="4" t="str">
        <f t="shared" si="28"/>
        <v/>
      </c>
      <c r="AF130" s="4" t="str">
        <f t="shared" si="28"/>
        <v/>
      </c>
      <c r="AG130" s="4" t="str">
        <f t="shared" si="28"/>
        <v/>
      </c>
      <c r="AH130" s="4" t="str">
        <f t="shared" si="28"/>
        <v/>
      </c>
      <c r="AI130" s="4" t="str">
        <f t="shared" si="28"/>
        <v/>
      </c>
      <c r="AJ130" s="4" t="str">
        <f t="shared" si="28"/>
        <v/>
      </c>
      <c r="AK130" s="4" t="str">
        <f t="shared" si="28"/>
        <v/>
      </c>
      <c r="AL130" s="4" t="str">
        <f t="shared" si="22"/>
        <v/>
      </c>
      <c r="AM130" s="4" t="str">
        <f t="shared" si="31"/>
        <v/>
      </c>
      <c r="AN130" s="4" t="str">
        <f t="shared" si="31"/>
        <v/>
      </c>
      <c r="AO130" s="4" t="str">
        <f t="shared" si="31"/>
        <v/>
      </c>
      <c r="AP130" s="4" t="str">
        <f t="shared" si="31"/>
        <v/>
      </c>
      <c r="AQ130" s="4" t="str">
        <f t="shared" si="31"/>
        <v/>
      </c>
      <c r="AR130" s="4" t="str">
        <f t="shared" si="31"/>
        <v/>
      </c>
      <c r="AS130" s="5" t="str">
        <f t="shared" si="31"/>
        <v/>
      </c>
      <c r="AT130" s="3" t="str">
        <f t="shared" si="29"/>
        <v/>
      </c>
      <c r="AU130" s="4" t="str">
        <f t="shared" si="29"/>
        <v/>
      </c>
      <c r="AV130" s="4" t="str">
        <f t="shared" si="29"/>
        <v/>
      </c>
      <c r="AW130" s="4" t="str">
        <f t="shared" si="29"/>
        <v/>
      </c>
      <c r="AX130" s="4">
        <f t="shared" si="29"/>
        <v>1</v>
      </c>
      <c r="AY130" s="4" t="str">
        <f t="shared" si="29"/>
        <v/>
      </c>
      <c r="AZ130" s="4" t="str">
        <f t="shared" si="29"/>
        <v/>
      </c>
      <c r="BA130" s="4" t="str">
        <f t="shared" si="29"/>
        <v/>
      </c>
      <c r="BB130" s="4" t="str">
        <f t="shared" si="23"/>
        <v/>
      </c>
      <c r="BC130" s="4" t="str">
        <f t="shared" si="32"/>
        <v/>
      </c>
      <c r="BD130" s="4" t="str">
        <f t="shared" si="32"/>
        <v/>
      </c>
      <c r="BE130" s="4" t="str">
        <f t="shared" si="32"/>
        <v/>
      </c>
      <c r="BF130" s="4" t="str">
        <f t="shared" si="32"/>
        <v/>
      </c>
      <c r="BG130" s="4" t="str">
        <f t="shared" si="32"/>
        <v/>
      </c>
      <c r="BH130" s="4" t="str">
        <f t="shared" si="32"/>
        <v/>
      </c>
      <c r="BI130" s="5" t="str">
        <f t="shared" si="32"/>
        <v/>
      </c>
    </row>
    <row r="131" spans="1:61" x14ac:dyDescent="0.25">
      <c r="A131">
        <v>669927</v>
      </c>
      <c r="B131" t="s">
        <v>15</v>
      </c>
      <c r="C131" t="s">
        <v>16</v>
      </c>
      <c r="D131">
        <v>13668</v>
      </c>
      <c r="E131">
        <v>141</v>
      </c>
      <c r="F131">
        <v>5</v>
      </c>
      <c r="G131">
        <v>20132</v>
      </c>
      <c r="H131" t="s">
        <v>0</v>
      </c>
      <c r="I131">
        <v>92137</v>
      </c>
      <c r="J131">
        <v>3060</v>
      </c>
      <c r="K131">
        <v>71538.69</v>
      </c>
      <c r="L131">
        <v>70332.11</v>
      </c>
      <c r="M131">
        <v>1206.58</v>
      </c>
      <c r="N131" s="3" t="str">
        <f t="shared" si="27"/>
        <v/>
      </c>
      <c r="O131" s="4" t="str">
        <f t="shared" si="27"/>
        <v/>
      </c>
      <c r="P131" s="4" t="str">
        <f t="shared" si="27"/>
        <v/>
      </c>
      <c r="Q131" s="4" t="str">
        <f t="shared" si="27"/>
        <v/>
      </c>
      <c r="R131" s="4" t="str">
        <f t="shared" si="27"/>
        <v/>
      </c>
      <c r="S131" s="4" t="str">
        <f t="shared" si="27"/>
        <v/>
      </c>
      <c r="T131" s="4" t="str">
        <f t="shared" si="27"/>
        <v/>
      </c>
      <c r="U131" s="4" t="str">
        <f t="shared" si="27"/>
        <v/>
      </c>
      <c r="V131" s="4" t="str">
        <f t="shared" si="21"/>
        <v/>
      </c>
      <c r="W131" s="4" t="str">
        <f t="shared" si="30"/>
        <v/>
      </c>
      <c r="X131" s="4" t="str">
        <f t="shared" si="30"/>
        <v/>
      </c>
      <c r="Y131" s="4" t="str">
        <f t="shared" si="30"/>
        <v/>
      </c>
      <c r="Z131" s="4" t="str">
        <f t="shared" si="30"/>
        <v/>
      </c>
      <c r="AA131" s="4" t="str">
        <f t="shared" si="30"/>
        <v/>
      </c>
      <c r="AB131" s="4" t="str">
        <f t="shared" si="30"/>
        <v/>
      </c>
      <c r="AC131" s="5" t="str">
        <f t="shared" si="30"/>
        <v/>
      </c>
      <c r="AD131" s="3" t="str">
        <f t="shared" si="28"/>
        <v/>
      </c>
      <c r="AE131" s="4" t="str">
        <f t="shared" si="28"/>
        <v/>
      </c>
      <c r="AF131" s="4" t="str">
        <f t="shared" si="28"/>
        <v/>
      </c>
      <c r="AG131" s="4" t="str">
        <f t="shared" si="28"/>
        <v/>
      </c>
      <c r="AH131" s="4" t="str">
        <f t="shared" si="28"/>
        <v/>
      </c>
      <c r="AI131" s="4" t="str">
        <f t="shared" si="28"/>
        <v/>
      </c>
      <c r="AJ131" s="4" t="str">
        <f t="shared" si="28"/>
        <v/>
      </c>
      <c r="AK131" s="4" t="str">
        <f t="shared" si="28"/>
        <v/>
      </c>
      <c r="AL131" s="4" t="str">
        <f t="shared" si="22"/>
        <v/>
      </c>
      <c r="AM131" s="4" t="str">
        <f t="shared" si="31"/>
        <v/>
      </c>
      <c r="AN131" s="4" t="str">
        <f t="shared" si="31"/>
        <v/>
      </c>
      <c r="AO131" s="4" t="str">
        <f t="shared" si="31"/>
        <v/>
      </c>
      <c r="AP131" s="4" t="str">
        <f t="shared" si="31"/>
        <v/>
      </c>
      <c r="AQ131" s="4" t="str">
        <f t="shared" si="31"/>
        <v/>
      </c>
      <c r="AR131" s="4" t="str">
        <f t="shared" si="31"/>
        <v/>
      </c>
      <c r="AS131" s="5" t="str">
        <f t="shared" si="31"/>
        <v/>
      </c>
      <c r="AT131" s="3" t="str">
        <f t="shared" si="29"/>
        <v/>
      </c>
      <c r="AU131" s="4" t="str">
        <f t="shared" si="29"/>
        <v/>
      </c>
      <c r="AV131" s="4" t="str">
        <f t="shared" si="29"/>
        <v/>
      </c>
      <c r="AW131" s="4" t="str">
        <f t="shared" si="29"/>
        <v/>
      </c>
      <c r="AX131" s="4" t="str">
        <f t="shared" si="29"/>
        <v/>
      </c>
      <c r="AY131" s="4">
        <f t="shared" si="29"/>
        <v>1</v>
      </c>
      <c r="AZ131" s="4" t="str">
        <f t="shared" si="29"/>
        <v/>
      </c>
      <c r="BA131" s="4" t="str">
        <f t="shared" si="29"/>
        <v/>
      </c>
      <c r="BB131" s="4" t="str">
        <f t="shared" si="23"/>
        <v/>
      </c>
      <c r="BC131" s="4" t="str">
        <f t="shared" si="32"/>
        <v/>
      </c>
      <c r="BD131" s="4" t="str">
        <f t="shared" si="32"/>
        <v/>
      </c>
      <c r="BE131" s="4" t="str">
        <f t="shared" si="32"/>
        <v/>
      </c>
      <c r="BF131" s="4" t="str">
        <f t="shared" si="32"/>
        <v/>
      </c>
      <c r="BG131" s="4" t="str">
        <f t="shared" si="32"/>
        <v/>
      </c>
      <c r="BH131" s="4" t="str">
        <f t="shared" si="32"/>
        <v/>
      </c>
      <c r="BI131" s="5" t="str">
        <f t="shared" si="32"/>
        <v/>
      </c>
    </row>
    <row r="132" spans="1:61" x14ac:dyDescent="0.25">
      <c r="A132">
        <v>669928</v>
      </c>
      <c r="B132" t="s">
        <v>15</v>
      </c>
      <c r="C132" t="s">
        <v>16</v>
      </c>
      <c r="D132">
        <v>13668</v>
      </c>
      <c r="E132">
        <v>141</v>
      </c>
      <c r="F132">
        <v>5</v>
      </c>
      <c r="G132">
        <v>20133</v>
      </c>
      <c r="H132" t="s">
        <v>0</v>
      </c>
      <c r="I132">
        <v>85159</v>
      </c>
      <c r="J132">
        <v>2839</v>
      </c>
      <c r="K132">
        <v>58122.43</v>
      </c>
      <c r="L132">
        <v>57742.69</v>
      </c>
      <c r="M132">
        <v>379.74</v>
      </c>
      <c r="N132" s="3" t="str">
        <f t="shared" si="27"/>
        <v/>
      </c>
      <c r="O132" s="4" t="str">
        <f t="shared" si="27"/>
        <v/>
      </c>
      <c r="P132" s="4" t="str">
        <f t="shared" si="27"/>
        <v/>
      </c>
      <c r="Q132" s="4" t="str">
        <f t="shared" si="27"/>
        <v/>
      </c>
      <c r="R132" s="4" t="str">
        <f t="shared" si="27"/>
        <v/>
      </c>
      <c r="S132" s="4" t="str">
        <f t="shared" si="27"/>
        <v/>
      </c>
      <c r="T132" s="4" t="str">
        <f t="shared" si="27"/>
        <v/>
      </c>
      <c r="U132" s="4" t="str">
        <f t="shared" si="27"/>
        <v/>
      </c>
      <c r="V132" s="4" t="str">
        <f t="shared" si="21"/>
        <v/>
      </c>
      <c r="W132" s="4" t="str">
        <f t="shared" si="30"/>
        <v/>
      </c>
      <c r="X132" s="4" t="str">
        <f t="shared" si="30"/>
        <v/>
      </c>
      <c r="Y132" s="4" t="str">
        <f t="shared" si="30"/>
        <v/>
      </c>
      <c r="Z132" s="4" t="str">
        <f t="shared" si="30"/>
        <v/>
      </c>
      <c r="AA132" s="4" t="str">
        <f t="shared" si="30"/>
        <v/>
      </c>
      <c r="AB132" s="4" t="str">
        <f t="shared" si="30"/>
        <v/>
      </c>
      <c r="AC132" s="5" t="str">
        <f t="shared" si="30"/>
        <v/>
      </c>
      <c r="AD132" s="3" t="str">
        <f t="shared" si="28"/>
        <v/>
      </c>
      <c r="AE132" s="4" t="str">
        <f t="shared" si="28"/>
        <v/>
      </c>
      <c r="AF132" s="4" t="str">
        <f t="shared" si="28"/>
        <v/>
      </c>
      <c r="AG132" s="4" t="str">
        <f t="shared" si="28"/>
        <v/>
      </c>
      <c r="AH132" s="4" t="str">
        <f t="shared" si="28"/>
        <v/>
      </c>
      <c r="AI132" s="4" t="str">
        <f t="shared" si="28"/>
        <v/>
      </c>
      <c r="AJ132" s="4" t="str">
        <f t="shared" si="28"/>
        <v/>
      </c>
      <c r="AK132" s="4" t="str">
        <f t="shared" si="28"/>
        <v/>
      </c>
      <c r="AL132" s="4" t="str">
        <f t="shared" si="22"/>
        <v/>
      </c>
      <c r="AM132" s="4" t="str">
        <f t="shared" si="31"/>
        <v/>
      </c>
      <c r="AN132" s="4" t="str">
        <f t="shared" si="31"/>
        <v/>
      </c>
      <c r="AO132" s="4" t="str">
        <f t="shared" si="31"/>
        <v/>
      </c>
      <c r="AP132" s="4" t="str">
        <f t="shared" si="31"/>
        <v/>
      </c>
      <c r="AQ132" s="4" t="str">
        <f t="shared" si="31"/>
        <v/>
      </c>
      <c r="AR132" s="4" t="str">
        <f t="shared" si="31"/>
        <v/>
      </c>
      <c r="AS132" s="5" t="str">
        <f t="shared" si="31"/>
        <v/>
      </c>
      <c r="AT132" s="3" t="str">
        <f t="shared" si="29"/>
        <v/>
      </c>
      <c r="AU132" s="4" t="str">
        <f t="shared" si="29"/>
        <v/>
      </c>
      <c r="AV132" s="4" t="str">
        <f t="shared" si="29"/>
        <v/>
      </c>
      <c r="AW132" s="4" t="str">
        <f t="shared" si="29"/>
        <v/>
      </c>
      <c r="AX132" s="4" t="str">
        <f t="shared" si="29"/>
        <v/>
      </c>
      <c r="AY132" s="4" t="str">
        <f t="shared" si="29"/>
        <v/>
      </c>
      <c r="AZ132" s="4">
        <f t="shared" si="29"/>
        <v>1</v>
      </c>
      <c r="BA132" s="4" t="str">
        <f t="shared" si="29"/>
        <v/>
      </c>
      <c r="BB132" s="4" t="str">
        <f t="shared" si="23"/>
        <v/>
      </c>
      <c r="BC132" s="4" t="str">
        <f t="shared" si="32"/>
        <v/>
      </c>
      <c r="BD132" s="4" t="str">
        <f t="shared" si="32"/>
        <v/>
      </c>
      <c r="BE132" s="4" t="str">
        <f t="shared" si="32"/>
        <v/>
      </c>
      <c r="BF132" s="4" t="str">
        <f t="shared" si="32"/>
        <v/>
      </c>
      <c r="BG132" s="4" t="str">
        <f t="shared" si="32"/>
        <v/>
      </c>
      <c r="BH132" s="4" t="str">
        <f t="shared" si="32"/>
        <v/>
      </c>
      <c r="BI132" s="5" t="str">
        <f t="shared" si="32"/>
        <v/>
      </c>
    </row>
    <row r="133" spans="1:61" x14ac:dyDescent="0.25">
      <c r="A133">
        <v>669929</v>
      </c>
      <c r="B133" t="s">
        <v>15</v>
      </c>
      <c r="C133" t="s">
        <v>16</v>
      </c>
      <c r="D133">
        <v>13668</v>
      </c>
      <c r="E133">
        <v>141</v>
      </c>
      <c r="F133">
        <v>5</v>
      </c>
      <c r="G133">
        <v>20134</v>
      </c>
      <c r="H133" t="s">
        <v>0</v>
      </c>
      <c r="I133">
        <v>130015</v>
      </c>
      <c r="J133">
        <v>4290</v>
      </c>
      <c r="K133">
        <v>89231.26</v>
      </c>
      <c r="L133">
        <v>88386.39</v>
      </c>
      <c r="M133">
        <v>844.87</v>
      </c>
      <c r="N133" s="3" t="str">
        <f t="shared" si="27"/>
        <v/>
      </c>
      <c r="O133" s="4" t="str">
        <f t="shared" si="27"/>
        <v/>
      </c>
      <c r="P133" s="4" t="str">
        <f t="shared" si="27"/>
        <v/>
      </c>
      <c r="Q133" s="4" t="str">
        <f t="shared" si="27"/>
        <v/>
      </c>
      <c r="R133" s="4" t="str">
        <f t="shared" si="27"/>
        <v/>
      </c>
      <c r="S133" s="4" t="str">
        <f t="shared" si="27"/>
        <v/>
      </c>
      <c r="T133" s="4" t="str">
        <f t="shared" si="27"/>
        <v/>
      </c>
      <c r="U133" s="4" t="str">
        <f t="shared" si="27"/>
        <v/>
      </c>
      <c r="V133" s="4" t="str">
        <f t="shared" si="21"/>
        <v/>
      </c>
      <c r="W133" s="4" t="str">
        <f t="shared" si="30"/>
        <v/>
      </c>
      <c r="X133" s="4" t="str">
        <f t="shared" si="30"/>
        <v/>
      </c>
      <c r="Y133" s="4" t="str">
        <f t="shared" si="30"/>
        <v/>
      </c>
      <c r="Z133" s="4" t="str">
        <f t="shared" si="30"/>
        <v/>
      </c>
      <c r="AA133" s="4" t="str">
        <f t="shared" si="30"/>
        <v/>
      </c>
      <c r="AB133" s="4" t="str">
        <f t="shared" si="30"/>
        <v/>
      </c>
      <c r="AC133" s="5" t="str">
        <f t="shared" si="30"/>
        <v/>
      </c>
      <c r="AD133" s="3" t="str">
        <f t="shared" si="28"/>
        <v/>
      </c>
      <c r="AE133" s="4" t="str">
        <f t="shared" si="28"/>
        <v/>
      </c>
      <c r="AF133" s="4" t="str">
        <f t="shared" si="28"/>
        <v/>
      </c>
      <c r="AG133" s="4" t="str">
        <f t="shared" si="28"/>
        <v/>
      </c>
      <c r="AH133" s="4" t="str">
        <f t="shared" si="28"/>
        <v/>
      </c>
      <c r="AI133" s="4" t="str">
        <f t="shared" si="28"/>
        <v/>
      </c>
      <c r="AJ133" s="4" t="str">
        <f t="shared" si="28"/>
        <v/>
      </c>
      <c r="AK133" s="4" t="str">
        <f t="shared" si="28"/>
        <v/>
      </c>
      <c r="AL133" s="4" t="str">
        <f t="shared" si="22"/>
        <v/>
      </c>
      <c r="AM133" s="4" t="str">
        <f t="shared" si="31"/>
        <v/>
      </c>
      <c r="AN133" s="4" t="str">
        <f t="shared" si="31"/>
        <v/>
      </c>
      <c r="AO133" s="4" t="str">
        <f t="shared" si="31"/>
        <v/>
      </c>
      <c r="AP133" s="4" t="str">
        <f t="shared" si="31"/>
        <v/>
      </c>
      <c r="AQ133" s="4" t="str">
        <f t="shared" si="31"/>
        <v/>
      </c>
      <c r="AR133" s="4" t="str">
        <f t="shared" si="31"/>
        <v/>
      </c>
      <c r="AS133" s="5" t="str">
        <f t="shared" si="31"/>
        <v/>
      </c>
      <c r="AT133" s="3" t="str">
        <f t="shared" si="29"/>
        <v/>
      </c>
      <c r="AU133" s="4" t="str">
        <f t="shared" si="29"/>
        <v/>
      </c>
      <c r="AV133" s="4" t="str">
        <f t="shared" si="29"/>
        <v/>
      </c>
      <c r="AW133" s="4" t="str">
        <f t="shared" si="29"/>
        <v/>
      </c>
      <c r="AX133" s="4" t="str">
        <f t="shared" si="29"/>
        <v/>
      </c>
      <c r="AY133" s="4" t="str">
        <f t="shared" si="29"/>
        <v/>
      </c>
      <c r="AZ133" s="4" t="str">
        <f t="shared" si="29"/>
        <v/>
      </c>
      <c r="BA133" s="4">
        <f t="shared" si="29"/>
        <v>1</v>
      </c>
      <c r="BB133" s="4" t="str">
        <f t="shared" si="23"/>
        <v/>
      </c>
      <c r="BC133" s="4" t="str">
        <f t="shared" si="32"/>
        <v/>
      </c>
      <c r="BD133" s="4" t="str">
        <f t="shared" si="32"/>
        <v/>
      </c>
      <c r="BE133" s="4" t="str">
        <f t="shared" si="32"/>
        <v/>
      </c>
      <c r="BF133" s="4" t="str">
        <f t="shared" si="32"/>
        <v/>
      </c>
      <c r="BG133" s="4" t="str">
        <f t="shared" si="32"/>
        <v/>
      </c>
      <c r="BH133" s="4" t="str">
        <f t="shared" si="32"/>
        <v/>
      </c>
      <c r="BI133" s="5" t="str">
        <f t="shared" si="32"/>
        <v/>
      </c>
    </row>
    <row r="134" spans="1:61" x14ac:dyDescent="0.25">
      <c r="A134">
        <v>669930</v>
      </c>
      <c r="B134" t="s">
        <v>15</v>
      </c>
      <c r="C134" t="s">
        <v>16</v>
      </c>
      <c r="D134">
        <v>13668</v>
      </c>
      <c r="E134">
        <v>141</v>
      </c>
      <c r="F134">
        <v>30</v>
      </c>
      <c r="G134">
        <v>20131</v>
      </c>
      <c r="H134" t="s">
        <v>0</v>
      </c>
      <c r="I134">
        <v>34717.03</v>
      </c>
      <c r="J134">
        <v>1171</v>
      </c>
      <c r="K134">
        <v>45090.98</v>
      </c>
      <c r="L134">
        <v>44073.02</v>
      </c>
      <c r="M134">
        <v>1017.96</v>
      </c>
      <c r="N134" s="3" t="str">
        <f t="shared" si="27"/>
        <v/>
      </c>
      <c r="O134" s="4" t="str">
        <f t="shared" si="27"/>
        <v/>
      </c>
      <c r="P134" s="4" t="str">
        <f t="shared" si="27"/>
        <v/>
      </c>
      <c r="Q134" s="4" t="str">
        <f t="shared" si="27"/>
        <v/>
      </c>
      <c r="R134" s="4" t="str">
        <f t="shared" si="27"/>
        <v/>
      </c>
      <c r="S134" s="4" t="str">
        <f t="shared" si="27"/>
        <v/>
      </c>
      <c r="T134" s="4" t="str">
        <f t="shared" si="27"/>
        <v/>
      </c>
      <c r="U134" s="4" t="str">
        <f t="shared" si="27"/>
        <v/>
      </c>
      <c r="V134" s="4" t="str">
        <f t="shared" si="21"/>
        <v/>
      </c>
      <c r="W134" s="4" t="str">
        <f t="shared" si="30"/>
        <v/>
      </c>
      <c r="X134" s="4" t="str">
        <f t="shared" si="30"/>
        <v/>
      </c>
      <c r="Y134" s="4" t="str">
        <f t="shared" si="30"/>
        <v/>
      </c>
      <c r="Z134" s="4" t="str">
        <f t="shared" si="30"/>
        <v/>
      </c>
      <c r="AA134" s="4" t="str">
        <f t="shared" si="30"/>
        <v/>
      </c>
      <c r="AB134" s="4" t="str">
        <f t="shared" si="30"/>
        <v/>
      </c>
      <c r="AC134" s="5" t="str">
        <f t="shared" si="30"/>
        <v/>
      </c>
      <c r="AD134" s="3" t="str">
        <f t="shared" si="28"/>
        <v/>
      </c>
      <c r="AE134" s="4" t="str">
        <f t="shared" si="28"/>
        <v/>
      </c>
      <c r="AF134" s="4" t="str">
        <f t="shared" si="28"/>
        <v/>
      </c>
      <c r="AG134" s="4" t="str">
        <f t="shared" si="28"/>
        <v/>
      </c>
      <c r="AH134" s="4" t="str">
        <f t="shared" si="28"/>
        <v/>
      </c>
      <c r="AI134" s="4" t="str">
        <f t="shared" si="28"/>
        <v/>
      </c>
      <c r="AJ134" s="4" t="str">
        <f t="shared" si="28"/>
        <v/>
      </c>
      <c r="AK134" s="4" t="str">
        <f t="shared" si="28"/>
        <v/>
      </c>
      <c r="AL134" s="4" t="str">
        <f t="shared" si="22"/>
        <v/>
      </c>
      <c r="AM134" s="4" t="str">
        <f t="shared" si="31"/>
        <v/>
      </c>
      <c r="AN134" s="4" t="str">
        <f t="shared" si="31"/>
        <v/>
      </c>
      <c r="AO134" s="4" t="str">
        <f t="shared" si="31"/>
        <v/>
      </c>
      <c r="AP134" s="4" t="str">
        <f t="shared" si="31"/>
        <v/>
      </c>
      <c r="AQ134" s="4" t="str">
        <f t="shared" si="31"/>
        <v/>
      </c>
      <c r="AR134" s="4" t="str">
        <f t="shared" si="31"/>
        <v/>
      </c>
      <c r="AS134" s="5" t="str">
        <f t="shared" si="31"/>
        <v/>
      </c>
      <c r="AT134" s="3" t="str">
        <f t="shared" si="29"/>
        <v/>
      </c>
      <c r="AU134" s="4" t="str">
        <f t="shared" si="29"/>
        <v/>
      </c>
      <c r="AV134" s="4" t="str">
        <f t="shared" si="29"/>
        <v/>
      </c>
      <c r="AW134" s="4" t="str">
        <f t="shared" si="29"/>
        <v/>
      </c>
      <c r="AX134" s="4">
        <f t="shared" si="29"/>
        <v>1</v>
      </c>
      <c r="AY134" s="4" t="str">
        <f t="shared" si="29"/>
        <v/>
      </c>
      <c r="AZ134" s="4" t="str">
        <f t="shared" si="29"/>
        <v/>
      </c>
      <c r="BA134" s="4" t="str">
        <f t="shared" si="29"/>
        <v/>
      </c>
      <c r="BB134" s="4" t="str">
        <f t="shared" si="23"/>
        <v/>
      </c>
      <c r="BC134" s="4" t="str">
        <f t="shared" si="32"/>
        <v/>
      </c>
      <c r="BD134" s="4" t="str">
        <f t="shared" si="32"/>
        <v/>
      </c>
      <c r="BE134" s="4" t="str">
        <f t="shared" si="32"/>
        <v/>
      </c>
      <c r="BF134" s="4" t="str">
        <f t="shared" si="32"/>
        <v/>
      </c>
      <c r="BG134" s="4" t="str">
        <f t="shared" si="32"/>
        <v/>
      </c>
      <c r="BH134" s="4" t="str">
        <f t="shared" si="32"/>
        <v/>
      </c>
      <c r="BI134" s="5" t="str">
        <f t="shared" si="32"/>
        <v/>
      </c>
    </row>
    <row r="135" spans="1:61" x14ac:dyDescent="0.25">
      <c r="A135">
        <v>669931</v>
      </c>
      <c r="B135" t="s">
        <v>15</v>
      </c>
      <c r="C135" t="s">
        <v>16</v>
      </c>
      <c r="D135">
        <v>13668</v>
      </c>
      <c r="E135">
        <v>141</v>
      </c>
      <c r="F135">
        <v>30</v>
      </c>
      <c r="G135">
        <v>20132</v>
      </c>
      <c r="H135" t="s">
        <v>0</v>
      </c>
      <c r="I135">
        <v>49146</v>
      </c>
      <c r="J135">
        <v>1644</v>
      </c>
      <c r="K135">
        <v>38414.42</v>
      </c>
      <c r="L135">
        <v>38085.03</v>
      </c>
      <c r="M135">
        <v>329.39</v>
      </c>
      <c r="N135" s="3" t="str">
        <f t="shared" si="27"/>
        <v/>
      </c>
      <c r="O135" s="4" t="str">
        <f t="shared" si="27"/>
        <v/>
      </c>
      <c r="P135" s="4" t="str">
        <f t="shared" si="27"/>
        <v/>
      </c>
      <c r="Q135" s="4" t="str">
        <f t="shared" si="27"/>
        <v/>
      </c>
      <c r="R135" s="4" t="str">
        <f t="shared" si="27"/>
        <v/>
      </c>
      <c r="S135" s="4" t="str">
        <f t="shared" si="27"/>
        <v/>
      </c>
      <c r="T135" s="4" t="str">
        <f t="shared" si="27"/>
        <v/>
      </c>
      <c r="U135" s="4" t="str">
        <f t="shared" si="27"/>
        <v/>
      </c>
      <c r="V135" s="4" t="str">
        <f t="shared" si="21"/>
        <v/>
      </c>
      <c r="W135" s="4" t="str">
        <f t="shared" si="30"/>
        <v/>
      </c>
      <c r="X135" s="4" t="str">
        <f t="shared" si="30"/>
        <v/>
      </c>
      <c r="Y135" s="4" t="str">
        <f t="shared" si="30"/>
        <v/>
      </c>
      <c r="Z135" s="4" t="str">
        <f t="shared" si="30"/>
        <v/>
      </c>
      <c r="AA135" s="4" t="str">
        <f t="shared" si="30"/>
        <v/>
      </c>
      <c r="AB135" s="4" t="str">
        <f t="shared" si="30"/>
        <v/>
      </c>
      <c r="AC135" s="5" t="str">
        <f t="shared" si="30"/>
        <v/>
      </c>
      <c r="AD135" s="3" t="str">
        <f t="shared" si="28"/>
        <v/>
      </c>
      <c r="AE135" s="4" t="str">
        <f t="shared" si="28"/>
        <v/>
      </c>
      <c r="AF135" s="4" t="str">
        <f t="shared" si="28"/>
        <v/>
      </c>
      <c r="AG135" s="4" t="str">
        <f t="shared" si="28"/>
        <v/>
      </c>
      <c r="AH135" s="4" t="str">
        <f t="shared" si="28"/>
        <v/>
      </c>
      <c r="AI135" s="4" t="str">
        <f t="shared" si="28"/>
        <v/>
      </c>
      <c r="AJ135" s="4" t="str">
        <f t="shared" si="28"/>
        <v/>
      </c>
      <c r="AK135" s="4" t="str">
        <f t="shared" si="28"/>
        <v/>
      </c>
      <c r="AL135" s="4" t="str">
        <f t="shared" si="22"/>
        <v/>
      </c>
      <c r="AM135" s="4" t="str">
        <f t="shared" si="31"/>
        <v/>
      </c>
      <c r="AN135" s="4" t="str">
        <f t="shared" si="31"/>
        <v/>
      </c>
      <c r="AO135" s="4" t="str">
        <f t="shared" si="31"/>
        <v/>
      </c>
      <c r="AP135" s="4" t="str">
        <f t="shared" si="31"/>
        <v/>
      </c>
      <c r="AQ135" s="4" t="str">
        <f t="shared" si="31"/>
        <v/>
      </c>
      <c r="AR135" s="4" t="str">
        <f t="shared" si="31"/>
        <v/>
      </c>
      <c r="AS135" s="5" t="str">
        <f t="shared" si="31"/>
        <v/>
      </c>
      <c r="AT135" s="3" t="str">
        <f t="shared" si="29"/>
        <v/>
      </c>
      <c r="AU135" s="4" t="str">
        <f t="shared" si="29"/>
        <v/>
      </c>
      <c r="AV135" s="4" t="str">
        <f t="shared" si="29"/>
        <v/>
      </c>
      <c r="AW135" s="4" t="str">
        <f t="shared" si="29"/>
        <v/>
      </c>
      <c r="AX135" s="4" t="str">
        <f t="shared" si="29"/>
        <v/>
      </c>
      <c r="AY135" s="4">
        <f t="shared" si="29"/>
        <v>1</v>
      </c>
      <c r="AZ135" s="4" t="str">
        <f t="shared" si="29"/>
        <v/>
      </c>
      <c r="BA135" s="4" t="str">
        <f t="shared" si="29"/>
        <v/>
      </c>
      <c r="BB135" s="4" t="str">
        <f t="shared" si="23"/>
        <v/>
      </c>
      <c r="BC135" s="4" t="str">
        <f t="shared" si="32"/>
        <v/>
      </c>
      <c r="BD135" s="4" t="str">
        <f t="shared" si="32"/>
        <v/>
      </c>
      <c r="BE135" s="4" t="str">
        <f t="shared" si="32"/>
        <v/>
      </c>
      <c r="BF135" s="4" t="str">
        <f t="shared" si="32"/>
        <v/>
      </c>
      <c r="BG135" s="4" t="str">
        <f t="shared" si="32"/>
        <v/>
      </c>
      <c r="BH135" s="4" t="str">
        <f t="shared" si="32"/>
        <v/>
      </c>
      <c r="BI135" s="5" t="str">
        <f t="shared" si="32"/>
        <v/>
      </c>
    </row>
    <row r="136" spans="1:61" x14ac:dyDescent="0.25">
      <c r="A136">
        <v>669932</v>
      </c>
      <c r="B136" t="s">
        <v>15</v>
      </c>
      <c r="C136" t="s">
        <v>16</v>
      </c>
      <c r="D136">
        <v>13668</v>
      </c>
      <c r="E136">
        <v>141</v>
      </c>
      <c r="F136">
        <v>30</v>
      </c>
      <c r="G136">
        <v>20133</v>
      </c>
      <c r="H136" t="s">
        <v>0</v>
      </c>
      <c r="I136">
        <v>49731</v>
      </c>
      <c r="J136">
        <v>1683</v>
      </c>
      <c r="K136">
        <v>34975.07</v>
      </c>
      <c r="L136">
        <v>34748.160000000003</v>
      </c>
      <c r="M136">
        <v>226.91</v>
      </c>
      <c r="N136" s="3" t="str">
        <f t="shared" si="27"/>
        <v/>
      </c>
      <c r="O136" s="4" t="str">
        <f t="shared" si="27"/>
        <v/>
      </c>
      <c r="P136" s="4" t="str">
        <f t="shared" si="27"/>
        <v/>
      </c>
      <c r="Q136" s="4" t="str">
        <f t="shared" si="27"/>
        <v/>
      </c>
      <c r="R136" s="4" t="str">
        <f t="shared" si="27"/>
        <v/>
      </c>
      <c r="S136" s="4" t="str">
        <f t="shared" si="27"/>
        <v/>
      </c>
      <c r="T136" s="4" t="str">
        <f t="shared" si="27"/>
        <v/>
      </c>
      <c r="U136" s="4" t="str">
        <f t="shared" si="27"/>
        <v/>
      </c>
      <c r="V136" s="4" t="str">
        <f t="shared" si="21"/>
        <v/>
      </c>
      <c r="W136" s="4" t="str">
        <f t="shared" si="30"/>
        <v/>
      </c>
      <c r="X136" s="4" t="str">
        <f t="shared" si="30"/>
        <v/>
      </c>
      <c r="Y136" s="4" t="str">
        <f t="shared" si="30"/>
        <v/>
      </c>
      <c r="Z136" s="4" t="str">
        <f t="shared" si="30"/>
        <v/>
      </c>
      <c r="AA136" s="4" t="str">
        <f t="shared" si="30"/>
        <v/>
      </c>
      <c r="AB136" s="4" t="str">
        <f t="shared" si="30"/>
        <v/>
      </c>
      <c r="AC136" s="5" t="str">
        <f t="shared" si="30"/>
        <v/>
      </c>
      <c r="AD136" s="3" t="str">
        <f t="shared" si="28"/>
        <v/>
      </c>
      <c r="AE136" s="4" t="str">
        <f t="shared" si="28"/>
        <v/>
      </c>
      <c r="AF136" s="4" t="str">
        <f t="shared" si="28"/>
        <v/>
      </c>
      <c r="AG136" s="4" t="str">
        <f t="shared" si="28"/>
        <v/>
      </c>
      <c r="AH136" s="4" t="str">
        <f t="shared" si="28"/>
        <v/>
      </c>
      <c r="AI136" s="4" t="str">
        <f t="shared" si="28"/>
        <v/>
      </c>
      <c r="AJ136" s="4" t="str">
        <f t="shared" si="28"/>
        <v/>
      </c>
      <c r="AK136" s="4" t="str">
        <f t="shared" si="28"/>
        <v/>
      </c>
      <c r="AL136" s="4" t="str">
        <f t="shared" si="22"/>
        <v/>
      </c>
      <c r="AM136" s="4" t="str">
        <f t="shared" si="31"/>
        <v/>
      </c>
      <c r="AN136" s="4" t="str">
        <f t="shared" si="31"/>
        <v/>
      </c>
      <c r="AO136" s="4" t="str">
        <f t="shared" si="31"/>
        <v/>
      </c>
      <c r="AP136" s="4" t="str">
        <f t="shared" si="31"/>
        <v/>
      </c>
      <c r="AQ136" s="4" t="str">
        <f t="shared" si="31"/>
        <v/>
      </c>
      <c r="AR136" s="4" t="str">
        <f t="shared" si="31"/>
        <v/>
      </c>
      <c r="AS136" s="5" t="str">
        <f t="shared" si="31"/>
        <v/>
      </c>
      <c r="AT136" s="3" t="str">
        <f t="shared" si="29"/>
        <v/>
      </c>
      <c r="AU136" s="4" t="str">
        <f t="shared" si="29"/>
        <v/>
      </c>
      <c r="AV136" s="4" t="str">
        <f t="shared" si="29"/>
        <v/>
      </c>
      <c r="AW136" s="4" t="str">
        <f t="shared" si="29"/>
        <v/>
      </c>
      <c r="AX136" s="4" t="str">
        <f t="shared" si="29"/>
        <v/>
      </c>
      <c r="AY136" s="4" t="str">
        <f t="shared" si="29"/>
        <v/>
      </c>
      <c r="AZ136" s="4">
        <f t="shared" si="29"/>
        <v>1</v>
      </c>
      <c r="BA136" s="4" t="str">
        <f t="shared" si="29"/>
        <v/>
      </c>
      <c r="BB136" s="4" t="str">
        <f t="shared" si="23"/>
        <v/>
      </c>
      <c r="BC136" s="4" t="str">
        <f t="shared" si="32"/>
        <v/>
      </c>
      <c r="BD136" s="4" t="str">
        <f t="shared" si="32"/>
        <v/>
      </c>
      <c r="BE136" s="4" t="str">
        <f t="shared" si="32"/>
        <v/>
      </c>
      <c r="BF136" s="4" t="str">
        <f t="shared" si="32"/>
        <v/>
      </c>
      <c r="BG136" s="4" t="str">
        <f t="shared" si="32"/>
        <v/>
      </c>
      <c r="BH136" s="4" t="str">
        <f t="shared" si="32"/>
        <v/>
      </c>
      <c r="BI136" s="5" t="str">
        <f t="shared" si="32"/>
        <v/>
      </c>
    </row>
    <row r="137" spans="1:61" x14ac:dyDescent="0.25">
      <c r="A137">
        <v>669933</v>
      </c>
      <c r="B137" t="s">
        <v>15</v>
      </c>
      <c r="C137" t="s">
        <v>16</v>
      </c>
      <c r="D137">
        <v>13668</v>
      </c>
      <c r="E137">
        <v>141</v>
      </c>
      <c r="F137">
        <v>30</v>
      </c>
      <c r="G137">
        <v>20134</v>
      </c>
      <c r="H137" t="s">
        <v>0</v>
      </c>
      <c r="I137">
        <v>35272</v>
      </c>
      <c r="J137">
        <v>1179</v>
      </c>
      <c r="K137">
        <v>24377.37</v>
      </c>
      <c r="L137">
        <v>24149.48</v>
      </c>
      <c r="M137">
        <v>227.89</v>
      </c>
      <c r="N137" s="3" t="str">
        <f t="shared" si="27"/>
        <v/>
      </c>
      <c r="O137" s="4" t="str">
        <f t="shared" si="27"/>
        <v/>
      </c>
      <c r="P137" s="4" t="str">
        <f t="shared" si="27"/>
        <v/>
      </c>
      <c r="Q137" s="4" t="str">
        <f t="shared" si="27"/>
        <v/>
      </c>
      <c r="R137" s="4" t="str">
        <f t="shared" si="27"/>
        <v/>
      </c>
      <c r="S137" s="4" t="str">
        <f t="shared" si="27"/>
        <v/>
      </c>
      <c r="T137" s="4" t="str">
        <f t="shared" si="27"/>
        <v/>
      </c>
      <c r="U137" s="4" t="str">
        <f t="shared" si="27"/>
        <v/>
      </c>
      <c r="V137" s="4" t="str">
        <f t="shared" si="21"/>
        <v/>
      </c>
      <c r="W137" s="4" t="str">
        <f t="shared" si="30"/>
        <v/>
      </c>
      <c r="X137" s="4" t="str">
        <f t="shared" si="30"/>
        <v/>
      </c>
      <c r="Y137" s="4" t="str">
        <f t="shared" si="30"/>
        <v/>
      </c>
      <c r="Z137" s="4" t="str">
        <f t="shared" si="30"/>
        <v/>
      </c>
      <c r="AA137" s="4" t="str">
        <f t="shared" si="30"/>
        <v/>
      </c>
      <c r="AB137" s="4" t="str">
        <f t="shared" si="30"/>
        <v/>
      </c>
      <c r="AC137" s="5" t="str">
        <f t="shared" si="30"/>
        <v/>
      </c>
      <c r="AD137" s="3" t="str">
        <f t="shared" si="28"/>
        <v/>
      </c>
      <c r="AE137" s="4" t="str">
        <f t="shared" si="28"/>
        <v/>
      </c>
      <c r="AF137" s="4" t="str">
        <f t="shared" si="28"/>
        <v/>
      </c>
      <c r="AG137" s="4" t="str">
        <f t="shared" si="28"/>
        <v/>
      </c>
      <c r="AH137" s="4" t="str">
        <f t="shared" si="28"/>
        <v/>
      </c>
      <c r="AI137" s="4" t="str">
        <f t="shared" si="28"/>
        <v/>
      </c>
      <c r="AJ137" s="4" t="str">
        <f t="shared" si="28"/>
        <v/>
      </c>
      <c r="AK137" s="4" t="str">
        <f t="shared" si="28"/>
        <v/>
      </c>
      <c r="AL137" s="4" t="str">
        <f t="shared" si="22"/>
        <v/>
      </c>
      <c r="AM137" s="4" t="str">
        <f t="shared" si="31"/>
        <v/>
      </c>
      <c r="AN137" s="4" t="str">
        <f t="shared" si="31"/>
        <v/>
      </c>
      <c r="AO137" s="4" t="str">
        <f t="shared" si="31"/>
        <v/>
      </c>
      <c r="AP137" s="4" t="str">
        <f t="shared" si="31"/>
        <v/>
      </c>
      <c r="AQ137" s="4" t="str">
        <f t="shared" si="31"/>
        <v/>
      </c>
      <c r="AR137" s="4" t="str">
        <f t="shared" si="31"/>
        <v/>
      </c>
      <c r="AS137" s="5" t="str">
        <f t="shared" si="31"/>
        <v/>
      </c>
      <c r="AT137" s="3" t="str">
        <f t="shared" si="29"/>
        <v/>
      </c>
      <c r="AU137" s="4" t="str">
        <f t="shared" si="29"/>
        <v/>
      </c>
      <c r="AV137" s="4" t="str">
        <f t="shared" si="29"/>
        <v/>
      </c>
      <c r="AW137" s="4" t="str">
        <f t="shared" si="29"/>
        <v/>
      </c>
      <c r="AX137" s="4" t="str">
        <f t="shared" si="29"/>
        <v/>
      </c>
      <c r="AY137" s="4" t="str">
        <f t="shared" si="29"/>
        <v/>
      </c>
      <c r="AZ137" s="4" t="str">
        <f t="shared" si="29"/>
        <v/>
      </c>
      <c r="BA137" s="4">
        <f t="shared" si="29"/>
        <v>1</v>
      </c>
      <c r="BB137" s="4" t="str">
        <f t="shared" si="23"/>
        <v/>
      </c>
      <c r="BC137" s="4" t="str">
        <f t="shared" si="32"/>
        <v/>
      </c>
      <c r="BD137" s="4" t="str">
        <f t="shared" si="32"/>
        <v/>
      </c>
      <c r="BE137" s="4" t="str">
        <f t="shared" si="32"/>
        <v/>
      </c>
      <c r="BF137" s="4" t="str">
        <f t="shared" si="32"/>
        <v/>
      </c>
      <c r="BG137" s="4" t="str">
        <f t="shared" si="32"/>
        <v/>
      </c>
      <c r="BH137" s="4" t="str">
        <f t="shared" si="32"/>
        <v/>
      </c>
      <c r="BI137" s="5" t="str">
        <f t="shared" si="32"/>
        <v/>
      </c>
    </row>
    <row r="138" spans="1:61" x14ac:dyDescent="0.25">
      <c r="A138">
        <v>669934</v>
      </c>
      <c r="B138" t="s">
        <v>15</v>
      </c>
      <c r="C138" t="s">
        <v>16</v>
      </c>
      <c r="D138">
        <v>13668</v>
      </c>
      <c r="E138">
        <v>141</v>
      </c>
      <c r="F138">
        <v>90</v>
      </c>
      <c r="G138">
        <v>20131</v>
      </c>
      <c r="H138" t="s">
        <v>0</v>
      </c>
      <c r="I138">
        <v>77813.5</v>
      </c>
      <c r="J138">
        <v>2593</v>
      </c>
      <c r="K138">
        <v>87040.29</v>
      </c>
      <c r="L138">
        <v>84261.34</v>
      </c>
      <c r="M138">
        <v>2778.95</v>
      </c>
      <c r="N138" s="3" t="str">
        <f t="shared" si="27"/>
        <v/>
      </c>
      <c r="O138" s="4" t="str">
        <f t="shared" si="27"/>
        <v/>
      </c>
      <c r="P138" s="4" t="str">
        <f t="shared" si="27"/>
        <v/>
      </c>
      <c r="Q138" s="4" t="str">
        <f t="shared" si="27"/>
        <v/>
      </c>
      <c r="R138" s="4" t="str">
        <f t="shared" si="27"/>
        <v/>
      </c>
      <c r="S138" s="4" t="str">
        <f t="shared" si="27"/>
        <v/>
      </c>
      <c r="T138" s="4" t="str">
        <f t="shared" si="27"/>
        <v/>
      </c>
      <c r="U138" s="4" t="str">
        <f t="shared" si="27"/>
        <v/>
      </c>
      <c r="V138" s="4" t="str">
        <f t="shared" si="21"/>
        <v/>
      </c>
      <c r="W138" s="4" t="str">
        <f t="shared" si="30"/>
        <v/>
      </c>
      <c r="X138" s="4" t="str">
        <f t="shared" si="30"/>
        <v/>
      </c>
      <c r="Y138" s="4" t="str">
        <f t="shared" si="30"/>
        <v/>
      </c>
      <c r="Z138" s="4" t="str">
        <f t="shared" si="30"/>
        <v/>
      </c>
      <c r="AA138" s="4" t="str">
        <f t="shared" si="30"/>
        <v/>
      </c>
      <c r="AB138" s="4" t="str">
        <f t="shared" si="30"/>
        <v/>
      </c>
      <c r="AC138" s="5" t="str">
        <f t="shared" si="30"/>
        <v/>
      </c>
      <c r="AD138" s="3" t="str">
        <f t="shared" si="28"/>
        <v/>
      </c>
      <c r="AE138" s="4" t="str">
        <f t="shared" si="28"/>
        <v/>
      </c>
      <c r="AF138" s="4" t="str">
        <f t="shared" si="28"/>
        <v/>
      </c>
      <c r="AG138" s="4" t="str">
        <f t="shared" si="28"/>
        <v/>
      </c>
      <c r="AH138" s="4" t="str">
        <f t="shared" si="28"/>
        <v/>
      </c>
      <c r="AI138" s="4" t="str">
        <f t="shared" si="28"/>
        <v/>
      </c>
      <c r="AJ138" s="4" t="str">
        <f t="shared" si="28"/>
        <v/>
      </c>
      <c r="AK138" s="4" t="str">
        <f t="shared" si="28"/>
        <v/>
      </c>
      <c r="AL138" s="4" t="str">
        <f t="shared" si="22"/>
        <v/>
      </c>
      <c r="AM138" s="4" t="str">
        <f t="shared" si="31"/>
        <v/>
      </c>
      <c r="AN138" s="4" t="str">
        <f t="shared" si="31"/>
        <v/>
      </c>
      <c r="AO138" s="4" t="str">
        <f t="shared" si="31"/>
        <v/>
      </c>
      <c r="AP138" s="4" t="str">
        <f t="shared" si="31"/>
        <v/>
      </c>
      <c r="AQ138" s="4" t="str">
        <f t="shared" si="31"/>
        <v/>
      </c>
      <c r="AR138" s="4" t="str">
        <f t="shared" si="31"/>
        <v/>
      </c>
      <c r="AS138" s="5" t="str">
        <f t="shared" si="31"/>
        <v/>
      </c>
      <c r="AT138" s="3" t="str">
        <f t="shared" si="29"/>
        <v/>
      </c>
      <c r="AU138" s="4" t="str">
        <f t="shared" si="29"/>
        <v/>
      </c>
      <c r="AV138" s="4" t="str">
        <f t="shared" si="29"/>
        <v/>
      </c>
      <c r="AW138" s="4" t="str">
        <f t="shared" si="29"/>
        <v/>
      </c>
      <c r="AX138" s="4">
        <f t="shared" si="29"/>
        <v>1</v>
      </c>
      <c r="AY138" s="4" t="str">
        <f t="shared" si="29"/>
        <v/>
      </c>
      <c r="AZ138" s="4" t="str">
        <f t="shared" si="29"/>
        <v/>
      </c>
      <c r="BA138" s="4" t="str">
        <f t="shared" si="29"/>
        <v/>
      </c>
      <c r="BB138" s="4" t="str">
        <f t="shared" si="23"/>
        <v/>
      </c>
      <c r="BC138" s="4" t="str">
        <f t="shared" si="32"/>
        <v/>
      </c>
      <c r="BD138" s="4" t="str">
        <f t="shared" si="32"/>
        <v/>
      </c>
      <c r="BE138" s="4" t="str">
        <f t="shared" si="32"/>
        <v/>
      </c>
      <c r="BF138" s="4" t="str">
        <f t="shared" si="32"/>
        <v/>
      </c>
      <c r="BG138" s="4" t="str">
        <f t="shared" si="32"/>
        <v/>
      </c>
      <c r="BH138" s="4" t="str">
        <f t="shared" si="32"/>
        <v/>
      </c>
      <c r="BI138" s="5" t="str">
        <f t="shared" si="32"/>
        <v/>
      </c>
    </row>
    <row r="139" spans="1:61" x14ac:dyDescent="0.25">
      <c r="A139">
        <v>669935</v>
      </c>
      <c r="B139" t="s">
        <v>15</v>
      </c>
      <c r="C139" t="s">
        <v>16</v>
      </c>
      <c r="D139">
        <v>13668</v>
      </c>
      <c r="E139">
        <v>141</v>
      </c>
      <c r="F139">
        <v>90</v>
      </c>
      <c r="G139">
        <v>20132</v>
      </c>
      <c r="H139" t="s">
        <v>0</v>
      </c>
      <c r="I139">
        <v>75285</v>
      </c>
      <c r="J139">
        <v>2499</v>
      </c>
      <c r="K139">
        <v>53242.26</v>
      </c>
      <c r="L139">
        <v>52617.5</v>
      </c>
      <c r="M139">
        <v>624.76</v>
      </c>
      <c r="N139" s="3" t="str">
        <f t="shared" si="27"/>
        <v/>
      </c>
      <c r="O139" s="4" t="str">
        <f t="shared" si="27"/>
        <v/>
      </c>
      <c r="P139" s="4" t="str">
        <f t="shared" si="27"/>
        <v/>
      </c>
      <c r="Q139" s="4" t="str">
        <f t="shared" si="27"/>
        <v/>
      </c>
      <c r="R139" s="4" t="str">
        <f t="shared" si="27"/>
        <v/>
      </c>
      <c r="S139" s="4" t="str">
        <f t="shared" si="27"/>
        <v/>
      </c>
      <c r="T139" s="4" t="str">
        <f t="shared" si="27"/>
        <v/>
      </c>
      <c r="U139" s="4" t="str">
        <f t="shared" si="27"/>
        <v/>
      </c>
      <c r="V139" s="4" t="str">
        <f t="shared" si="21"/>
        <v/>
      </c>
      <c r="W139" s="4" t="str">
        <f t="shared" si="30"/>
        <v/>
      </c>
      <c r="X139" s="4" t="str">
        <f t="shared" si="30"/>
        <v/>
      </c>
      <c r="Y139" s="4" t="str">
        <f t="shared" si="30"/>
        <v/>
      </c>
      <c r="Z139" s="4" t="str">
        <f t="shared" si="30"/>
        <v/>
      </c>
      <c r="AA139" s="4" t="str">
        <f t="shared" si="30"/>
        <v/>
      </c>
      <c r="AB139" s="4" t="str">
        <f t="shared" si="30"/>
        <v/>
      </c>
      <c r="AC139" s="5" t="str">
        <f t="shared" si="30"/>
        <v/>
      </c>
      <c r="AD139" s="3" t="str">
        <f t="shared" si="28"/>
        <v/>
      </c>
      <c r="AE139" s="4" t="str">
        <f t="shared" si="28"/>
        <v/>
      </c>
      <c r="AF139" s="4" t="str">
        <f t="shared" si="28"/>
        <v/>
      </c>
      <c r="AG139" s="4" t="str">
        <f t="shared" si="28"/>
        <v/>
      </c>
      <c r="AH139" s="4" t="str">
        <f t="shared" si="28"/>
        <v/>
      </c>
      <c r="AI139" s="4" t="str">
        <f t="shared" si="28"/>
        <v/>
      </c>
      <c r="AJ139" s="4" t="str">
        <f t="shared" si="28"/>
        <v/>
      </c>
      <c r="AK139" s="4" t="str">
        <f t="shared" si="28"/>
        <v/>
      </c>
      <c r="AL139" s="4" t="str">
        <f t="shared" si="22"/>
        <v/>
      </c>
      <c r="AM139" s="4" t="str">
        <f t="shared" si="31"/>
        <v/>
      </c>
      <c r="AN139" s="4" t="str">
        <f t="shared" si="31"/>
        <v/>
      </c>
      <c r="AO139" s="4" t="str">
        <f t="shared" si="31"/>
        <v/>
      </c>
      <c r="AP139" s="4" t="str">
        <f t="shared" si="31"/>
        <v/>
      </c>
      <c r="AQ139" s="4" t="str">
        <f t="shared" si="31"/>
        <v/>
      </c>
      <c r="AR139" s="4" t="str">
        <f t="shared" si="31"/>
        <v/>
      </c>
      <c r="AS139" s="5" t="str">
        <f t="shared" si="31"/>
        <v/>
      </c>
      <c r="AT139" s="3" t="str">
        <f t="shared" si="29"/>
        <v/>
      </c>
      <c r="AU139" s="4" t="str">
        <f t="shared" si="29"/>
        <v/>
      </c>
      <c r="AV139" s="4" t="str">
        <f t="shared" si="29"/>
        <v/>
      </c>
      <c r="AW139" s="4" t="str">
        <f t="shared" si="29"/>
        <v/>
      </c>
      <c r="AX139" s="4" t="str">
        <f t="shared" si="29"/>
        <v/>
      </c>
      <c r="AY139" s="4">
        <f t="shared" si="29"/>
        <v>1</v>
      </c>
      <c r="AZ139" s="4" t="str">
        <f t="shared" si="29"/>
        <v/>
      </c>
      <c r="BA139" s="4" t="str">
        <f t="shared" si="29"/>
        <v/>
      </c>
      <c r="BB139" s="4" t="str">
        <f t="shared" si="23"/>
        <v/>
      </c>
      <c r="BC139" s="4" t="str">
        <f t="shared" si="32"/>
        <v/>
      </c>
      <c r="BD139" s="4" t="str">
        <f t="shared" si="32"/>
        <v/>
      </c>
      <c r="BE139" s="4" t="str">
        <f t="shared" si="32"/>
        <v/>
      </c>
      <c r="BF139" s="4" t="str">
        <f t="shared" si="32"/>
        <v/>
      </c>
      <c r="BG139" s="4" t="str">
        <f t="shared" si="32"/>
        <v/>
      </c>
      <c r="BH139" s="4" t="str">
        <f t="shared" si="32"/>
        <v/>
      </c>
      <c r="BI139" s="5" t="str">
        <f t="shared" si="32"/>
        <v/>
      </c>
    </row>
    <row r="140" spans="1:61" x14ac:dyDescent="0.25">
      <c r="A140">
        <v>669936</v>
      </c>
      <c r="B140" t="s">
        <v>15</v>
      </c>
      <c r="C140" t="s">
        <v>16</v>
      </c>
      <c r="D140">
        <v>13668</v>
      </c>
      <c r="E140">
        <v>141</v>
      </c>
      <c r="F140">
        <v>90</v>
      </c>
      <c r="G140">
        <v>20133</v>
      </c>
      <c r="H140" t="s">
        <v>0</v>
      </c>
      <c r="I140">
        <v>63067</v>
      </c>
      <c r="J140">
        <v>2095</v>
      </c>
      <c r="K140">
        <v>39316.080000000002</v>
      </c>
      <c r="L140">
        <v>39063.46</v>
      </c>
      <c r="M140">
        <v>252.62</v>
      </c>
      <c r="N140" s="3" t="str">
        <f t="shared" si="27"/>
        <v/>
      </c>
      <c r="O140" s="4" t="str">
        <f t="shared" si="27"/>
        <v/>
      </c>
      <c r="P140" s="4" t="str">
        <f t="shared" si="27"/>
        <v/>
      </c>
      <c r="Q140" s="4" t="str">
        <f t="shared" si="27"/>
        <v/>
      </c>
      <c r="R140" s="4" t="str">
        <f t="shared" si="27"/>
        <v/>
      </c>
      <c r="S140" s="4" t="str">
        <f t="shared" si="27"/>
        <v/>
      </c>
      <c r="T140" s="4" t="str">
        <f t="shared" si="27"/>
        <v/>
      </c>
      <c r="U140" s="4" t="str">
        <f t="shared" si="27"/>
        <v/>
      </c>
      <c r="V140" s="4" t="str">
        <f t="shared" si="21"/>
        <v/>
      </c>
      <c r="W140" s="4" t="str">
        <f t="shared" si="30"/>
        <v/>
      </c>
      <c r="X140" s="4" t="str">
        <f t="shared" si="30"/>
        <v/>
      </c>
      <c r="Y140" s="4" t="str">
        <f t="shared" si="30"/>
        <v/>
      </c>
      <c r="Z140" s="4" t="str">
        <f t="shared" si="30"/>
        <v/>
      </c>
      <c r="AA140" s="4" t="str">
        <f t="shared" si="30"/>
        <v/>
      </c>
      <c r="AB140" s="4" t="str">
        <f t="shared" si="30"/>
        <v/>
      </c>
      <c r="AC140" s="5" t="str">
        <f t="shared" si="30"/>
        <v/>
      </c>
      <c r="AD140" s="3" t="str">
        <f t="shared" si="28"/>
        <v/>
      </c>
      <c r="AE140" s="4" t="str">
        <f t="shared" si="28"/>
        <v/>
      </c>
      <c r="AF140" s="4" t="str">
        <f t="shared" si="28"/>
        <v/>
      </c>
      <c r="AG140" s="4" t="str">
        <f t="shared" si="28"/>
        <v/>
      </c>
      <c r="AH140" s="4" t="str">
        <f t="shared" si="28"/>
        <v/>
      </c>
      <c r="AI140" s="4" t="str">
        <f t="shared" si="28"/>
        <v/>
      </c>
      <c r="AJ140" s="4" t="str">
        <f t="shared" si="28"/>
        <v/>
      </c>
      <c r="AK140" s="4" t="str">
        <f t="shared" si="28"/>
        <v/>
      </c>
      <c r="AL140" s="4" t="str">
        <f t="shared" si="22"/>
        <v/>
      </c>
      <c r="AM140" s="4" t="str">
        <f t="shared" si="31"/>
        <v/>
      </c>
      <c r="AN140" s="4" t="str">
        <f t="shared" si="31"/>
        <v/>
      </c>
      <c r="AO140" s="4" t="str">
        <f t="shared" si="31"/>
        <v/>
      </c>
      <c r="AP140" s="4" t="str">
        <f t="shared" si="31"/>
        <v/>
      </c>
      <c r="AQ140" s="4" t="str">
        <f t="shared" si="31"/>
        <v/>
      </c>
      <c r="AR140" s="4" t="str">
        <f t="shared" si="31"/>
        <v/>
      </c>
      <c r="AS140" s="5" t="str">
        <f t="shared" si="31"/>
        <v/>
      </c>
      <c r="AT140" s="3" t="str">
        <f t="shared" si="29"/>
        <v/>
      </c>
      <c r="AU140" s="4" t="str">
        <f t="shared" si="29"/>
        <v/>
      </c>
      <c r="AV140" s="4" t="str">
        <f t="shared" si="29"/>
        <v/>
      </c>
      <c r="AW140" s="4" t="str">
        <f t="shared" si="29"/>
        <v/>
      </c>
      <c r="AX140" s="4" t="str">
        <f t="shared" si="29"/>
        <v/>
      </c>
      <c r="AY140" s="4" t="str">
        <f t="shared" si="29"/>
        <v/>
      </c>
      <c r="AZ140" s="4">
        <f t="shared" si="29"/>
        <v>1</v>
      </c>
      <c r="BA140" s="4" t="str">
        <f t="shared" si="29"/>
        <v/>
      </c>
      <c r="BB140" s="4" t="str">
        <f t="shared" si="23"/>
        <v/>
      </c>
      <c r="BC140" s="4" t="str">
        <f t="shared" si="32"/>
        <v/>
      </c>
      <c r="BD140" s="4" t="str">
        <f t="shared" si="32"/>
        <v/>
      </c>
      <c r="BE140" s="4" t="str">
        <f t="shared" si="32"/>
        <v/>
      </c>
      <c r="BF140" s="4" t="str">
        <f t="shared" si="32"/>
        <v/>
      </c>
      <c r="BG140" s="4" t="str">
        <f t="shared" si="32"/>
        <v/>
      </c>
      <c r="BH140" s="4" t="str">
        <f t="shared" si="32"/>
        <v/>
      </c>
      <c r="BI140" s="5" t="str">
        <f t="shared" si="32"/>
        <v/>
      </c>
    </row>
    <row r="141" spans="1:61" x14ac:dyDescent="0.25">
      <c r="A141">
        <v>669937</v>
      </c>
      <c r="B141" t="s">
        <v>15</v>
      </c>
      <c r="C141" t="s">
        <v>16</v>
      </c>
      <c r="D141">
        <v>13668</v>
      </c>
      <c r="E141">
        <v>141</v>
      </c>
      <c r="F141">
        <v>90</v>
      </c>
      <c r="G141">
        <v>20134</v>
      </c>
      <c r="H141" t="s">
        <v>0</v>
      </c>
      <c r="I141">
        <v>55266</v>
      </c>
      <c r="J141">
        <v>1831</v>
      </c>
      <c r="K141">
        <v>37087.4</v>
      </c>
      <c r="L141">
        <v>36772.39</v>
      </c>
      <c r="M141">
        <v>315.01</v>
      </c>
      <c r="N141" s="3" t="str">
        <f t="shared" si="27"/>
        <v/>
      </c>
      <c r="O141" s="4" t="str">
        <f t="shared" si="27"/>
        <v/>
      </c>
      <c r="P141" s="4" t="str">
        <f t="shared" si="27"/>
        <v/>
      </c>
      <c r="Q141" s="4" t="str">
        <f t="shared" si="27"/>
        <v/>
      </c>
      <c r="R141" s="4" t="str">
        <f t="shared" si="27"/>
        <v/>
      </c>
      <c r="S141" s="4" t="str">
        <f t="shared" si="27"/>
        <v/>
      </c>
      <c r="T141" s="4" t="str">
        <f t="shared" si="27"/>
        <v/>
      </c>
      <c r="U141" s="4" t="str">
        <f t="shared" si="27"/>
        <v/>
      </c>
      <c r="V141" s="4" t="str">
        <f t="shared" si="21"/>
        <v/>
      </c>
      <c r="W141" s="4" t="str">
        <f t="shared" si="30"/>
        <v/>
      </c>
      <c r="X141" s="4" t="str">
        <f t="shared" si="30"/>
        <v/>
      </c>
      <c r="Y141" s="4" t="str">
        <f t="shared" si="30"/>
        <v/>
      </c>
      <c r="Z141" s="4" t="str">
        <f t="shared" si="30"/>
        <v/>
      </c>
      <c r="AA141" s="4" t="str">
        <f t="shared" si="30"/>
        <v/>
      </c>
      <c r="AB141" s="4" t="str">
        <f t="shared" si="30"/>
        <v/>
      </c>
      <c r="AC141" s="5" t="str">
        <f t="shared" si="30"/>
        <v/>
      </c>
      <c r="AD141" s="3" t="str">
        <f t="shared" si="28"/>
        <v/>
      </c>
      <c r="AE141" s="4" t="str">
        <f t="shared" si="28"/>
        <v/>
      </c>
      <c r="AF141" s="4" t="str">
        <f t="shared" si="28"/>
        <v/>
      </c>
      <c r="AG141" s="4" t="str">
        <f t="shared" si="28"/>
        <v/>
      </c>
      <c r="AH141" s="4" t="str">
        <f t="shared" si="28"/>
        <v/>
      </c>
      <c r="AI141" s="4" t="str">
        <f t="shared" si="28"/>
        <v/>
      </c>
      <c r="AJ141" s="4" t="str">
        <f t="shared" si="28"/>
        <v/>
      </c>
      <c r="AK141" s="4" t="str">
        <f t="shared" si="28"/>
        <v/>
      </c>
      <c r="AL141" s="4" t="str">
        <f t="shared" si="22"/>
        <v/>
      </c>
      <c r="AM141" s="4" t="str">
        <f t="shared" si="31"/>
        <v/>
      </c>
      <c r="AN141" s="4" t="str">
        <f t="shared" si="31"/>
        <v/>
      </c>
      <c r="AO141" s="4" t="str">
        <f t="shared" si="31"/>
        <v/>
      </c>
      <c r="AP141" s="4" t="str">
        <f t="shared" si="31"/>
        <v/>
      </c>
      <c r="AQ141" s="4" t="str">
        <f t="shared" si="31"/>
        <v/>
      </c>
      <c r="AR141" s="4" t="str">
        <f t="shared" si="31"/>
        <v/>
      </c>
      <c r="AS141" s="5" t="str">
        <f t="shared" si="31"/>
        <v/>
      </c>
      <c r="AT141" s="3" t="str">
        <f t="shared" si="29"/>
        <v/>
      </c>
      <c r="AU141" s="4" t="str">
        <f t="shared" si="29"/>
        <v/>
      </c>
      <c r="AV141" s="4" t="str">
        <f t="shared" si="29"/>
        <v/>
      </c>
      <c r="AW141" s="4" t="str">
        <f t="shared" si="29"/>
        <v/>
      </c>
      <c r="AX141" s="4" t="str">
        <f t="shared" si="29"/>
        <v/>
      </c>
      <c r="AY141" s="4" t="str">
        <f t="shared" si="29"/>
        <v/>
      </c>
      <c r="AZ141" s="4" t="str">
        <f t="shared" si="29"/>
        <v/>
      </c>
      <c r="BA141" s="4">
        <f t="shared" si="29"/>
        <v>1</v>
      </c>
      <c r="BB141" s="4" t="str">
        <f t="shared" si="23"/>
        <v/>
      </c>
      <c r="BC141" s="4" t="str">
        <f t="shared" si="32"/>
        <v/>
      </c>
      <c r="BD141" s="4" t="str">
        <f t="shared" si="32"/>
        <v/>
      </c>
      <c r="BE141" s="4" t="str">
        <f t="shared" si="32"/>
        <v/>
      </c>
      <c r="BF141" s="4" t="str">
        <f t="shared" si="32"/>
        <v/>
      </c>
      <c r="BG141" s="4" t="str">
        <f t="shared" si="32"/>
        <v/>
      </c>
      <c r="BH141" s="4" t="str">
        <f t="shared" si="32"/>
        <v/>
      </c>
      <c r="BI141" s="5" t="str">
        <f t="shared" si="32"/>
        <v/>
      </c>
    </row>
    <row r="142" spans="1:61" x14ac:dyDescent="0.25">
      <c r="A142">
        <v>311849</v>
      </c>
      <c r="B142" t="s">
        <v>14</v>
      </c>
      <c r="C142" t="s">
        <v>16</v>
      </c>
      <c r="D142">
        <v>47335</v>
      </c>
      <c r="E142">
        <v>894</v>
      </c>
      <c r="F142">
        <v>13</v>
      </c>
      <c r="G142">
        <v>20122</v>
      </c>
      <c r="H142" t="s">
        <v>0</v>
      </c>
      <c r="I142">
        <v>12975</v>
      </c>
      <c r="J142">
        <v>423</v>
      </c>
      <c r="K142">
        <v>12229.24</v>
      </c>
      <c r="L142">
        <v>10657.13</v>
      </c>
      <c r="M142">
        <v>1572.11</v>
      </c>
      <c r="N142" s="3" t="str">
        <f t="shared" si="27"/>
        <v/>
      </c>
      <c r="O142" s="4" t="str">
        <f t="shared" si="27"/>
        <v/>
      </c>
      <c r="P142" s="4" t="str">
        <f t="shared" si="27"/>
        <v/>
      </c>
      <c r="Q142" s="4" t="str">
        <f t="shared" si="27"/>
        <v/>
      </c>
      <c r="R142" s="4" t="str">
        <f t="shared" si="27"/>
        <v/>
      </c>
      <c r="S142" s="4" t="str">
        <f t="shared" si="27"/>
        <v/>
      </c>
      <c r="T142" s="4" t="str">
        <f t="shared" si="27"/>
        <v/>
      </c>
      <c r="U142" s="4" t="str">
        <f t="shared" si="27"/>
        <v/>
      </c>
      <c r="V142" s="4" t="str">
        <f t="shared" si="21"/>
        <v/>
      </c>
      <c r="W142" s="4" t="str">
        <f t="shared" si="30"/>
        <v/>
      </c>
      <c r="X142" s="4" t="str">
        <f t="shared" si="30"/>
        <v/>
      </c>
      <c r="Y142" s="4" t="str">
        <f t="shared" si="30"/>
        <v/>
      </c>
      <c r="Z142" s="4" t="str">
        <f t="shared" si="30"/>
        <v/>
      </c>
      <c r="AA142" s="4" t="str">
        <f t="shared" si="30"/>
        <v/>
      </c>
      <c r="AB142" s="4" t="str">
        <f t="shared" si="30"/>
        <v/>
      </c>
      <c r="AC142" s="5" t="str">
        <f t="shared" si="30"/>
        <v/>
      </c>
      <c r="AD142" s="3" t="str">
        <f t="shared" si="28"/>
        <v/>
      </c>
      <c r="AE142" s="4">
        <f t="shared" si="28"/>
        <v>1</v>
      </c>
      <c r="AF142" s="4" t="str">
        <f t="shared" si="28"/>
        <v/>
      </c>
      <c r="AG142" s="4" t="str">
        <f t="shared" si="28"/>
        <v/>
      </c>
      <c r="AH142" s="4" t="str">
        <f t="shared" si="28"/>
        <v/>
      </c>
      <c r="AI142" s="4" t="str">
        <f t="shared" si="28"/>
        <v/>
      </c>
      <c r="AJ142" s="4" t="str">
        <f t="shared" si="28"/>
        <v/>
      </c>
      <c r="AK142" s="4" t="str">
        <f t="shared" si="28"/>
        <v/>
      </c>
      <c r="AL142" s="4" t="str">
        <f t="shared" si="22"/>
        <v/>
      </c>
      <c r="AM142" s="4" t="str">
        <f t="shared" si="31"/>
        <v/>
      </c>
      <c r="AN142" s="4" t="str">
        <f t="shared" si="31"/>
        <v/>
      </c>
      <c r="AO142" s="4" t="str">
        <f t="shared" si="31"/>
        <v/>
      </c>
      <c r="AP142" s="4" t="str">
        <f t="shared" si="31"/>
        <v/>
      </c>
      <c r="AQ142" s="4" t="str">
        <f t="shared" si="31"/>
        <v/>
      </c>
      <c r="AR142" s="4" t="str">
        <f t="shared" si="31"/>
        <v/>
      </c>
      <c r="AS142" s="5" t="str">
        <f t="shared" si="31"/>
        <v/>
      </c>
      <c r="AT142" s="3" t="str">
        <f t="shared" si="29"/>
        <v/>
      </c>
      <c r="AU142" s="4" t="str">
        <f t="shared" si="29"/>
        <v/>
      </c>
      <c r="AV142" s="4" t="str">
        <f t="shared" si="29"/>
        <v/>
      </c>
      <c r="AW142" s="4" t="str">
        <f t="shared" si="29"/>
        <v/>
      </c>
      <c r="AX142" s="4" t="str">
        <f t="shared" si="29"/>
        <v/>
      </c>
      <c r="AY142" s="4" t="str">
        <f t="shared" si="29"/>
        <v/>
      </c>
      <c r="AZ142" s="4" t="str">
        <f t="shared" si="29"/>
        <v/>
      </c>
      <c r="BA142" s="4" t="str">
        <f t="shared" si="29"/>
        <v/>
      </c>
      <c r="BB142" s="4" t="str">
        <f t="shared" si="23"/>
        <v/>
      </c>
      <c r="BC142" s="4" t="str">
        <f t="shared" si="32"/>
        <v/>
      </c>
      <c r="BD142" s="4" t="str">
        <f t="shared" si="32"/>
        <v/>
      </c>
      <c r="BE142" s="4" t="str">
        <f t="shared" si="32"/>
        <v/>
      </c>
      <c r="BF142" s="4" t="str">
        <f t="shared" si="32"/>
        <v/>
      </c>
      <c r="BG142" s="4" t="str">
        <f t="shared" si="32"/>
        <v/>
      </c>
      <c r="BH142" s="4" t="str">
        <f t="shared" si="32"/>
        <v/>
      </c>
      <c r="BI142" s="5" t="str">
        <f t="shared" si="32"/>
        <v/>
      </c>
    </row>
    <row r="143" spans="1:61" x14ac:dyDescent="0.25">
      <c r="A143">
        <v>311850</v>
      </c>
      <c r="B143" t="s">
        <v>14</v>
      </c>
      <c r="C143" t="s">
        <v>16</v>
      </c>
      <c r="D143">
        <v>47335</v>
      </c>
      <c r="E143">
        <v>894</v>
      </c>
      <c r="F143">
        <v>13</v>
      </c>
      <c r="G143">
        <v>20123</v>
      </c>
      <c r="H143" t="s">
        <v>0</v>
      </c>
      <c r="I143">
        <v>133577</v>
      </c>
      <c r="J143">
        <v>4381</v>
      </c>
      <c r="K143">
        <v>74988.399999999994</v>
      </c>
      <c r="L143">
        <v>65316.93</v>
      </c>
      <c r="M143">
        <v>9671.4699999999993</v>
      </c>
      <c r="N143" s="3" t="str">
        <f t="shared" si="27"/>
        <v/>
      </c>
      <c r="O143" s="4" t="str">
        <f t="shared" si="27"/>
        <v/>
      </c>
      <c r="P143" s="4" t="str">
        <f t="shared" si="27"/>
        <v/>
      </c>
      <c r="Q143" s="4" t="str">
        <f t="shared" si="27"/>
        <v/>
      </c>
      <c r="R143" s="4" t="str">
        <f t="shared" si="27"/>
        <v/>
      </c>
      <c r="S143" s="4" t="str">
        <f t="shared" si="27"/>
        <v/>
      </c>
      <c r="T143" s="4" t="str">
        <f t="shared" si="27"/>
        <v/>
      </c>
      <c r="U143" s="4" t="str">
        <f t="shared" si="27"/>
        <v/>
      </c>
      <c r="V143" s="4" t="str">
        <f t="shared" si="21"/>
        <v/>
      </c>
      <c r="W143" s="4" t="str">
        <f t="shared" si="30"/>
        <v/>
      </c>
      <c r="X143" s="4" t="str">
        <f t="shared" si="30"/>
        <v/>
      </c>
      <c r="Y143" s="4" t="str">
        <f t="shared" si="30"/>
        <v/>
      </c>
      <c r="Z143" s="4" t="str">
        <f t="shared" si="30"/>
        <v/>
      </c>
      <c r="AA143" s="4" t="str">
        <f t="shared" si="30"/>
        <v/>
      </c>
      <c r="AB143" s="4" t="str">
        <f t="shared" si="30"/>
        <v/>
      </c>
      <c r="AC143" s="5" t="str">
        <f t="shared" si="30"/>
        <v/>
      </c>
      <c r="AD143" s="3" t="str">
        <f t="shared" si="28"/>
        <v/>
      </c>
      <c r="AE143" s="4" t="str">
        <f t="shared" si="28"/>
        <v/>
      </c>
      <c r="AF143" s="4">
        <f t="shared" si="28"/>
        <v>1</v>
      </c>
      <c r="AG143" s="4" t="str">
        <f t="shared" si="28"/>
        <v/>
      </c>
      <c r="AH143" s="4" t="str">
        <f t="shared" si="28"/>
        <v/>
      </c>
      <c r="AI143" s="4" t="str">
        <f t="shared" si="28"/>
        <v/>
      </c>
      <c r="AJ143" s="4" t="str">
        <f t="shared" si="28"/>
        <v/>
      </c>
      <c r="AK143" s="4" t="str">
        <f t="shared" si="28"/>
        <v/>
      </c>
      <c r="AL143" s="4" t="str">
        <f t="shared" si="22"/>
        <v/>
      </c>
      <c r="AM143" s="4" t="str">
        <f t="shared" si="31"/>
        <v/>
      </c>
      <c r="AN143" s="4" t="str">
        <f t="shared" si="31"/>
        <v/>
      </c>
      <c r="AO143" s="4" t="str">
        <f t="shared" si="31"/>
        <v/>
      </c>
      <c r="AP143" s="4" t="str">
        <f t="shared" si="31"/>
        <v/>
      </c>
      <c r="AQ143" s="4" t="str">
        <f t="shared" si="31"/>
        <v/>
      </c>
      <c r="AR143" s="4" t="str">
        <f t="shared" si="31"/>
        <v/>
      </c>
      <c r="AS143" s="5" t="str">
        <f t="shared" si="31"/>
        <v/>
      </c>
      <c r="AT143" s="3" t="str">
        <f t="shared" si="29"/>
        <v/>
      </c>
      <c r="AU143" s="4" t="str">
        <f t="shared" si="29"/>
        <v/>
      </c>
      <c r="AV143" s="4" t="str">
        <f t="shared" si="29"/>
        <v/>
      </c>
      <c r="AW143" s="4" t="str">
        <f t="shared" si="29"/>
        <v/>
      </c>
      <c r="AX143" s="4" t="str">
        <f t="shared" si="29"/>
        <v/>
      </c>
      <c r="AY143" s="4" t="str">
        <f t="shared" si="29"/>
        <v/>
      </c>
      <c r="AZ143" s="4" t="str">
        <f t="shared" si="29"/>
        <v/>
      </c>
      <c r="BA143" s="4" t="str">
        <f t="shared" si="29"/>
        <v/>
      </c>
      <c r="BB143" s="4" t="str">
        <f t="shared" si="23"/>
        <v/>
      </c>
      <c r="BC143" s="4" t="str">
        <f t="shared" si="32"/>
        <v/>
      </c>
      <c r="BD143" s="4" t="str">
        <f t="shared" si="32"/>
        <v/>
      </c>
      <c r="BE143" s="4" t="str">
        <f t="shared" si="32"/>
        <v/>
      </c>
      <c r="BF143" s="4" t="str">
        <f t="shared" si="32"/>
        <v/>
      </c>
      <c r="BG143" s="4" t="str">
        <f t="shared" si="32"/>
        <v/>
      </c>
      <c r="BH143" s="4" t="str">
        <f t="shared" si="32"/>
        <v/>
      </c>
      <c r="BI143" s="5" t="str">
        <f t="shared" si="32"/>
        <v/>
      </c>
    </row>
    <row r="144" spans="1:61" x14ac:dyDescent="0.25">
      <c r="A144">
        <v>311851</v>
      </c>
      <c r="B144" t="s">
        <v>14</v>
      </c>
      <c r="C144" t="s">
        <v>16</v>
      </c>
      <c r="D144">
        <v>47335</v>
      </c>
      <c r="E144">
        <v>894</v>
      </c>
      <c r="F144">
        <v>13</v>
      </c>
      <c r="G144">
        <v>20124</v>
      </c>
      <c r="H144" t="s">
        <v>0</v>
      </c>
      <c r="I144">
        <v>195954</v>
      </c>
      <c r="J144">
        <v>6462</v>
      </c>
      <c r="K144">
        <v>90251.08</v>
      </c>
      <c r="L144">
        <v>79001.27</v>
      </c>
      <c r="M144">
        <v>11249.81</v>
      </c>
      <c r="N144" s="3" t="str">
        <f t="shared" si="27"/>
        <v/>
      </c>
      <c r="O144" s="4" t="str">
        <f t="shared" si="27"/>
        <v/>
      </c>
      <c r="P144" s="4" t="str">
        <f t="shared" si="27"/>
        <v/>
      </c>
      <c r="Q144" s="4" t="str">
        <f t="shared" si="27"/>
        <v/>
      </c>
      <c r="R144" s="4" t="str">
        <f t="shared" si="27"/>
        <v/>
      </c>
      <c r="S144" s="4" t="str">
        <f t="shared" si="27"/>
        <v/>
      </c>
      <c r="T144" s="4" t="str">
        <f t="shared" si="27"/>
        <v/>
      </c>
      <c r="U144" s="4" t="str">
        <f t="shared" si="27"/>
        <v/>
      </c>
      <c r="V144" s="4" t="str">
        <f t="shared" si="21"/>
        <v/>
      </c>
      <c r="W144" s="4" t="str">
        <f t="shared" si="30"/>
        <v/>
      </c>
      <c r="X144" s="4" t="str">
        <f t="shared" si="30"/>
        <v/>
      </c>
      <c r="Y144" s="4" t="str">
        <f t="shared" si="30"/>
        <v/>
      </c>
      <c r="Z144" s="4" t="str">
        <f t="shared" si="30"/>
        <v/>
      </c>
      <c r="AA144" s="4" t="str">
        <f t="shared" si="30"/>
        <v/>
      </c>
      <c r="AB144" s="4" t="str">
        <f t="shared" si="30"/>
        <v/>
      </c>
      <c r="AC144" s="5" t="str">
        <f t="shared" si="30"/>
        <v/>
      </c>
      <c r="AD144" s="3" t="str">
        <f t="shared" si="28"/>
        <v/>
      </c>
      <c r="AE144" s="4" t="str">
        <f t="shared" si="28"/>
        <v/>
      </c>
      <c r="AF144" s="4" t="str">
        <f t="shared" si="28"/>
        <v/>
      </c>
      <c r="AG144" s="4">
        <f t="shared" si="28"/>
        <v>1</v>
      </c>
      <c r="AH144" s="4" t="str">
        <f t="shared" si="28"/>
        <v/>
      </c>
      <c r="AI144" s="4" t="str">
        <f t="shared" si="28"/>
        <v/>
      </c>
      <c r="AJ144" s="4" t="str">
        <f t="shared" si="28"/>
        <v/>
      </c>
      <c r="AK144" s="4" t="str">
        <f t="shared" si="28"/>
        <v/>
      </c>
      <c r="AL144" s="4" t="str">
        <f t="shared" si="22"/>
        <v/>
      </c>
      <c r="AM144" s="4" t="str">
        <f t="shared" si="31"/>
        <v/>
      </c>
      <c r="AN144" s="4" t="str">
        <f t="shared" si="31"/>
        <v/>
      </c>
      <c r="AO144" s="4" t="str">
        <f t="shared" si="31"/>
        <v/>
      </c>
      <c r="AP144" s="4" t="str">
        <f t="shared" si="31"/>
        <v/>
      </c>
      <c r="AQ144" s="4" t="str">
        <f t="shared" si="31"/>
        <v/>
      </c>
      <c r="AR144" s="4" t="str">
        <f t="shared" si="31"/>
        <v/>
      </c>
      <c r="AS144" s="5" t="str">
        <f t="shared" si="31"/>
        <v/>
      </c>
      <c r="AT144" s="3" t="str">
        <f t="shared" si="29"/>
        <v/>
      </c>
      <c r="AU144" s="4" t="str">
        <f t="shared" si="29"/>
        <v/>
      </c>
      <c r="AV144" s="4" t="str">
        <f t="shared" si="29"/>
        <v/>
      </c>
      <c r="AW144" s="4" t="str">
        <f t="shared" si="29"/>
        <v/>
      </c>
      <c r="AX144" s="4" t="str">
        <f t="shared" si="29"/>
        <v/>
      </c>
      <c r="AY144" s="4" t="str">
        <f t="shared" si="29"/>
        <v/>
      </c>
      <c r="AZ144" s="4" t="str">
        <f t="shared" si="29"/>
        <v/>
      </c>
      <c r="BA144" s="4" t="str">
        <f t="shared" si="29"/>
        <v/>
      </c>
      <c r="BB144" s="4" t="str">
        <f t="shared" si="23"/>
        <v/>
      </c>
      <c r="BC144" s="4" t="str">
        <f t="shared" si="32"/>
        <v/>
      </c>
      <c r="BD144" s="4" t="str">
        <f t="shared" si="32"/>
        <v/>
      </c>
      <c r="BE144" s="4" t="str">
        <f t="shared" si="32"/>
        <v/>
      </c>
      <c r="BF144" s="4" t="str">
        <f t="shared" si="32"/>
        <v/>
      </c>
      <c r="BG144" s="4" t="str">
        <f t="shared" si="32"/>
        <v/>
      </c>
      <c r="BH144" s="4" t="str">
        <f t="shared" si="32"/>
        <v/>
      </c>
      <c r="BI144" s="5" t="str">
        <f t="shared" si="32"/>
        <v/>
      </c>
    </row>
    <row r="145" spans="1:61" x14ac:dyDescent="0.25">
      <c r="A145">
        <v>311852</v>
      </c>
      <c r="B145" t="s">
        <v>14</v>
      </c>
      <c r="C145" t="s">
        <v>16</v>
      </c>
      <c r="D145">
        <v>47335</v>
      </c>
      <c r="E145">
        <v>894</v>
      </c>
      <c r="F145">
        <v>81</v>
      </c>
      <c r="G145">
        <v>20122</v>
      </c>
      <c r="H145" t="s">
        <v>0</v>
      </c>
      <c r="I145">
        <v>14530</v>
      </c>
      <c r="J145">
        <v>470</v>
      </c>
      <c r="K145">
        <v>12618.78</v>
      </c>
      <c r="L145">
        <v>10275.719999999999</v>
      </c>
      <c r="M145">
        <v>2343.06</v>
      </c>
      <c r="N145" s="3" t="str">
        <f t="shared" si="27"/>
        <v/>
      </c>
      <c r="O145" s="4" t="str">
        <f t="shared" si="27"/>
        <v/>
      </c>
      <c r="P145" s="4" t="str">
        <f t="shared" si="27"/>
        <v/>
      </c>
      <c r="Q145" s="4" t="str">
        <f t="shared" si="27"/>
        <v/>
      </c>
      <c r="R145" s="4" t="str">
        <f t="shared" si="27"/>
        <v/>
      </c>
      <c r="S145" s="4" t="str">
        <f t="shared" si="27"/>
        <v/>
      </c>
      <c r="T145" s="4" t="str">
        <f t="shared" si="27"/>
        <v/>
      </c>
      <c r="U145" s="4" t="str">
        <f t="shared" si="27"/>
        <v/>
      </c>
      <c r="V145" s="4" t="str">
        <f t="shared" si="21"/>
        <v/>
      </c>
      <c r="W145" s="4" t="str">
        <f t="shared" si="30"/>
        <v/>
      </c>
      <c r="X145" s="4" t="str">
        <f t="shared" si="30"/>
        <v/>
      </c>
      <c r="Y145" s="4" t="str">
        <f t="shared" si="30"/>
        <v/>
      </c>
      <c r="Z145" s="4" t="str">
        <f t="shared" si="30"/>
        <v/>
      </c>
      <c r="AA145" s="4" t="str">
        <f t="shared" si="30"/>
        <v/>
      </c>
      <c r="AB145" s="4" t="str">
        <f t="shared" si="30"/>
        <v/>
      </c>
      <c r="AC145" s="5" t="str">
        <f t="shared" si="30"/>
        <v/>
      </c>
      <c r="AD145" s="3" t="str">
        <f t="shared" si="28"/>
        <v/>
      </c>
      <c r="AE145" s="4">
        <f t="shared" si="28"/>
        <v>1</v>
      </c>
      <c r="AF145" s="4" t="str">
        <f t="shared" si="28"/>
        <v/>
      </c>
      <c r="AG145" s="4" t="str">
        <f t="shared" si="28"/>
        <v/>
      </c>
      <c r="AH145" s="4" t="str">
        <f t="shared" si="28"/>
        <v/>
      </c>
      <c r="AI145" s="4" t="str">
        <f t="shared" si="28"/>
        <v/>
      </c>
      <c r="AJ145" s="4" t="str">
        <f t="shared" si="28"/>
        <v/>
      </c>
      <c r="AK145" s="4" t="str">
        <f t="shared" si="28"/>
        <v/>
      </c>
      <c r="AL145" s="4" t="str">
        <f t="shared" si="22"/>
        <v/>
      </c>
      <c r="AM145" s="4" t="str">
        <f t="shared" si="31"/>
        <v/>
      </c>
      <c r="AN145" s="4" t="str">
        <f t="shared" si="31"/>
        <v/>
      </c>
      <c r="AO145" s="4" t="str">
        <f t="shared" si="31"/>
        <v/>
      </c>
      <c r="AP145" s="4" t="str">
        <f t="shared" si="31"/>
        <v/>
      </c>
      <c r="AQ145" s="4" t="str">
        <f t="shared" si="31"/>
        <v/>
      </c>
      <c r="AR145" s="4" t="str">
        <f t="shared" si="31"/>
        <v/>
      </c>
      <c r="AS145" s="5" t="str">
        <f t="shared" si="31"/>
        <v/>
      </c>
      <c r="AT145" s="3" t="str">
        <f t="shared" si="29"/>
        <v/>
      </c>
      <c r="AU145" s="4" t="str">
        <f t="shared" si="29"/>
        <v/>
      </c>
      <c r="AV145" s="4" t="str">
        <f t="shared" si="29"/>
        <v/>
      </c>
      <c r="AW145" s="4" t="str">
        <f t="shared" si="29"/>
        <v/>
      </c>
      <c r="AX145" s="4" t="str">
        <f t="shared" si="29"/>
        <v/>
      </c>
      <c r="AY145" s="4" t="str">
        <f t="shared" si="29"/>
        <v/>
      </c>
      <c r="AZ145" s="4" t="str">
        <f t="shared" si="29"/>
        <v/>
      </c>
      <c r="BA145" s="4" t="str">
        <f t="shared" si="29"/>
        <v/>
      </c>
      <c r="BB145" s="4" t="str">
        <f t="shared" si="23"/>
        <v/>
      </c>
      <c r="BC145" s="4" t="str">
        <f t="shared" si="32"/>
        <v/>
      </c>
      <c r="BD145" s="4" t="str">
        <f t="shared" si="32"/>
        <v/>
      </c>
      <c r="BE145" s="4" t="str">
        <f t="shared" si="32"/>
        <v/>
      </c>
      <c r="BF145" s="4" t="str">
        <f t="shared" si="32"/>
        <v/>
      </c>
      <c r="BG145" s="4" t="str">
        <f t="shared" si="32"/>
        <v/>
      </c>
      <c r="BH145" s="4" t="str">
        <f t="shared" si="32"/>
        <v/>
      </c>
      <c r="BI145" s="5" t="str">
        <f t="shared" si="32"/>
        <v/>
      </c>
    </row>
    <row r="146" spans="1:61" x14ac:dyDescent="0.25">
      <c r="A146">
        <v>311853</v>
      </c>
      <c r="B146" t="s">
        <v>14</v>
      </c>
      <c r="C146" t="s">
        <v>16</v>
      </c>
      <c r="D146">
        <v>47335</v>
      </c>
      <c r="E146">
        <v>894</v>
      </c>
      <c r="F146">
        <v>81</v>
      </c>
      <c r="G146">
        <v>20123</v>
      </c>
      <c r="H146" t="s">
        <v>0</v>
      </c>
      <c r="I146">
        <v>155332</v>
      </c>
      <c r="J146">
        <v>5001</v>
      </c>
      <c r="K146">
        <v>90246.2</v>
      </c>
      <c r="L146">
        <v>77356.63</v>
      </c>
      <c r="M146">
        <v>12889.57</v>
      </c>
      <c r="N146" s="3" t="str">
        <f t="shared" si="27"/>
        <v/>
      </c>
      <c r="O146" s="4" t="str">
        <f t="shared" si="27"/>
        <v/>
      </c>
      <c r="P146" s="4" t="str">
        <f t="shared" si="27"/>
        <v/>
      </c>
      <c r="Q146" s="4" t="str">
        <f t="shared" si="27"/>
        <v/>
      </c>
      <c r="R146" s="4" t="str">
        <f t="shared" si="27"/>
        <v/>
      </c>
      <c r="S146" s="4" t="str">
        <f t="shared" si="27"/>
        <v/>
      </c>
      <c r="T146" s="4" t="str">
        <f t="shared" si="27"/>
        <v/>
      </c>
      <c r="U146" s="4" t="str">
        <f t="shared" si="27"/>
        <v/>
      </c>
      <c r="V146" s="4" t="str">
        <f t="shared" ref="V146:V209" si="33">IF(AND($B146=V$3, $G146=V$2, LEFT($H146, 6)=V$1), 1, "")</f>
        <v/>
      </c>
      <c r="W146" s="4" t="str">
        <f t="shared" si="30"/>
        <v/>
      </c>
      <c r="X146" s="4" t="str">
        <f t="shared" si="30"/>
        <v/>
      </c>
      <c r="Y146" s="4" t="str">
        <f t="shared" si="30"/>
        <v/>
      </c>
      <c r="Z146" s="4" t="str">
        <f t="shared" si="30"/>
        <v/>
      </c>
      <c r="AA146" s="4" t="str">
        <f t="shared" si="30"/>
        <v/>
      </c>
      <c r="AB146" s="4" t="str">
        <f t="shared" si="30"/>
        <v/>
      </c>
      <c r="AC146" s="5" t="str">
        <f t="shared" si="30"/>
        <v/>
      </c>
      <c r="AD146" s="3" t="str">
        <f t="shared" si="28"/>
        <v/>
      </c>
      <c r="AE146" s="4" t="str">
        <f t="shared" si="28"/>
        <v/>
      </c>
      <c r="AF146" s="4">
        <f t="shared" si="28"/>
        <v>1</v>
      </c>
      <c r="AG146" s="4" t="str">
        <f t="shared" si="28"/>
        <v/>
      </c>
      <c r="AH146" s="4" t="str">
        <f t="shared" si="28"/>
        <v/>
      </c>
      <c r="AI146" s="4" t="str">
        <f t="shared" si="28"/>
        <v/>
      </c>
      <c r="AJ146" s="4" t="str">
        <f t="shared" si="28"/>
        <v/>
      </c>
      <c r="AK146" s="4" t="str">
        <f t="shared" si="28"/>
        <v/>
      </c>
      <c r="AL146" s="4" t="str">
        <f t="shared" ref="AL146:AL209" si="34">IF(AND($B146=AL$3, $G146=AL$2, LEFT($H146, 6)=AL$1), 1, "")</f>
        <v/>
      </c>
      <c r="AM146" s="4" t="str">
        <f t="shared" si="31"/>
        <v/>
      </c>
      <c r="AN146" s="4" t="str">
        <f t="shared" si="31"/>
        <v/>
      </c>
      <c r="AO146" s="4" t="str">
        <f t="shared" si="31"/>
        <v/>
      </c>
      <c r="AP146" s="4" t="str">
        <f t="shared" si="31"/>
        <v/>
      </c>
      <c r="AQ146" s="4" t="str">
        <f t="shared" si="31"/>
        <v/>
      </c>
      <c r="AR146" s="4" t="str">
        <f t="shared" si="31"/>
        <v/>
      </c>
      <c r="AS146" s="5" t="str">
        <f t="shared" si="31"/>
        <v/>
      </c>
      <c r="AT146" s="3" t="str">
        <f t="shared" si="29"/>
        <v/>
      </c>
      <c r="AU146" s="4" t="str">
        <f t="shared" si="29"/>
        <v/>
      </c>
      <c r="AV146" s="4" t="str">
        <f t="shared" si="29"/>
        <v/>
      </c>
      <c r="AW146" s="4" t="str">
        <f t="shared" si="29"/>
        <v/>
      </c>
      <c r="AX146" s="4" t="str">
        <f t="shared" si="29"/>
        <v/>
      </c>
      <c r="AY146" s="4" t="str">
        <f t="shared" si="29"/>
        <v/>
      </c>
      <c r="AZ146" s="4" t="str">
        <f t="shared" si="29"/>
        <v/>
      </c>
      <c r="BA146" s="4" t="str">
        <f t="shared" si="29"/>
        <v/>
      </c>
      <c r="BB146" s="4" t="str">
        <f t="shared" ref="BB146:BB209" si="35">IF(AND($B146=BB$3, $G146=BB$2, LEFT($H146, 6)=BB$1), 1, "")</f>
        <v/>
      </c>
      <c r="BC146" s="4" t="str">
        <f t="shared" si="32"/>
        <v/>
      </c>
      <c r="BD146" s="4" t="str">
        <f t="shared" si="32"/>
        <v/>
      </c>
      <c r="BE146" s="4" t="str">
        <f t="shared" si="32"/>
        <v/>
      </c>
      <c r="BF146" s="4" t="str">
        <f t="shared" si="32"/>
        <v/>
      </c>
      <c r="BG146" s="4" t="str">
        <f t="shared" si="32"/>
        <v/>
      </c>
      <c r="BH146" s="4" t="str">
        <f t="shared" si="32"/>
        <v/>
      </c>
      <c r="BI146" s="5" t="str">
        <f t="shared" si="32"/>
        <v/>
      </c>
    </row>
    <row r="147" spans="1:61" x14ac:dyDescent="0.25">
      <c r="A147">
        <v>311854</v>
      </c>
      <c r="B147" t="s">
        <v>14</v>
      </c>
      <c r="C147" t="s">
        <v>16</v>
      </c>
      <c r="D147">
        <v>47335</v>
      </c>
      <c r="E147">
        <v>894</v>
      </c>
      <c r="F147">
        <v>81</v>
      </c>
      <c r="G147">
        <v>20124</v>
      </c>
      <c r="H147" t="s">
        <v>0</v>
      </c>
      <c r="I147">
        <v>192247</v>
      </c>
      <c r="J147">
        <v>6192</v>
      </c>
      <c r="K147">
        <v>88831.47</v>
      </c>
      <c r="L147">
        <v>77558.509999999995</v>
      </c>
      <c r="M147">
        <v>11272.96</v>
      </c>
      <c r="N147" s="3" t="str">
        <f t="shared" si="27"/>
        <v/>
      </c>
      <c r="O147" s="4" t="str">
        <f t="shared" si="27"/>
        <v/>
      </c>
      <c r="P147" s="4" t="str">
        <f t="shared" si="27"/>
        <v/>
      </c>
      <c r="Q147" s="4" t="str">
        <f t="shared" si="27"/>
        <v/>
      </c>
      <c r="R147" s="4" t="str">
        <f t="shared" ref="N147:U179" si="36">IF(AND($B147=R$3, $G147=R$2, $H147=R$1), 1, "")</f>
        <v/>
      </c>
      <c r="S147" s="4" t="str">
        <f t="shared" si="36"/>
        <v/>
      </c>
      <c r="T147" s="4" t="str">
        <f t="shared" si="36"/>
        <v/>
      </c>
      <c r="U147" s="4" t="str">
        <f t="shared" si="36"/>
        <v/>
      </c>
      <c r="V147" s="4" t="str">
        <f t="shared" si="33"/>
        <v/>
      </c>
      <c r="W147" s="4" t="str">
        <f t="shared" si="30"/>
        <v/>
      </c>
      <c r="X147" s="4" t="str">
        <f t="shared" si="30"/>
        <v/>
      </c>
      <c r="Y147" s="4" t="str">
        <f t="shared" si="30"/>
        <v/>
      </c>
      <c r="Z147" s="4" t="str">
        <f t="shared" si="30"/>
        <v/>
      </c>
      <c r="AA147" s="4" t="str">
        <f t="shared" si="30"/>
        <v/>
      </c>
      <c r="AB147" s="4" t="str">
        <f t="shared" si="30"/>
        <v/>
      </c>
      <c r="AC147" s="5" t="str">
        <f t="shared" si="30"/>
        <v/>
      </c>
      <c r="AD147" s="3" t="str">
        <f t="shared" si="28"/>
        <v/>
      </c>
      <c r="AE147" s="4" t="str">
        <f t="shared" si="28"/>
        <v/>
      </c>
      <c r="AF147" s="4" t="str">
        <f t="shared" si="28"/>
        <v/>
      </c>
      <c r="AG147" s="4">
        <f t="shared" si="28"/>
        <v>1</v>
      </c>
      <c r="AH147" s="4" t="str">
        <f t="shared" ref="AD147:AK179" si="37">IF(AND($B147=AH$3, $G147=AH$2, $H147=AH$1), 1, "")</f>
        <v/>
      </c>
      <c r="AI147" s="4" t="str">
        <f t="shared" si="37"/>
        <v/>
      </c>
      <c r="AJ147" s="4" t="str">
        <f t="shared" si="37"/>
        <v/>
      </c>
      <c r="AK147" s="4" t="str">
        <f t="shared" si="37"/>
        <v/>
      </c>
      <c r="AL147" s="4" t="str">
        <f t="shared" si="34"/>
        <v/>
      </c>
      <c r="AM147" s="4" t="str">
        <f t="shared" si="31"/>
        <v/>
      </c>
      <c r="AN147" s="4" t="str">
        <f t="shared" si="31"/>
        <v/>
      </c>
      <c r="AO147" s="4" t="str">
        <f t="shared" si="31"/>
        <v/>
      </c>
      <c r="AP147" s="4" t="str">
        <f t="shared" si="31"/>
        <v/>
      </c>
      <c r="AQ147" s="4" t="str">
        <f t="shared" si="31"/>
        <v/>
      </c>
      <c r="AR147" s="4" t="str">
        <f t="shared" si="31"/>
        <v/>
      </c>
      <c r="AS147" s="5" t="str">
        <f t="shared" si="31"/>
        <v/>
      </c>
      <c r="AT147" s="3" t="str">
        <f t="shared" si="29"/>
        <v/>
      </c>
      <c r="AU147" s="4" t="str">
        <f t="shared" si="29"/>
        <v/>
      </c>
      <c r="AV147" s="4" t="str">
        <f t="shared" si="29"/>
        <v/>
      </c>
      <c r="AW147" s="4" t="str">
        <f t="shared" si="29"/>
        <v/>
      </c>
      <c r="AX147" s="4" t="str">
        <f t="shared" ref="AT147:BA179" si="38">IF(AND($B147=AX$3, $G147=AX$2, $H147=AX$1), 1, "")</f>
        <v/>
      </c>
      <c r="AY147" s="4" t="str">
        <f t="shared" si="38"/>
        <v/>
      </c>
      <c r="AZ147" s="4" t="str">
        <f t="shared" si="38"/>
        <v/>
      </c>
      <c r="BA147" s="4" t="str">
        <f t="shared" si="38"/>
        <v/>
      </c>
      <c r="BB147" s="4" t="str">
        <f t="shared" si="35"/>
        <v/>
      </c>
      <c r="BC147" s="4" t="str">
        <f t="shared" si="32"/>
        <v/>
      </c>
      <c r="BD147" s="4" t="str">
        <f t="shared" si="32"/>
        <v/>
      </c>
      <c r="BE147" s="4" t="str">
        <f t="shared" si="32"/>
        <v/>
      </c>
      <c r="BF147" s="4" t="str">
        <f t="shared" si="32"/>
        <v/>
      </c>
      <c r="BG147" s="4" t="str">
        <f t="shared" si="32"/>
        <v/>
      </c>
      <c r="BH147" s="4" t="str">
        <f t="shared" si="32"/>
        <v/>
      </c>
      <c r="BI147" s="5" t="str">
        <f t="shared" si="32"/>
        <v/>
      </c>
    </row>
    <row r="148" spans="1:61" x14ac:dyDescent="0.25">
      <c r="A148">
        <v>311855</v>
      </c>
      <c r="B148" t="s">
        <v>14</v>
      </c>
      <c r="C148" t="s">
        <v>16</v>
      </c>
      <c r="D148">
        <v>47335</v>
      </c>
      <c r="E148">
        <v>894</v>
      </c>
      <c r="F148">
        <v>83</v>
      </c>
      <c r="G148">
        <v>20122</v>
      </c>
      <c r="H148" t="s">
        <v>0</v>
      </c>
      <c r="I148">
        <v>21535</v>
      </c>
      <c r="J148">
        <v>693</v>
      </c>
      <c r="K148">
        <v>16384.48</v>
      </c>
      <c r="L148">
        <v>14541.91</v>
      </c>
      <c r="M148">
        <v>1842.57</v>
      </c>
      <c r="N148" s="3" t="str">
        <f t="shared" si="36"/>
        <v/>
      </c>
      <c r="O148" s="4" t="str">
        <f t="shared" si="36"/>
        <v/>
      </c>
      <c r="P148" s="4" t="str">
        <f t="shared" si="36"/>
        <v/>
      </c>
      <c r="Q148" s="4" t="str">
        <f t="shared" si="36"/>
        <v/>
      </c>
      <c r="R148" s="4" t="str">
        <f t="shared" si="36"/>
        <v/>
      </c>
      <c r="S148" s="4" t="str">
        <f t="shared" si="36"/>
        <v/>
      </c>
      <c r="T148" s="4" t="str">
        <f t="shared" si="36"/>
        <v/>
      </c>
      <c r="U148" s="4" t="str">
        <f t="shared" si="36"/>
        <v/>
      </c>
      <c r="V148" s="4" t="str">
        <f t="shared" si="33"/>
        <v/>
      </c>
      <c r="W148" s="4" t="str">
        <f t="shared" si="30"/>
        <v/>
      </c>
      <c r="X148" s="4" t="str">
        <f t="shared" si="30"/>
        <v/>
      </c>
      <c r="Y148" s="4" t="str">
        <f t="shared" si="30"/>
        <v/>
      </c>
      <c r="Z148" s="4" t="str">
        <f t="shared" si="30"/>
        <v/>
      </c>
      <c r="AA148" s="4" t="str">
        <f t="shared" si="30"/>
        <v/>
      </c>
      <c r="AB148" s="4" t="str">
        <f t="shared" si="30"/>
        <v/>
      </c>
      <c r="AC148" s="5" t="str">
        <f t="shared" si="30"/>
        <v/>
      </c>
      <c r="AD148" s="3" t="str">
        <f t="shared" si="37"/>
        <v/>
      </c>
      <c r="AE148" s="4">
        <f t="shared" si="37"/>
        <v>1</v>
      </c>
      <c r="AF148" s="4" t="str">
        <f t="shared" si="37"/>
        <v/>
      </c>
      <c r="AG148" s="4" t="str">
        <f t="shared" si="37"/>
        <v/>
      </c>
      <c r="AH148" s="4" t="str">
        <f t="shared" si="37"/>
        <v/>
      </c>
      <c r="AI148" s="4" t="str">
        <f t="shared" si="37"/>
        <v/>
      </c>
      <c r="AJ148" s="4" t="str">
        <f t="shared" si="37"/>
        <v/>
      </c>
      <c r="AK148" s="4" t="str">
        <f t="shared" si="37"/>
        <v/>
      </c>
      <c r="AL148" s="4" t="str">
        <f t="shared" si="34"/>
        <v/>
      </c>
      <c r="AM148" s="4" t="str">
        <f t="shared" si="31"/>
        <v/>
      </c>
      <c r="AN148" s="4" t="str">
        <f t="shared" si="31"/>
        <v/>
      </c>
      <c r="AO148" s="4" t="str">
        <f t="shared" si="31"/>
        <v/>
      </c>
      <c r="AP148" s="4" t="str">
        <f t="shared" si="31"/>
        <v/>
      </c>
      <c r="AQ148" s="4" t="str">
        <f t="shared" si="31"/>
        <v/>
      </c>
      <c r="AR148" s="4" t="str">
        <f t="shared" si="31"/>
        <v/>
      </c>
      <c r="AS148" s="5" t="str">
        <f t="shared" si="31"/>
        <v/>
      </c>
      <c r="AT148" s="3" t="str">
        <f t="shared" si="38"/>
        <v/>
      </c>
      <c r="AU148" s="4" t="str">
        <f t="shared" si="38"/>
        <v/>
      </c>
      <c r="AV148" s="4" t="str">
        <f t="shared" si="38"/>
        <v/>
      </c>
      <c r="AW148" s="4" t="str">
        <f t="shared" si="38"/>
        <v/>
      </c>
      <c r="AX148" s="4" t="str">
        <f t="shared" si="38"/>
        <v/>
      </c>
      <c r="AY148" s="4" t="str">
        <f t="shared" si="38"/>
        <v/>
      </c>
      <c r="AZ148" s="4" t="str">
        <f t="shared" si="38"/>
        <v/>
      </c>
      <c r="BA148" s="4" t="str">
        <f t="shared" si="38"/>
        <v/>
      </c>
      <c r="BB148" s="4" t="str">
        <f t="shared" si="35"/>
        <v/>
      </c>
      <c r="BC148" s="4" t="str">
        <f t="shared" si="32"/>
        <v/>
      </c>
      <c r="BD148" s="4" t="str">
        <f t="shared" si="32"/>
        <v/>
      </c>
      <c r="BE148" s="4" t="str">
        <f t="shared" si="32"/>
        <v/>
      </c>
      <c r="BF148" s="4" t="str">
        <f t="shared" si="32"/>
        <v/>
      </c>
      <c r="BG148" s="4" t="str">
        <f t="shared" si="32"/>
        <v/>
      </c>
      <c r="BH148" s="4" t="str">
        <f t="shared" si="32"/>
        <v/>
      </c>
      <c r="BI148" s="5" t="str">
        <f t="shared" si="32"/>
        <v/>
      </c>
    </row>
    <row r="149" spans="1:61" x14ac:dyDescent="0.25">
      <c r="A149">
        <v>311856</v>
      </c>
      <c r="B149" t="s">
        <v>14</v>
      </c>
      <c r="C149" t="s">
        <v>16</v>
      </c>
      <c r="D149">
        <v>47335</v>
      </c>
      <c r="E149">
        <v>894</v>
      </c>
      <c r="F149">
        <v>83</v>
      </c>
      <c r="G149">
        <v>20123</v>
      </c>
      <c r="H149" t="s">
        <v>0</v>
      </c>
      <c r="I149">
        <v>147579.00099999999</v>
      </c>
      <c r="J149">
        <v>4733</v>
      </c>
      <c r="K149">
        <v>80976.09</v>
      </c>
      <c r="L149">
        <v>71710.77</v>
      </c>
      <c r="M149">
        <v>9265.32</v>
      </c>
      <c r="N149" s="3" t="str">
        <f t="shared" si="36"/>
        <v/>
      </c>
      <c r="O149" s="4" t="str">
        <f t="shared" si="36"/>
        <v/>
      </c>
      <c r="P149" s="4" t="str">
        <f t="shared" si="36"/>
        <v/>
      </c>
      <c r="Q149" s="4" t="str">
        <f t="shared" si="36"/>
        <v/>
      </c>
      <c r="R149" s="4" t="str">
        <f t="shared" si="36"/>
        <v/>
      </c>
      <c r="S149" s="4" t="str">
        <f t="shared" si="36"/>
        <v/>
      </c>
      <c r="T149" s="4" t="str">
        <f t="shared" si="36"/>
        <v/>
      </c>
      <c r="U149" s="4" t="str">
        <f t="shared" si="36"/>
        <v/>
      </c>
      <c r="V149" s="4" t="str">
        <f t="shared" si="33"/>
        <v/>
      </c>
      <c r="W149" s="4" t="str">
        <f t="shared" si="30"/>
        <v/>
      </c>
      <c r="X149" s="4" t="str">
        <f t="shared" si="30"/>
        <v/>
      </c>
      <c r="Y149" s="4" t="str">
        <f t="shared" si="30"/>
        <v/>
      </c>
      <c r="Z149" s="4" t="str">
        <f t="shared" si="30"/>
        <v/>
      </c>
      <c r="AA149" s="4" t="str">
        <f t="shared" si="30"/>
        <v/>
      </c>
      <c r="AB149" s="4" t="str">
        <f t="shared" si="30"/>
        <v/>
      </c>
      <c r="AC149" s="5" t="str">
        <f t="shared" si="30"/>
        <v/>
      </c>
      <c r="AD149" s="3" t="str">
        <f t="shared" si="37"/>
        <v/>
      </c>
      <c r="AE149" s="4" t="str">
        <f t="shared" si="37"/>
        <v/>
      </c>
      <c r="AF149" s="4">
        <f t="shared" si="37"/>
        <v>1</v>
      </c>
      <c r="AG149" s="4" t="str">
        <f t="shared" si="37"/>
        <v/>
      </c>
      <c r="AH149" s="4" t="str">
        <f t="shared" si="37"/>
        <v/>
      </c>
      <c r="AI149" s="4" t="str">
        <f t="shared" si="37"/>
        <v/>
      </c>
      <c r="AJ149" s="4" t="str">
        <f t="shared" si="37"/>
        <v/>
      </c>
      <c r="AK149" s="4" t="str">
        <f t="shared" si="37"/>
        <v/>
      </c>
      <c r="AL149" s="4" t="str">
        <f t="shared" si="34"/>
        <v/>
      </c>
      <c r="AM149" s="4" t="str">
        <f t="shared" si="31"/>
        <v/>
      </c>
      <c r="AN149" s="4" t="str">
        <f t="shared" si="31"/>
        <v/>
      </c>
      <c r="AO149" s="4" t="str">
        <f t="shared" si="31"/>
        <v/>
      </c>
      <c r="AP149" s="4" t="str">
        <f t="shared" si="31"/>
        <v/>
      </c>
      <c r="AQ149" s="4" t="str">
        <f t="shared" si="31"/>
        <v/>
      </c>
      <c r="AR149" s="4" t="str">
        <f t="shared" si="31"/>
        <v/>
      </c>
      <c r="AS149" s="5" t="str">
        <f t="shared" si="31"/>
        <v/>
      </c>
      <c r="AT149" s="3" t="str">
        <f t="shared" si="38"/>
        <v/>
      </c>
      <c r="AU149" s="4" t="str">
        <f t="shared" si="38"/>
        <v/>
      </c>
      <c r="AV149" s="4" t="str">
        <f t="shared" si="38"/>
        <v/>
      </c>
      <c r="AW149" s="4" t="str">
        <f t="shared" si="38"/>
        <v/>
      </c>
      <c r="AX149" s="4" t="str">
        <f t="shared" si="38"/>
        <v/>
      </c>
      <c r="AY149" s="4" t="str">
        <f t="shared" si="38"/>
        <v/>
      </c>
      <c r="AZ149" s="4" t="str">
        <f t="shared" si="38"/>
        <v/>
      </c>
      <c r="BA149" s="4" t="str">
        <f t="shared" si="38"/>
        <v/>
      </c>
      <c r="BB149" s="4" t="str">
        <f t="shared" si="35"/>
        <v/>
      </c>
      <c r="BC149" s="4" t="str">
        <f t="shared" si="32"/>
        <v/>
      </c>
      <c r="BD149" s="4" t="str">
        <f t="shared" si="32"/>
        <v/>
      </c>
      <c r="BE149" s="4" t="str">
        <f t="shared" si="32"/>
        <v/>
      </c>
      <c r="BF149" s="4" t="str">
        <f t="shared" si="32"/>
        <v/>
      </c>
      <c r="BG149" s="4" t="str">
        <f t="shared" si="32"/>
        <v/>
      </c>
      <c r="BH149" s="4" t="str">
        <f t="shared" si="32"/>
        <v/>
      </c>
      <c r="BI149" s="5" t="str">
        <f t="shared" si="32"/>
        <v/>
      </c>
    </row>
    <row r="150" spans="1:61" x14ac:dyDescent="0.25">
      <c r="A150">
        <v>311857</v>
      </c>
      <c r="B150" t="s">
        <v>14</v>
      </c>
      <c r="C150" t="s">
        <v>16</v>
      </c>
      <c r="D150">
        <v>47335</v>
      </c>
      <c r="E150">
        <v>894</v>
      </c>
      <c r="F150">
        <v>83</v>
      </c>
      <c r="G150">
        <v>20124</v>
      </c>
      <c r="H150" t="s">
        <v>0</v>
      </c>
      <c r="I150">
        <v>153905.04999999999</v>
      </c>
      <c r="J150">
        <v>4983</v>
      </c>
      <c r="K150">
        <v>71363.55</v>
      </c>
      <c r="L150">
        <v>63269.54</v>
      </c>
      <c r="M150">
        <v>8094.01</v>
      </c>
      <c r="N150" s="3" t="str">
        <f t="shared" si="36"/>
        <v/>
      </c>
      <c r="O150" s="4" t="str">
        <f t="shared" si="36"/>
        <v/>
      </c>
      <c r="P150" s="4" t="str">
        <f t="shared" si="36"/>
        <v/>
      </c>
      <c r="Q150" s="4" t="str">
        <f t="shared" si="36"/>
        <v/>
      </c>
      <c r="R150" s="4" t="str">
        <f t="shared" si="36"/>
        <v/>
      </c>
      <c r="S150" s="4" t="str">
        <f t="shared" si="36"/>
        <v/>
      </c>
      <c r="T150" s="4" t="str">
        <f t="shared" si="36"/>
        <v/>
      </c>
      <c r="U150" s="4" t="str">
        <f t="shared" si="36"/>
        <v/>
      </c>
      <c r="V150" s="4" t="str">
        <f t="shared" si="33"/>
        <v/>
      </c>
      <c r="W150" s="4" t="str">
        <f t="shared" si="30"/>
        <v/>
      </c>
      <c r="X150" s="4" t="str">
        <f t="shared" si="30"/>
        <v/>
      </c>
      <c r="Y150" s="4" t="str">
        <f t="shared" si="30"/>
        <v/>
      </c>
      <c r="Z150" s="4" t="str">
        <f t="shared" si="30"/>
        <v/>
      </c>
      <c r="AA150" s="4" t="str">
        <f t="shared" si="30"/>
        <v/>
      </c>
      <c r="AB150" s="4" t="str">
        <f t="shared" si="30"/>
        <v/>
      </c>
      <c r="AC150" s="5" t="str">
        <f t="shared" si="30"/>
        <v/>
      </c>
      <c r="AD150" s="3" t="str">
        <f t="shared" si="37"/>
        <v/>
      </c>
      <c r="AE150" s="4" t="str">
        <f t="shared" si="37"/>
        <v/>
      </c>
      <c r="AF150" s="4" t="str">
        <f t="shared" si="37"/>
        <v/>
      </c>
      <c r="AG150" s="4">
        <f t="shared" si="37"/>
        <v>1</v>
      </c>
      <c r="AH150" s="4" t="str">
        <f t="shared" si="37"/>
        <v/>
      </c>
      <c r="AI150" s="4" t="str">
        <f t="shared" si="37"/>
        <v/>
      </c>
      <c r="AJ150" s="4" t="str">
        <f t="shared" si="37"/>
        <v/>
      </c>
      <c r="AK150" s="4" t="str">
        <f t="shared" si="37"/>
        <v/>
      </c>
      <c r="AL150" s="4" t="str">
        <f t="shared" si="34"/>
        <v/>
      </c>
      <c r="AM150" s="4" t="str">
        <f t="shared" si="31"/>
        <v/>
      </c>
      <c r="AN150" s="4" t="str">
        <f t="shared" si="31"/>
        <v/>
      </c>
      <c r="AO150" s="4" t="str">
        <f t="shared" si="31"/>
        <v/>
      </c>
      <c r="AP150" s="4" t="str">
        <f t="shared" si="31"/>
        <v/>
      </c>
      <c r="AQ150" s="4" t="str">
        <f t="shared" si="31"/>
        <v/>
      </c>
      <c r="AR150" s="4" t="str">
        <f t="shared" si="31"/>
        <v/>
      </c>
      <c r="AS150" s="5" t="str">
        <f t="shared" si="31"/>
        <v/>
      </c>
      <c r="AT150" s="3" t="str">
        <f t="shared" si="38"/>
        <v/>
      </c>
      <c r="AU150" s="4" t="str">
        <f t="shared" si="38"/>
        <v/>
      </c>
      <c r="AV150" s="4" t="str">
        <f t="shared" si="38"/>
        <v/>
      </c>
      <c r="AW150" s="4" t="str">
        <f t="shared" si="38"/>
        <v/>
      </c>
      <c r="AX150" s="4" t="str">
        <f t="shared" si="38"/>
        <v/>
      </c>
      <c r="AY150" s="4" t="str">
        <f t="shared" si="38"/>
        <v/>
      </c>
      <c r="AZ150" s="4" t="str">
        <f t="shared" si="38"/>
        <v/>
      </c>
      <c r="BA150" s="4" t="str">
        <f t="shared" si="38"/>
        <v/>
      </c>
      <c r="BB150" s="4" t="str">
        <f t="shared" si="35"/>
        <v/>
      </c>
      <c r="BC150" s="4" t="str">
        <f t="shared" si="32"/>
        <v/>
      </c>
      <c r="BD150" s="4" t="str">
        <f t="shared" si="32"/>
        <v/>
      </c>
      <c r="BE150" s="4" t="str">
        <f t="shared" si="32"/>
        <v/>
      </c>
      <c r="BF150" s="4" t="str">
        <f t="shared" si="32"/>
        <v/>
      </c>
      <c r="BG150" s="4" t="str">
        <f t="shared" si="32"/>
        <v/>
      </c>
      <c r="BH150" s="4" t="str">
        <f t="shared" si="32"/>
        <v/>
      </c>
      <c r="BI150" s="5" t="str">
        <f t="shared" si="32"/>
        <v/>
      </c>
    </row>
    <row r="151" spans="1:61" x14ac:dyDescent="0.25">
      <c r="A151">
        <v>435117</v>
      </c>
      <c r="B151" t="s">
        <v>15</v>
      </c>
      <c r="C151" t="s">
        <v>16</v>
      </c>
      <c r="D151">
        <v>47335</v>
      </c>
      <c r="E151">
        <v>894</v>
      </c>
      <c r="F151">
        <v>13</v>
      </c>
      <c r="G151">
        <v>20122</v>
      </c>
      <c r="H151" t="s">
        <v>0</v>
      </c>
      <c r="I151">
        <v>8436</v>
      </c>
      <c r="J151">
        <v>289</v>
      </c>
      <c r="K151">
        <v>14452.59</v>
      </c>
      <c r="L151">
        <v>14212.38</v>
      </c>
      <c r="M151">
        <v>240.21</v>
      </c>
      <c r="N151" s="3" t="str">
        <f t="shared" si="36"/>
        <v/>
      </c>
      <c r="O151" s="4" t="str">
        <f t="shared" si="36"/>
        <v/>
      </c>
      <c r="P151" s="4" t="str">
        <f t="shared" si="36"/>
        <v/>
      </c>
      <c r="Q151" s="4" t="str">
        <f t="shared" si="36"/>
        <v/>
      </c>
      <c r="R151" s="4" t="str">
        <f t="shared" si="36"/>
        <v/>
      </c>
      <c r="S151" s="4" t="str">
        <f t="shared" si="36"/>
        <v/>
      </c>
      <c r="T151" s="4" t="str">
        <f t="shared" si="36"/>
        <v/>
      </c>
      <c r="U151" s="4" t="str">
        <f t="shared" si="36"/>
        <v/>
      </c>
      <c r="V151" s="4" t="str">
        <f t="shared" si="33"/>
        <v/>
      </c>
      <c r="W151" s="4" t="str">
        <f t="shared" si="30"/>
        <v/>
      </c>
      <c r="X151" s="4" t="str">
        <f t="shared" si="30"/>
        <v/>
      </c>
      <c r="Y151" s="4" t="str">
        <f t="shared" si="30"/>
        <v/>
      </c>
      <c r="Z151" s="4" t="str">
        <f t="shared" si="30"/>
        <v/>
      </c>
      <c r="AA151" s="4" t="str">
        <f t="shared" si="30"/>
        <v/>
      </c>
      <c r="AB151" s="4" t="str">
        <f t="shared" si="30"/>
        <v/>
      </c>
      <c r="AC151" s="5" t="str">
        <f t="shared" si="30"/>
        <v/>
      </c>
      <c r="AD151" s="3" t="str">
        <f t="shared" si="37"/>
        <v/>
      </c>
      <c r="AE151" s="4" t="str">
        <f t="shared" si="37"/>
        <v/>
      </c>
      <c r="AF151" s="4" t="str">
        <f t="shared" si="37"/>
        <v/>
      </c>
      <c r="AG151" s="4" t="str">
        <f t="shared" si="37"/>
        <v/>
      </c>
      <c r="AH151" s="4" t="str">
        <f t="shared" si="37"/>
        <v/>
      </c>
      <c r="AI151" s="4">
        <f t="shared" si="37"/>
        <v>1</v>
      </c>
      <c r="AJ151" s="4" t="str">
        <f t="shared" si="37"/>
        <v/>
      </c>
      <c r="AK151" s="4" t="str">
        <f t="shared" si="37"/>
        <v/>
      </c>
      <c r="AL151" s="4" t="str">
        <f t="shared" si="34"/>
        <v/>
      </c>
      <c r="AM151" s="4" t="str">
        <f t="shared" si="31"/>
        <v/>
      </c>
      <c r="AN151" s="4" t="str">
        <f t="shared" si="31"/>
        <v/>
      </c>
      <c r="AO151" s="4" t="str">
        <f t="shared" si="31"/>
        <v/>
      </c>
      <c r="AP151" s="4" t="str">
        <f t="shared" si="31"/>
        <v/>
      </c>
      <c r="AQ151" s="4" t="str">
        <f t="shared" si="31"/>
        <v/>
      </c>
      <c r="AR151" s="4" t="str">
        <f t="shared" si="31"/>
        <v/>
      </c>
      <c r="AS151" s="5" t="str">
        <f t="shared" si="31"/>
        <v/>
      </c>
      <c r="AT151" s="3" t="str">
        <f t="shared" si="38"/>
        <v/>
      </c>
      <c r="AU151" s="4" t="str">
        <f t="shared" si="38"/>
        <v/>
      </c>
      <c r="AV151" s="4" t="str">
        <f t="shared" si="38"/>
        <v/>
      </c>
      <c r="AW151" s="4" t="str">
        <f t="shared" si="38"/>
        <v/>
      </c>
      <c r="AX151" s="4" t="str">
        <f t="shared" si="38"/>
        <v/>
      </c>
      <c r="AY151" s="4" t="str">
        <f t="shared" si="38"/>
        <v/>
      </c>
      <c r="AZ151" s="4" t="str">
        <f t="shared" si="38"/>
        <v/>
      </c>
      <c r="BA151" s="4" t="str">
        <f t="shared" si="38"/>
        <v/>
      </c>
      <c r="BB151" s="4" t="str">
        <f t="shared" si="35"/>
        <v/>
      </c>
      <c r="BC151" s="4" t="str">
        <f t="shared" si="32"/>
        <v/>
      </c>
      <c r="BD151" s="4" t="str">
        <f t="shared" si="32"/>
        <v/>
      </c>
      <c r="BE151" s="4" t="str">
        <f t="shared" si="32"/>
        <v/>
      </c>
      <c r="BF151" s="4" t="str">
        <f t="shared" si="32"/>
        <v/>
      </c>
      <c r="BG151" s="4" t="str">
        <f t="shared" si="32"/>
        <v/>
      </c>
      <c r="BH151" s="4" t="str">
        <f t="shared" si="32"/>
        <v/>
      </c>
      <c r="BI151" s="5" t="str">
        <f t="shared" si="32"/>
        <v/>
      </c>
    </row>
    <row r="152" spans="1:61" x14ac:dyDescent="0.25">
      <c r="A152">
        <v>435118</v>
      </c>
      <c r="B152" t="s">
        <v>15</v>
      </c>
      <c r="C152" t="s">
        <v>16</v>
      </c>
      <c r="D152">
        <v>47335</v>
      </c>
      <c r="E152">
        <v>894</v>
      </c>
      <c r="F152">
        <v>13</v>
      </c>
      <c r="G152">
        <v>20123</v>
      </c>
      <c r="H152" t="s">
        <v>0</v>
      </c>
      <c r="I152">
        <v>82842</v>
      </c>
      <c r="J152">
        <v>2747</v>
      </c>
      <c r="K152">
        <v>126468.67</v>
      </c>
      <c r="L152">
        <v>125833.45</v>
      </c>
      <c r="M152">
        <v>635.22</v>
      </c>
      <c r="N152" s="3" t="str">
        <f t="shared" si="36"/>
        <v/>
      </c>
      <c r="O152" s="4" t="str">
        <f t="shared" si="36"/>
        <v/>
      </c>
      <c r="P152" s="4" t="str">
        <f t="shared" si="36"/>
        <v/>
      </c>
      <c r="Q152" s="4" t="str">
        <f t="shared" si="36"/>
        <v/>
      </c>
      <c r="R152" s="4" t="str">
        <f t="shared" si="36"/>
        <v/>
      </c>
      <c r="S152" s="4" t="str">
        <f t="shared" si="36"/>
        <v/>
      </c>
      <c r="T152" s="4" t="str">
        <f t="shared" si="36"/>
        <v/>
      </c>
      <c r="U152" s="4" t="str">
        <f t="shared" si="36"/>
        <v/>
      </c>
      <c r="V152" s="4" t="str">
        <f t="shared" si="33"/>
        <v/>
      </c>
      <c r="W152" s="4" t="str">
        <f t="shared" si="30"/>
        <v/>
      </c>
      <c r="X152" s="4" t="str">
        <f t="shared" si="30"/>
        <v/>
      </c>
      <c r="Y152" s="4" t="str">
        <f t="shared" si="30"/>
        <v/>
      </c>
      <c r="Z152" s="4" t="str">
        <f t="shared" si="30"/>
        <v/>
      </c>
      <c r="AA152" s="4" t="str">
        <f t="shared" si="30"/>
        <v/>
      </c>
      <c r="AB152" s="4" t="str">
        <f t="shared" si="30"/>
        <v/>
      </c>
      <c r="AC152" s="5" t="str">
        <f t="shared" si="30"/>
        <v/>
      </c>
      <c r="AD152" s="3" t="str">
        <f t="shared" si="37"/>
        <v/>
      </c>
      <c r="AE152" s="4" t="str">
        <f t="shared" si="37"/>
        <v/>
      </c>
      <c r="AF152" s="4" t="str">
        <f t="shared" si="37"/>
        <v/>
      </c>
      <c r="AG152" s="4" t="str">
        <f t="shared" si="37"/>
        <v/>
      </c>
      <c r="AH152" s="4" t="str">
        <f t="shared" si="37"/>
        <v/>
      </c>
      <c r="AI152" s="4" t="str">
        <f t="shared" si="37"/>
        <v/>
      </c>
      <c r="AJ152" s="4">
        <f t="shared" si="37"/>
        <v>1</v>
      </c>
      <c r="AK152" s="4" t="str">
        <f t="shared" si="37"/>
        <v/>
      </c>
      <c r="AL152" s="4" t="str">
        <f t="shared" si="34"/>
        <v/>
      </c>
      <c r="AM152" s="4" t="str">
        <f t="shared" si="31"/>
        <v/>
      </c>
      <c r="AN152" s="4" t="str">
        <f t="shared" si="31"/>
        <v/>
      </c>
      <c r="AO152" s="4" t="str">
        <f t="shared" si="31"/>
        <v/>
      </c>
      <c r="AP152" s="4" t="str">
        <f t="shared" si="31"/>
        <v/>
      </c>
      <c r="AQ152" s="4" t="str">
        <f t="shared" si="31"/>
        <v/>
      </c>
      <c r="AR152" s="4" t="str">
        <f t="shared" si="31"/>
        <v/>
      </c>
      <c r="AS152" s="5" t="str">
        <f t="shared" si="31"/>
        <v/>
      </c>
      <c r="AT152" s="3" t="str">
        <f t="shared" si="38"/>
        <v/>
      </c>
      <c r="AU152" s="4" t="str">
        <f t="shared" si="38"/>
        <v/>
      </c>
      <c r="AV152" s="4" t="str">
        <f t="shared" si="38"/>
        <v/>
      </c>
      <c r="AW152" s="4" t="str">
        <f t="shared" si="38"/>
        <v/>
      </c>
      <c r="AX152" s="4" t="str">
        <f t="shared" si="38"/>
        <v/>
      </c>
      <c r="AY152" s="4" t="str">
        <f t="shared" si="38"/>
        <v/>
      </c>
      <c r="AZ152" s="4" t="str">
        <f t="shared" si="38"/>
        <v/>
      </c>
      <c r="BA152" s="4" t="str">
        <f t="shared" si="38"/>
        <v/>
      </c>
      <c r="BB152" s="4" t="str">
        <f t="shared" si="35"/>
        <v/>
      </c>
      <c r="BC152" s="4" t="str">
        <f t="shared" si="32"/>
        <v/>
      </c>
      <c r="BD152" s="4" t="str">
        <f t="shared" si="32"/>
        <v/>
      </c>
      <c r="BE152" s="4" t="str">
        <f t="shared" si="32"/>
        <v/>
      </c>
      <c r="BF152" s="4" t="str">
        <f t="shared" si="32"/>
        <v/>
      </c>
      <c r="BG152" s="4" t="str">
        <f t="shared" si="32"/>
        <v/>
      </c>
      <c r="BH152" s="4" t="str">
        <f t="shared" si="32"/>
        <v/>
      </c>
      <c r="BI152" s="5" t="str">
        <f t="shared" si="32"/>
        <v/>
      </c>
    </row>
    <row r="153" spans="1:61" x14ac:dyDescent="0.25">
      <c r="A153">
        <v>435119</v>
      </c>
      <c r="B153" t="s">
        <v>15</v>
      </c>
      <c r="C153" t="s">
        <v>16</v>
      </c>
      <c r="D153">
        <v>47335</v>
      </c>
      <c r="E153">
        <v>894</v>
      </c>
      <c r="F153">
        <v>13</v>
      </c>
      <c r="G153">
        <v>20124</v>
      </c>
      <c r="H153" t="s">
        <v>0</v>
      </c>
      <c r="I153">
        <v>129426</v>
      </c>
      <c r="J153">
        <v>4268</v>
      </c>
      <c r="K153">
        <v>171543.6</v>
      </c>
      <c r="L153">
        <v>170884.59</v>
      </c>
      <c r="M153">
        <v>659.01</v>
      </c>
      <c r="N153" s="3" t="str">
        <f t="shared" si="36"/>
        <v/>
      </c>
      <c r="O153" s="4" t="str">
        <f t="shared" si="36"/>
        <v/>
      </c>
      <c r="P153" s="4" t="str">
        <f t="shared" si="36"/>
        <v/>
      </c>
      <c r="Q153" s="4" t="str">
        <f t="shared" si="36"/>
        <v/>
      </c>
      <c r="R153" s="4" t="str">
        <f t="shared" si="36"/>
        <v/>
      </c>
      <c r="S153" s="4" t="str">
        <f t="shared" si="36"/>
        <v/>
      </c>
      <c r="T153" s="4" t="str">
        <f t="shared" si="36"/>
        <v/>
      </c>
      <c r="U153" s="4" t="str">
        <f t="shared" si="36"/>
        <v/>
      </c>
      <c r="V153" s="4" t="str">
        <f t="shared" si="33"/>
        <v/>
      </c>
      <c r="W153" s="4" t="str">
        <f t="shared" si="30"/>
        <v/>
      </c>
      <c r="X153" s="4" t="str">
        <f t="shared" si="30"/>
        <v/>
      </c>
      <c r="Y153" s="4" t="str">
        <f t="shared" si="30"/>
        <v/>
      </c>
      <c r="Z153" s="4" t="str">
        <f t="shared" si="30"/>
        <v/>
      </c>
      <c r="AA153" s="4" t="str">
        <f t="shared" si="30"/>
        <v/>
      </c>
      <c r="AB153" s="4" t="str">
        <f t="shared" si="30"/>
        <v/>
      </c>
      <c r="AC153" s="5" t="str">
        <f t="shared" si="30"/>
        <v/>
      </c>
      <c r="AD153" s="3" t="str">
        <f t="shared" si="37"/>
        <v/>
      </c>
      <c r="AE153" s="4" t="str">
        <f t="shared" si="37"/>
        <v/>
      </c>
      <c r="AF153" s="4" t="str">
        <f t="shared" si="37"/>
        <v/>
      </c>
      <c r="AG153" s="4" t="str">
        <f t="shared" si="37"/>
        <v/>
      </c>
      <c r="AH153" s="4" t="str">
        <f t="shared" si="37"/>
        <v/>
      </c>
      <c r="AI153" s="4" t="str">
        <f t="shared" si="37"/>
        <v/>
      </c>
      <c r="AJ153" s="4" t="str">
        <f t="shared" si="37"/>
        <v/>
      </c>
      <c r="AK153" s="4">
        <f t="shared" si="37"/>
        <v>1</v>
      </c>
      <c r="AL153" s="4" t="str">
        <f t="shared" si="34"/>
        <v/>
      </c>
      <c r="AM153" s="4" t="str">
        <f t="shared" si="31"/>
        <v/>
      </c>
      <c r="AN153" s="4" t="str">
        <f t="shared" si="31"/>
        <v/>
      </c>
      <c r="AO153" s="4" t="str">
        <f t="shared" si="31"/>
        <v/>
      </c>
      <c r="AP153" s="4" t="str">
        <f t="shared" si="31"/>
        <v/>
      </c>
      <c r="AQ153" s="4" t="str">
        <f t="shared" si="31"/>
        <v/>
      </c>
      <c r="AR153" s="4" t="str">
        <f t="shared" si="31"/>
        <v/>
      </c>
      <c r="AS153" s="5" t="str">
        <f t="shared" si="31"/>
        <v/>
      </c>
      <c r="AT153" s="3" t="str">
        <f t="shared" si="38"/>
        <v/>
      </c>
      <c r="AU153" s="4" t="str">
        <f t="shared" si="38"/>
        <v/>
      </c>
      <c r="AV153" s="4" t="str">
        <f t="shared" si="38"/>
        <v/>
      </c>
      <c r="AW153" s="4" t="str">
        <f t="shared" si="38"/>
        <v/>
      </c>
      <c r="AX153" s="4" t="str">
        <f t="shared" si="38"/>
        <v/>
      </c>
      <c r="AY153" s="4" t="str">
        <f t="shared" si="38"/>
        <v/>
      </c>
      <c r="AZ153" s="4" t="str">
        <f t="shared" si="38"/>
        <v/>
      </c>
      <c r="BA153" s="4" t="str">
        <f t="shared" si="38"/>
        <v/>
      </c>
      <c r="BB153" s="4" t="str">
        <f t="shared" si="35"/>
        <v/>
      </c>
      <c r="BC153" s="4" t="str">
        <f t="shared" si="32"/>
        <v/>
      </c>
      <c r="BD153" s="4" t="str">
        <f t="shared" si="32"/>
        <v/>
      </c>
      <c r="BE153" s="4" t="str">
        <f t="shared" si="32"/>
        <v/>
      </c>
      <c r="BF153" s="4" t="str">
        <f t="shared" si="32"/>
        <v/>
      </c>
      <c r="BG153" s="4" t="str">
        <f t="shared" si="32"/>
        <v/>
      </c>
      <c r="BH153" s="4" t="str">
        <f t="shared" si="32"/>
        <v/>
      </c>
      <c r="BI153" s="5" t="str">
        <f t="shared" si="32"/>
        <v/>
      </c>
    </row>
    <row r="154" spans="1:61" x14ac:dyDescent="0.25">
      <c r="A154">
        <v>435120</v>
      </c>
      <c r="B154" t="s">
        <v>15</v>
      </c>
      <c r="C154" t="s">
        <v>16</v>
      </c>
      <c r="D154">
        <v>47335</v>
      </c>
      <c r="E154">
        <v>894</v>
      </c>
      <c r="F154">
        <v>81</v>
      </c>
      <c r="G154">
        <v>20122</v>
      </c>
      <c r="H154" t="s">
        <v>0</v>
      </c>
      <c r="I154">
        <v>12221</v>
      </c>
      <c r="J154">
        <v>407</v>
      </c>
      <c r="K154">
        <v>21728.87</v>
      </c>
      <c r="L154">
        <v>21642.87</v>
      </c>
      <c r="M154">
        <v>86</v>
      </c>
      <c r="N154" s="3" t="str">
        <f t="shared" si="36"/>
        <v/>
      </c>
      <c r="O154" s="4" t="str">
        <f t="shared" si="36"/>
        <v/>
      </c>
      <c r="P154" s="4" t="str">
        <f t="shared" si="36"/>
        <v/>
      </c>
      <c r="Q154" s="4" t="str">
        <f t="shared" si="36"/>
        <v/>
      </c>
      <c r="R154" s="4" t="str">
        <f t="shared" si="36"/>
        <v/>
      </c>
      <c r="S154" s="4" t="str">
        <f t="shared" si="36"/>
        <v/>
      </c>
      <c r="T154" s="4" t="str">
        <f t="shared" si="36"/>
        <v/>
      </c>
      <c r="U154" s="4" t="str">
        <f t="shared" si="36"/>
        <v/>
      </c>
      <c r="V154" s="4" t="str">
        <f t="shared" si="33"/>
        <v/>
      </c>
      <c r="W154" s="4" t="str">
        <f t="shared" si="30"/>
        <v/>
      </c>
      <c r="X154" s="4" t="str">
        <f t="shared" si="30"/>
        <v/>
      </c>
      <c r="Y154" s="4" t="str">
        <f t="shared" si="30"/>
        <v/>
      </c>
      <c r="Z154" s="4" t="str">
        <f t="shared" si="30"/>
        <v/>
      </c>
      <c r="AA154" s="4" t="str">
        <f t="shared" si="30"/>
        <v/>
      </c>
      <c r="AB154" s="4" t="str">
        <f t="shared" ref="W154:AC191" si="39">IF(AND($B154=AB$3, $G154=AB$2, LEFT($H154, 6)=AB$1), 1, "")</f>
        <v/>
      </c>
      <c r="AC154" s="5" t="str">
        <f t="shared" si="39"/>
        <v/>
      </c>
      <c r="AD154" s="3" t="str">
        <f t="shared" si="37"/>
        <v/>
      </c>
      <c r="AE154" s="4" t="str">
        <f t="shared" si="37"/>
        <v/>
      </c>
      <c r="AF154" s="4" t="str">
        <f t="shared" si="37"/>
        <v/>
      </c>
      <c r="AG154" s="4" t="str">
        <f t="shared" si="37"/>
        <v/>
      </c>
      <c r="AH154" s="4" t="str">
        <f t="shared" si="37"/>
        <v/>
      </c>
      <c r="AI154" s="4">
        <f t="shared" si="37"/>
        <v>1</v>
      </c>
      <c r="AJ154" s="4" t="str">
        <f t="shared" si="37"/>
        <v/>
      </c>
      <c r="AK154" s="4" t="str">
        <f t="shared" si="37"/>
        <v/>
      </c>
      <c r="AL154" s="4" t="str">
        <f t="shared" si="34"/>
        <v/>
      </c>
      <c r="AM154" s="4" t="str">
        <f t="shared" si="31"/>
        <v/>
      </c>
      <c r="AN154" s="4" t="str">
        <f t="shared" si="31"/>
        <v/>
      </c>
      <c r="AO154" s="4" t="str">
        <f t="shared" si="31"/>
        <v/>
      </c>
      <c r="AP154" s="4" t="str">
        <f t="shared" si="31"/>
        <v/>
      </c>
      <c r="AQ154" s="4" t="str">
        <f t="shared" si="31"/>
        <v/>
      </c>
      <c r="AR154" s="4" t="str">
        <f t="shared" ref="AM154:AS191" si="40">IF(AND($B154=AR$3, $G154=AR$2, LEFT($H154, 6)=AR$1), 1, "")</f>
        <v/>
      </c>
      <c r="AS154" s="5" t="str">
        <f t="shared" si="40"/>
        <v/>
      </c>
      <c r="AT154" s="3" t="str">
        <f t="shared" si="38"/>
        <v/>
      </c>
      <c r="AU154" s="4" t="str">
        <f t="shared" si="38"/>
        <v/>
      </c>
      <c r="AV154" s="4" t="str">
        <f t="shared" si="38"/>
        <v/>
      </c>
      <c r="AW154" s="4" t="str">
        <f t="shared" si="38"/>
        <v/>
      </c>
      <c r="AX154" s="4" t="str">
        <f t="shared" si="38"/>
        <v/>
      </c>
      <c r="AY154" s="4" t="str">
        <f t="shared" si="38"/>
        <v/>
      </c>
      <c r="AZ154" s="4" t="str">
        <f t="shared" si="38"/>
        <v/>
      </c>
      <c r="BA154" s="4" t="str">
        <f t="shared" si="38"/>
        <v/>
      </c>
      <c r="BB154" s="4" t="str">
        <f t="shared" si="35"/>
        <v/>
      </c>
      <c r="BC154" s="4" t="str">
        <f t="shared" si="32"/>
        <v/>
      </c>
      <c r="BD154" s="4" t="str">
        <f t="shared" si="32"/>
        <v/>
      </c>
      <c r="BE154" s="4" t="str">
        <f t="shared" si="32"/>
        <v/>
      </c>
      <c r="BF154" s="4" t="str">
        <f t="shared" si="32"/>
        <v/>
      </c>
      <c r="BG154" s="4" t="str">
        <f t="shared" si="32"/>
        <v/>
      </c>
      <c r="BH154" s="4" t="str">
        <f t="shared" ref="BC154:BI191" si="41">IF(AND($B154=BH$3, $G154=BH$2, LEFT($H154, 6)=BH$1), 1, "")</f>
        <v/>
      </c>
      <c r="BI154" s="5" t="str">
        <f t="shared" si="41"/>
        <v/>
      </c>
    </row>
    <row r="155" spans="1:61" x14ac:dyDescent="0.25">
      <c r="A155">
        <v>435121</v>
      </c>
      <c r="B155" t="s">
        <v>15</v>
      </c>
      <c r="C155" t="s">
        <v>16</v>
      </c>
      <c r="D155">
        <v>47335</v>
      </c>
      <c r="E155">
        <v>894</v>
      </c>
      <c r="F155">
        <v>81</v>
      </c>
      <c r="G155">
        <v>20123</v>
      </c>
      <c r="H155" t="s">
        <v>0</v>
      </c>
      <c r="I155">
        <v>123094</v>
      </c>
      <c r="J155">
        <v>4086</v>
      </c>
      <c r="K155">
        <v>180079.42</v>
      </c>
      <c r="L155">
        <v>179167.89</v>
      </c>
      <c r="M155">
        <v>911.53</v>
      </c>
      <c r="N155" s="3" t="str">
        <f t="shared" si="36"/>
        <v/>
      </c>
      <c r="O155" s="4" t="str">
        <f t="shared" si="36"/>
        <v/>
      </c>
      <c r="P155" s="4" t="str">
        <f t="shared" si="36"/>
        <v/>
      </c>
      <c r="Q155" s="4" t="str">
        <f t="shared" si="36"/>
        <v/>
      </c>
      <c r="R155" s="4" t="str">
        <f t="shared" si="36"/>
        <v/>
      </c>
      <c r="S155" s="4" t="str">
        <f t="shared" si="36"/>
        <v/>
      </c>
      <c r="T155" s="4" t="str">
        <f t="shared" si="36"/>
        <v/>
      </c>
      <c r="U155" s="4" t="str">
        <f t="shared" si="36"/>
        <v/>
      </c>
      <c r="V155" s="4" t="str">
        <f t="shared" si="33"/>
        <v/>
      </c>
      <c r="W155" s="4" t="str">
        <f t="shared" si="39"/>
        <v/>
      </c>
      <c r="X155" s="4" t="str">
        <f t="shared" si="39"/>
        <v/>
      </c>
      <c r="Y155" s="4" t="str">
        <f t="shared" si="39"/>
        <v/>
      </c>
      <c r="Z155" s="4" t="str">
        <f t="shared" si="39"/>
        <v/>
      </c>
      <c r="AA155" s="4" t="str">
        <f t="shared" si="39"/>
        <v/>
      </c>
      <c r="AB155" s="4" t="str">
        <f t="shared" si="39"/>
        <v/>
      </c>
      <c r="AC155" s="5" t="str">
        <f t="shared" si="39"/>
        <v/>
      </c>
      <c r="AD155" s="3" t="str">
        <f t="shared" si="37"/>
        <v/>
      </c>
      <c r="AE155" s="4" t="str">
        <f t="shared" si="37"/>
        <v/>
      </c>
      <c r="AF155" s="4" t="str">
        <f t="shared" si="37"/>
        <v/>
      </c>
      <c r="AG155" s="4" t="str">
        <f t="shared" si="37"/>
        <v/>
      </c>
      <c r="AH155" s="4" t="str">
        <f t="shared" si="37"/>
        <v/>
      </c>
      <c r="AI155" s="4" t="str">
        <f t="shared" si="37"/>
        <v/>
      </c>
      <c r="AJ155" s="4">
        <f t="shared" si="37"/>
        <v>1</v>
      </c>
      <c r="AK155" s="4" t="str">
        <f t="shared" si="37"/>
        <v/>
      </c>
      <c r="AL155" s="4" t="str">
        <f t="shared" si="34"/>
        <v/>
      </c>
      <c r="AM155" s="4" t="str">
        <f t="shared" si="40"/>
        <v/>
      </c>
      <c r="AN155" s="4" t="str">
        <f t="shared" si="40"/>
        <v/>
      </c>
      <c r="AO155" s="4" t="str">
        <f t="shared" si="40"/>
        <v/>
      </c>
      <c r="AP155" s="4" t="str">
        <f t="shared" si="40"/>
        <v/>
      </c>
      <c r="AQ155" s="4" t="str">
        <f t="shared" si="40"/>
        <v/>
      </c>
      <c r="AR155" s="4" t="str">
        <f t="shared" si="40"/>
        <v/>
      </c>
      <c r="AS155" s="5" t="str">
        <f t="shared" si="40"/>
        <v/>
      </c>
      <c r="AT155" s="3" t="str">
        <f t="shared" si="38"/>
        <v/>
      </c>
      <c r="AU155" s="4" t="str">
        <f t="shared" si="38"/>
        <v/>
      </c>
      <c r="AV155" s="4" t="str">
        <f t="shared" si="38"/>
        <v/>
      </c>
      <c r="AW155" s="4" t="str">
        <f t="shared" si="38"/>
        <v/>
      </c>
      <c r="AX155" s="4" t="str">
        <f t="shared" si="38"/>
        <v/>
      </c>
      <c r="AY155" s="4" t="str">
        <f t="shared" si="38"/>
        <v/>
      </c>
      <c r="AZ155" s="4" t="str">
        <f t="shared" si="38"/>
        <v/>
      </c>
      <c r="BA155" s="4" t="str">
        <f t="shared" si="38"/>
        <v/>
      </c>
      <c r="BB155" s="4" t="str">
        <f t="shared" si="35"/>
        <v/>
      </c>
      <c r="BC155" s="4" t="str">
        <f t="shared" si="41"/>
        <v/>
      </c>
      <c r="BD155" s="4" t="str">
        <f t="shared" si="41"/>
        <v/>
      </c>
      <c r="BE155" s="4" t="str">
        <f t="shared" si="41"/>
        <v/>
      </c>
      <c r="BF155" s="4" t="str">
        <f t="shared" si="41"/>
        <v/>
      </c>
      <c r="BG155" s="4" t="str">
        <f t="shared" si="41"/>
        <v/>
      </c>
      <c r="BH155" s="4" t="str">
        <f t="shared" si="41"/>
        <v/>
      </c>
      <c r="BI155" s="5" t="str">
        <f t="shared" si="41"/>
        <v/>
      </c>
    </row>
    <row r="156" spans="1:61" x14ac:dyDescent="0.25">
      <c r="A156">
        <v>435122</v>
      </c>
      <c r="B156" t="s">
        <v>15</v>
      </c>
      <c r="C156" t="s">
        <v>16</v>
      </c>
      <c r="D156">
        <v>47335</v>
      </c>
      <c r="E156">
        <v>894</v>
      </c>
      <c r="F156">
        <v>81</v>
      </c>
      <c r="G156">
        <v>20124</v>
      </c>
      <c r="H156" t="s">
        <v>0</v>
      </c>
      <c r="I156">
        <v>142999</v>
      </c>
      <c r="J156">
        <v>4737</v>
      </c>
      <c r="K156">
        <v>191398.13</v>
      </c>
      <c r="L156">
        <v>190720.96</v>
      </c>
      <c r="M156">
        <v>677.17</v>
      </c>
      <c r="N156" s="3" t="str">
        <f t="shared" si="36"/>
        <v/>
      </c>
      <c r="O156" s="4" t="str">
        <f t="shared" si="36"/>
        <v/>
      </c>
      <c r="P156" s="4" t="str">
        <f t="shared" si="36"/>
        <v/>
      </c>
      <c r="Q156" s="4" t="str">
        <f t="shared" si="36"/>
        <v/>
      </c>
      <c r="R156" s="4" t="str">
        <f t="shared" si="36"/>
        <v/>
      </c>
      <c r="S156" s="4" t="str">
        <f t="shared" si="36"/>
        <v/>
      </c>
      <c r="T156" s="4" t="str">
        <f t="shared" si="36"/>
        <v/>
      </c>
      <c r="U156" s="4" t="str">
        <f t="shared" si="36"/>
        <v/>
      </c>
      <c r="V156" s="4" t="str">
        <f t="shared" si="33"/>
        <v/>
      </c>
      <c r="W156" s="4" t="str">
        <f t="shared" si="39"/>
        <v/>
      </c>
      <c r="X156" s="4" t="str">
        <f t="shared" si="39"/>
        <v/>
      </c>
      <c r="Y156" s="4" t="str">
        <f t="shared" si="39"/>
        <v/>
      </c>
      <c r="Z156" s="4" t="str">
        <f t="shared" si="39"/>
        <v/>
      </c>
      <c r="AA156" s="4" t="str">
        <f t="shared" si="39"/>
        <v/>
      </c>
      <c r="AB156" s="4" t="str">
        <f t="shared" si="39"/>
        <v/>
      </c>
      <c r="AC156" s="5" t="str">
        <f t="shared" si="39"/>
        <v/>
      </c>
      <c r="AD156" s="3" t="str">
        <f t="shared" si="37"/>
        <v/>
      </c>
      <c r="AE156" s="4" t="str">
        <f t="shared" si="37"/>
        <v/>
      </c>
      <c r="AF156" s="4" t="str">
        <f t="shared" si="37"/>
        <v/>
      </c>
      <c r="AG156" s="4" t="str">
        <f t="shared" si="37"/>
        <v/>
      </c>
      <c r="AH156" s="4" t="str">
        <f t="shared" si="37"/>
        <v/>
      </c>
      <c r="AI156" s="4" t="str">
        <f t="shared" si="37"/>
        <v/>
      </c>
      <c r="AJ156" s="4" t="str">
        <f t="shared" si="37"/>
        <v/>
      </c>
      <c r="AK156" s="4">
        <f t="shared" si="37"/>
        <v>1</v>
      </c>
      <c r="AL156" s="4" t="str">
        <f t="shared" si="34"/>
        <v/>
      </c>
      <c r="AM156" s="4" t="str">
        <f t="shared" si="40"/>
        <v/>
      </c>
      <c r="AN156" s="4" t="str">
        <f t="shared" si="40"/>
        <v/>
      </c>
      <c r="AO156" s="4" t="str">
        <f t="shared" si="40"/>
        <v/>
      </c>
      <c r="AP156" s="4" t="str">
        <f t="shared" si="40"/>
        <v/>
      </c>
      <c r="AQ156" s="4" t="str">
        <f t="shared" si="40"/>
        <v/>
      </c>
      <c r="AR156" s="4" t="str">
        <f t="shared" si="40"/>
        <v/>
      </c>
      <c r="AS156" s="5" t="str">
        <f t="shared" si="40"/>
        <v/>
      </c>
      <c r="AT156" s="3" t="str">
        <f t="shared" si="38"/>
        <v/>
      </c>
      <c r="AU156" s="4" t="str">
        <f t="shared" si="38"/>
        <v/>
      </c>
      <c r="AV156" s="4" t="str">
        <f t="shared" si="38"/>
        <v/>
      </c>
      <c r="AW156" s="4" t="str">
        <f t="shared" si="38"/>
        <v/>
      </c>
      <c r="AX156" s="4" t="str">
        <f t="shared" si="38"/>
        <v/>
      </c>
      <c r="AY156" s="4" t="str">
        <f t="shared" si="38"/>
        <v/>
      </c>
      <c r="AZ156" s="4" t="str">
        <f t="shared" si="38"/>
        <v/>
      </c>
      <c r="BA156" s="4" t="str">
        <f t="shared" si="38"/>
        <v/>
      </c>
      <c r="BB156" s="4" t="str">
        <f t="shared" si="35"/>
        <v/>
      </c>
      <c r="BC156" s="4" t="str">
        <f t="shared" si="41"/>
        <v/>
      </c>
      <c r="BD156" s="4" t="str">
        <f t="shared" si="41"/>
        <v/>
      </c>
      <c r="BE156" s="4" t="str">
        <f t="shared" si="41"/>
        <v/>
      </c>
      <c r="BF156" s="4" t="str">
        <f t="shared" si="41"/>
        <v/>
      </c>
      <c r="BG156" s="4" t="str">
        <f t="shared" si="41"/>
        <v/>
      </c>
      <c r="BH156" s="4" t="str">
        <f t="shared" si="41"/>
        <v/>
      </c>
      <c r="BI156" s="5" t="str">
        <f t="shared" si="41"/>
        <v/>
      </c>
    </row>
    <row r="157" spans="1:61" x14ac:dyDescent="0.25">
      <c r="A157">
        <v>435123</v>
      </c>
      <c r="B157" t="s">
        <v>15</v>
      </c>
      <c r="C157" t="s">
        <v>16</v>
      </c>
      <c r="D157">
        <v>47335</v>
      </c>
      <c r="E157">
        <v>894</v>
      </c>
      <c r="F157">
        <v>83</v>
      </c>
      <c r="G157">
        <v>20122</v>
      </c>
      <c r="H157" t="s">
        <v>0</v>
      </c>
      <c r="I157">
        <v>22571</v>
      </c>
      <c r="J157">
        <v>755</v>
      </c>
      <c r="K157">
        <v>42233.23</v>
      </c>
      <c r="L157">
        <v>42097.78</v>
      </c>
      <c r="M157">
        <v>135.44999999999999</v>
      </c>
      <c r="N157" s="3" t="str">
        <f t="shared" si="36"/>
        <v/>
      </c>
      <c r="O157" s="4" t="str">
        <f t="shared" si="36"/>
        <v/>
      </c>
      <c r="P157" s="4" t="str">
        <f t="shared" si="36"/>
        <v/>
      </c>
      <c r="Q157" s="4" t="str">
        <f t="shared" si="36"/>
        <v/>
      </c>
      <c r="R157" s="4" t="str">
        <f t="shared" si="36"/>
        <v/>
      </c>
      <c r="S157" s="4" t="str">
        <f t="shared" si="36"/>
        <v/>
      </c>
      <c r="T157" s="4" t="str">
        <f t="shared" si="36"/>
        <v/>
      </c>
      <c r="U157" s="4" t="str">
        <f t="shared" si="36"/>
        <v/>
      </c>
      <c r="V157" s="4" t="str">
        <f t="shared" si="33"/>
        <v/>
      </c>
      <c r="W157" s="4" t="str">
        <f t="shared" si="39"/>
        <v/>
      </c>
      <c r="X157" s="4" t="str">
        <f t="shared" si="39"/>
        <v/>
      </c>
      <c r="Y157" s="4" t="str">
        <f t="shared" si="39"/>
        <v/>
      </c>
      <c r="Z157" s="4" t="str">
        <f t="shared" si="39"/>
        <v/>
      </c>
      <c r="AA157" s="4" t="str">
        <f t="shared" si="39"/>
        <v/>
      </c>
      <c r="AB157" s="4" t="str">
        <f t="shared" si="39"/>
        <v/>
      </c>
      <c r="AC157" s="5" t="str">
        <f t="shared" si="39"/>
        <v/>
      </c>
      <c r="AD157" s="3" t="str">
        <f t="shared" si="37"/>
        <v/>
      </c>
      <c r="AE157" s="4" t="str">
        <f t="shared" si="37"/>
        <v/>
      </c>
      <c r="AF157" s="4" t="str">
        <f t="shared" si="37"/>
        <v/>
      </c>
      <c r="AG157" s="4" t="str">
        <f t="shared" si="37"/>
        <v/>
      </c>
      <c r="AH157" s="4" t="str">
        <f t="shared" si="37"/>
        <v/>
      </c>
      <c r="AI157" s="4">
        <f t="shared" si="37"/>
        <v>1</v>
      </c>
      <c r="AJ157" s="4" t="str">
        <f t="shared" si="37"/>
        <v/>
      </c>
      <c r="AK157" s="4" t="str">
        <f t="shared" si="37"/>
        <v/>
      </c>
      <c r="AL157" s="4" t="str">
        <f t="shared" si="34"/>
        <v/>
      </c>
      <c r="AM157" s="4" t="str">
        <f t="shared" si="40"/>
        <v/>
      </c>
      <c r="AN157" s="4" t="str">
        <f t="shared" si="40"/>
        <v/>
      </c>
      <c r="AO157" s="4" t="str">
        <f t="shared" si="40"/>
        <v/>
      </c>
      <c r="AP157" s="4" t="str">
        <f t="shared" si="40"/>
        <v/>
      </c>
      <c r="AQ157" s="4" t="str">
        <f t="shared" si="40"/>
        <v/>
      </c>
      <c r="AR157" s="4" t="str">
        <f t="shared" si="40"/>
        <v/>
      </c>
      <c r="AS157" s="5" t="str">
        <f t="shared" si="40"/>
        <v/>
      </c>
      <c r="AT157" s="3" t="str">
        <f t="shared" si="38"/>
        <v/>
      </c>
      <c r="AU157" s="4" t="str">
        <f t="shared" si="38"/>
        <v/>
      </c>
      <c r="AV157" s="4" t="str">
        <f t="shared" si="38"/>
        <v/>
      </c>
      <c r="AW157" s="4" t="str">
        <f t="shared" si="38"/>
        <v/>
      </c>
      <c r="AX157" s="4" t="str">
        <f t="shared" si="38"/>
        <v/>
      </c>
      <c r="AY157" s="4" t="str">
        <f t="shared" si="38"/>
        <v/>
      </c>
      <c r="AZ157" s="4" t="str">
        <f t="shared" si="38"/>
        <v/>
      </c>
      <c r="BA157" s="4" t="str">
        <f t="shared" si="38"/>
        <v/>
      </c>
      <c r="BB157" s="4" t="str">
        <f t="shared" si="35"/>
        <v/>
      </c>
      <c r="BC157" s="4" t="str">
        <f t="shared" si="41"/>
        <v/>
      </c>
      <c r="BD157" s="4" t="str">
        <f t="shared" si="41"/>
        <v/>
      </c>
      <c r="BE157" s="4" t="str">
        <f t="shared" si="41"/>
        <v/>
      </c>
      <c r="BF157" s="4" t="str">
        <f t="shared" si="41"/>
        <v/>
      </c>
      <c r="BG157" s="4" t="str">
        <f t="shared" si="41"/>
        <v/>
      </c>
      <c r="BH157" s="4" t="str">
        <f t="shared" si="41"/>
        <v/>
      </c>
      <c r="BI157" s="5" t="str">
        <f t="shared" si="41"/>
        <v/>
      </c>
    </row>
    <row r="158" spans="1:61" x14ac:dyDescent="0.25">
      <c r="A158">
        <v>435124</v>
      </c>
      <c r="B158" t="s">
        <v>15</v>
      </c>
      <c r="C158" t="s">
        <v>16</v>
      </c>
      <c r="D158">
        <v>47335</v>
      </c>
      <c r="E158">
        <v>894</v>
      </c>
      <c r="F158">
        <v>83</v>
      </c>
      <c r="G158">
        <v>20123</v>
      </c>
      <c r="H158" t="s">
        <v>0</v>
      </c>
      <c r="I158">
        <v>141568</v>
      </c>
      <c r="J158">
        <v>4703</v>
      </c>
      <c r="K158">
        <v>210700.21</v>
      </c>
      <c r="L158">
        <v>209694.59</v>
      </c>
      <c r="M158">
        <v>1005.62</v>
      </c>
      <c r="N158" s="3" t="str">
        <f t="shared" si="36"/>
        <v/>
      </c>
      <c r="O158" s="4" t="str">
        <f t="shared" si="36"/>
        <v/>
      </c>
      <c r="P158" s="4" t="str">
        <f t="shared" si="36"/>
        <v/>
      </c>
      <c r="Q158" s="4" t="str">
        <f t="shared" si="36"/>
        <v/>
      </c>
      <c r="R158" s="4" t="str">
        <f t="shared" si="36"/>
        <v/>
      </c>
      <c r="S158" s="4" t="str">
        <f t="shared" si="36"/>
        <v/>
      </c>
      <c r="T158" s="4" t="str">
        <f t="shared" si="36"/>
        <v/>
      </c>
      <c r="U158" s="4" t="str">
        <f t="shared" si="36"/>
        <v/>
      </c>
      <c r="V158" s="4" t="str">
        <f t="shared" si="33"/>
        <v/>
      </c>
      <c r="W158" s="4" t="str">
        <f t="shared" si="39"/>
        <v/>
      </c>
      <c r="X158" s="4" t="str">
        <f t="shared" si="39"/>
        <v/>
      </c>
      <c r="Y158" s="4" t="str">
        <f t="shared" si="39"/>
        <v/>
      </c>
      <c r="Z158" s="4" t="str">
        <f t="shared" si="39"/>
        <v/>
      </c>
      <c r="AA158" s="4" t="str">
        <f t="shared" si="39"/>
        <v/>
      </c>
      <c r="AB158" s="4" t="str">
        <f t="shared" si="39"/>
        <v/>
      </c>
      <c r="AC158" s="5" t="str">
        <f t="shared" si="39"/>
        <v/>
      </c>
      <c r="AD158" s="3" t="str">
        <f t="shared" si="37"/>
        <v/>
      </c>
      <c r="AE158" s="4" t="str">
        <f t="shared" si="37"/>
        <v/>
      </c>
      <c r="AF158" s="4" t="str">
        <f t="shared" si="37"/>
        <v/>
      </c>
      <c r="AG158" s="4" t="str">
        <f t="shared" si="37"/>
        <v/>
      </c>
      <c r="AH158" s="4" t="str">
        <f t="shared" si="37"/>
        <v/>
      </c>
      <c r="AI158" s="4" t="str">
        <f t="shared" si="37"/>
        <v/>
      </c>
      <c r="AJ158" s="4">
        <f t="shared" si="37"/>
        <v>1</v>
      </c>
      <c r="AK158" s="4" t="str">
        <f t="shared" si="37"/>
        <v/>
      </c>
      <c r="AL158" s="4" t="str">
        <f t="shared" si="34"/>
        <v/>
      </c>
      <c r="AM158" s="4" t="str">
        <f t="shared" si="40"/>
        <v/>
      </c>
      <c r="AN158" s="4" t="str">
        <f t="shared" si="40"/>
        <v/>
      </c>
      <c r="AO158" s="4" t="str">
        <f t="shared" si="40"/>
        <v/>
      </c>
      <c r="AP158" s="4" t="str">
        <f t="shared" si="40"/>
        <v/>
      </c>
      <c r="AQ158" s="4" t="str">
        <f t="shared" si="40"/>
        <v/>
      </c>
      <c r="AR158" s="4" t="str">
        <f t="shared" si="40"/>
        <v/>
      </c>
      <c r="AS158" s="5" t="str">
        <f t="shared" si="40"/>
        <v/>
      </c>
      <c r="AT158" s="3" t="str">
        <f t="shared" si="38"/>
        <v/>
      </c>
      <c r="AU158" s="4" t="str">
        <f t="shared" si="38"/>
        <v/>
      </c>
      <c r="AV158" s="4" t="str">
        <f t="shared" si="38"/>
        <v/>
      </c>
      <c r="AW158" s="4" t="str">
        <f t="shared" si="38"/>
        <v/>
      </c>
      <c r="AX158" s="4" t="str">
        <f t="shared" si="38"/>
        <v/>
      </c>
      <c r="AY158" s="4" t="str">
        <f t="shared" si="38"/>
        <v/>
      </c>
      <c r="AZ158" s="4" t="str">
        <f t="shared" si="38"/>
        <v/>
      </c>
      <c r="BA158" s="4" t="str">
        <f t="shared" si="38"/>
        <v/>
      </c>
      <c r="BB158" s="4" t="str">
        <f t="shared" si="35"/>
        <v/>
      </c>
      <c r="BC158" s="4" t="str">
        <f t="shared" si="41"/>
        <v/>
      </c>
      <c r="BD158" s="4" t="str">
        <f t="shared" si="41"/>
        <v/>
      </c>
      <c r="BE158" s="4" t="str">
        <f t="shared" si="41"/>
        <v/>
      </c>
      <c r="BF158" s="4" t="str">
        <f t="shared" si="41"/>
        <v/>
      </c>
      <c r="BG158" s="4" t="str">
        <f t="shared" si="41"/>
        <v/>
      </c>
      <c r="BH158" s="4" t="str">
        <f t="shared" si="41"/>
        <v/>
      </c>
      <c r="BI158" s="5" t="str">
        <f t="shared" si="41"/>
        <v/>
      </c>
    </row>
    <row r="159" spans="1:61" x14ac:dyDescent="0.25">
      <c r="A159">
        <v>435125</v>
      </c>
      <c r="B159" t="s">
        <v>15</v>
      </c>
      <c r="C159" t="s">
        <v>16</v>
      </c>
      <c r="D159">
        <v>47335</v>
      </c>
      <c r="E159">
        <v>894</v>
      </c>
      <c r="F159">
        <v>83</v>
      </c>
      <c r="G159">
        <v>20124</v>
      </c>
      <c r="H159" t="s">
        <v>0</v>
      </c>
      <c r="I159">
        <v>148441</v>
      </c>
      <c r="J159">
        <v>4907</v>
      </c>
      <c r="K159">
        <v>208201.23</v>
      </c>
      <c r="L159">
        <v>207136.4</v>
      </c>
      <c r="M159">
        <v>1064.83</v>
      </c>
      <c r="N159" s="3" t="str">
        <f t="shared" si="36"/>
        <v/>
      </c>
      <c r="O159" s="4" t="str">
        <f t="shared" si="36"/>
        <v/>
      </c>
      <c r="P159" s="4" t="str">
        <f t="shared" si="36"/>
        <v/>
      </c>
      <c r="Q159" s="4" t="str">
        <f t="shared" si="36"/>
        <v/>
      </c>
      <c r="R159" s="4" t="str">
        <f t="shared" si="36"/>
        <v/>
      </c>
      <c r="S159" s="4" t="str">
        <f t="shared" si="36"/>
        <v/>
      </c>
      <c r="T159" s="4" t="str">
        <f t="shared" si="36"/>
        <v/>
      </c>
      <c r="U159" s="4" t="str">
        <f t="shared" si="36"/>
        <v/>
      </c>
      <c r="V159" s="4" t="str">
        <f t="shared" si="33"/>
        <v/>
      </c>
      <c r="W159" s="4" t="str">
        <f t="shared" si="39"/>
        <v/>
      </c>
      <c r="X159" s="4" t="str">
        <f t="shared" si="39"/>
        <v/>
      </c>
      <c r="Y159" s="4" t="str">
        <f t="shared" si="39"/>
        <v/>
      </c>
      <c r="Z159" s="4" t="str">
        <f t="shared" si="39"/>
        <v/>
      </c>
      <c r="AA159" s="4" t="str">
        <f t="shared" si="39"/>
        <v/>
      </c>
      <c r="AB159" s="4" t="str">
        <f t="shared" si="39"/>
        <v/>
      </c>
      <c r="AC159" s="5" t="str">
        <f t="shared" si="39"/>
        <v/>
      </c>
      <c r="AD159" s="3" t="str">
        <f t="shared" si="37"/>
        <v/>
      </c>
      <c r="AE159" s="4" t="str">
        <f t="shared" si="37"/>
        <v/>
      </c>
      <c r="AF159" s="4" t="str">
        <f t="shared" si="37"/>
        <v/>
      </c>
      <c r="AG159" s="4" t="str">
        <f t="shared" si="37"/>
        <v/>
      </c>
      <c r="AH159" s="4" t="str">
        <f t="shared" si="37"/>
        <v/>
      </c>
      <c r="AI159" s="4" t="str">
        <f t="shared" si="37"/>
        <v/>
      </c>
      <c r="AJ159" s="4" t="str">
        <f t="shared" si="37"/>
        <v/>
      </c>
      <c r="AK159" s="4">
        <f t="shared" si="37"/>
        <v>1</v>
      </c>
      <c r="AL159" s="4" t="str">
        <f t="shared" si="34"/>
        <v/>
      </c>
      <c r="AM159" s="4" t="str">
        <f t="shared" si="40"/>
        <v/>
      </c>
      <c r="AN159" s="4" t="str">
        <f t="shared" si="40"/>
        <v/>
      </c>
      <c r="AO159" s="4" t="str">
        <f t="shared" si="40"/>
        <v/>
      </c>
      <c r="AP159" s="4" t="str">
        <f t="shared" si="40"/>
        <v/>
      </c>
      <c r="AQ159" s="4" t="str">
        <f t="shared" si="40"/>
        <v/>
      </c>
      <c r="AR159" s="4" t="str">
        <f t="shared" si="40"/>
        <v/>
      </c>
      <c r="AS159" s="5" t="str">
        <f t="shared" si="40"/>
        <v/>
      </c>
      <c r="AT159" s="3" t="str">
        <f t="shared" si="38"/>
        <v/>
      </c>
      <c r="AU159" s="4" t="str">
        <f t="shared" si="38"/>
        <v/>
      </c>
      <c r="AV159" s="4" t="str">
        <f t="shared" si="38"/>
        <v/>
      </c>
      <c r="AW159" s="4" t="str">
        <f t="shared" si="38"/>
        <v/>
      </c>
      <c r="AX159" s="4" t="str">
        <f t="shared" si="38"/>
        <v/>
      </c>
      <c r="AY159" s="4" t="str">
        <f t="shared" si="38"/>
        <v/>
      </c>
      <c r="AZ159" s="4" t="str">
        <f t="shared" si="38"/>
        <v/>
      </c>
      <c r="BA159" s="4" t="str">
        <f t="shared" si="38"/>
        <v/>
      </c>
      <c r="BB159" s="4" t="str">
        <f t="shared" si="35"/>
        <v/>
      </c>
      <c r="BC159" s="4" t="str">
        <f t="shared" si="41"/>
        <v/>
      </c>
      <c r="BD159" s="4" t="str">
        <f t="shared" si="41"/>
        <v/>
      </c>
      <c r="BE159" s="4" t="str">
        <f t="shared" si="41"/>
        <v/>
      </c>
      <c r="BF159" s="4" t="str">
        <f t="shared" si="41"/>
        <v/>
      </c>
      <c r="BG159" s="4" t="str">
        <f t="shared" si="41"/>
        <v/>
      </c>
      <c r="BH159" s="4" t="str">
        <f t="shared" si="41"/>
        <v/>
      </c>
      <c r="BI159" s="5" t="str">
        <f t="shared" si="41"/>
        <v/>
      </c>
    </row>
    <row r="160" spans="1:61" x14ac:dyDescent="0.25">
      <c r="A160">
        <v>559869</v>
      </c>
      <c r="B160" t="s">
        <v>14</v>
      </c>
      <c r="C160" t="s">
        <v>16</v>
      </c>
      <c r="D160">
        <v>47335</v>
      </c>
      <c r="E160">
        <v>894</v>
      </c>
      <c r="F160">
        <v>13</v>
      </c>
      <c r="G160">
        <v>20131</v>
      </c>
      <c r="H160" t="s">
        <v>0</v>
      </c>
      <c r="I160">
        <v>222837</v>
      </c>
      <c r="J160">
        <v>7320</v>
      </c>
      <c r="K160">
        <v>102626.07</v>
      </c>
      <c r="L160">
        <v>90616.08</v>
      </c>
      <c r="M160">
        <v>12009.99</v>
      </c>
      <c r="N160" s="3" t="str">
        <f t="shared" si="36"/>
        <v/>
      </c>
      <c r="O160" s="4" t="str">
        <f t="shared" si="36"/>
        <v/>
      </c>
      <c r="P160" s="4" t="str">
        <f t="shared" si="36"/>
        <v/>
      </c>
      <c r="Q160" s="4" t="str">
        <f t="shared" si="36"/>
        <v/>
      </c>
      <c r="R160" s="4" t="str">
        <f t="shared" si="36"/>
        <v/>
      </c>
      <c r="S160" s="4" t="str">
        <f t="shared" si="36"/>
        <v/>
      </c>
      <c r="T160" s="4" t="str">
        <f t="shared" si="36"/>
        <v/>
      </c>
      <c r="U160" s="4" t="str">
        <f t="shared" si="36"/>
        <v/>
      </c>
      <c r="V160" s="4" t="str">
        <f t="shared" si="33"/>
        <v/>
      </c>
      <c r="W160" s="4" t="str">
        <f t="shared" si="39"/>
        <v/>
      </c>
      <c r="X160" s="4" t="str">
        <f t="shared" si="39"/>
        <v/>
      </c>
      <c r="Y160" s="4" t="str">
        <f t="shared" si="39"/>
        <v/>
      </c>
      <c r="Z160" s="4" t="str">
        <f t="shared" si="39"/>
        <v/>
      </c>
      <c r="AA160" s="4" t="str">
        <f t="shared" si="39"/>
        <v/>
      </c>
      <c r="AB160" s="4" t="str">
        <f t="shared" si="39"/>
        <v/>
      </c>
      <c r="AC160" s="5" t="str">
        <f t="shared" si="39"/>
        <v/>
      </c>
      <c r="AD160" s="3" t="str">
        <f t="shared" si="37"/>
        <v/>
      </c>
      <c r="AE160" s="4" t="str">
        <f t="shared" si="37"/>
        <v/>
      </c>
      <c r="AF160" s="4" t="str">
        <f t="shared" si="37"/>
        <v/>
      </c>
      <c r="AG160" s="4" t="str">
        <f t="shared" si="37"/>
        <v/>
      </c>
      <c r="AH160" s="4" t="str">
        <f t="shared" si="37"/>
        <v/>
      </c>
      <c r="AI160" s="4" t="str">
        <f t="shared" si="37"/>
        <v/>
      </c>
      <c r="AJ160" s="4" t="str">
        <f t="shared" si="37"/>
        <v/>
      </c>
      <c r="AK160" s="4" t="str">
        <f t="shared" si="37"/>
        <v/>
      </c>
      <c r="AL160" s="4" t="str">
        <f t="shared" si="34"/>
        <v/>
      </c>
      <c r="AM160" s="4" t="str">
        <f t="shared" si="40"/>
        <v/>
      </c>
      <c r="AN160" s="4" t="str">
        <f t="shared" si="40"/>
        <v/>
      </c>
      <c r="AO160" s="4" t="str">
        <f t="shared" si="40"/>
        <v/>
      </c>
      <c r="AP160" s="4" t="str">
        <f t="shared" si="40"/>
        <v/>
      </c>
      <c r="AQ160" s="4" t="str">
        <f t="shared" si="40"/>
        <v/>
      </c>
      <c r="AR160" s="4" t="str">
        <f t="shared" si="40"/>
        <v/>
      </c>
      <c r="AS160" s="5" t="str">
        <f t="shared" si="40"/>
        <v/>
      </c>
      <c r="AT160" s="3">
        <f t="shared" si="38"/>
        <v>1</v>
      </c>
      <c r="AU160" s="4" t="str">
        <f t="shared" si="38"/>
        <v/>
      </c>
      <c r="AV160" s="4" t="str">
        <f t="shared" si="38"/>
        <v/>
      </c>
      <c r="AW160" s="4" t="str">
        <f t="shared" si="38"/>
        <v/>
      </c>
      <c r="AX160" s="4" t="str">
        <f t="shared" si="38"/>
        <v/>
      </c>
      <c r="AY160" s="4" t="str">
        <f t="shared" si="38"/>
        <v/>
      </c>
      <c r="AZ160" s="4" t="str">
        <f t="shared" si="38"/>
        <v/>
      </c>
      <c r="BA160" s="4" t="str">
        <f t="shared" si="38"/>
        <v/>
      </c>
      <c r="BB160" s="4" t="str">
        <f t="shared" si="35"/>
        <v/>
      </c>
      <c r="BC160" s="4" t="str">
        <f t="shared" si="41"/>
        <v/>
      </c>
      <c r="BD160" s="4" t="str">
        <f t="shared" si="41"/>
        <v/>
      </c>
      <c r="BE160" s="4" t="str">
        <f t="shared" si="41"/>
        <v/>
      </c>
      <c r="BF160" s="4" t="str">
        <f t="shared" si="41"/>
        <v/>
      </c>
      <c r="BG160" s="4" t="str">
        <f t="shared" si="41"/>
        <v/>
      </c>
      <c r="BH160" s="4" t="str">
        <f t="shared" si="41"/>
        <v/>
      </c>
      <c r="BI160" s="5" t="str">
        <f t="shared" si="41"/>
        <v/>
      </c>
    </row>
    <row r="161" spans="1:61" x14ac:dyDescent="0.25">
      <c r="A161">
        <v>559870</v>
      </c>
      <c r="B161" t="s">
        <v>14</v>
      </c>
      <c r="C161" t="s">
        <v>16</v>
      </c>
      <c r="D161">
        <v>47335</v>
      </c>
      <c r="E161">
        <v>894</v>
      </c>
      <c r="F161">
        <v>13</v>
      </c>
      <c r="G161">
        <v>20132</v>
      </c>
      <c r="H161" t="s">
        <v>0</v>
      </c>
      <c r="I161">
        <v>263550.40000000002</v>
      </c>
      <c r="J161">
        <v>8690</v>
      </c>
      <c r="K161">
        <v>111701.13</v>
      </c>
      <c r="L161">
        <v>98425.52</v>
      </c>
      <c r="M161">
        <v>13275.61</v>
      </c>
      <c r="N161" s="3" t="str">
        <f t="shared" si="36"/>
        <v/>
      </c>
      <c r="O161" s="4" t="str">
        <f t="shared" si="36"/>
        <v/>
      </c>
      <c r="P161" s="4" t="str">
        <f t="shared" si="36"/>
        <v/>
      </c>
      <c r="Q161" s="4" t="str">
        <f t="shared" si="36"/>
        <v/>
      </c>
      <c r="R161" s="4" t="str">
        <f t="shared" si="36"/>
        <v/>
      </c>
      <c r="S161" s="4" t="str">
        <f t="shared" si="36"/>
        <v/>
      </c>
      <c r="T161" s="4" t="str">
        <f t="shared" si="36"/>
        <v/>
      </c>
      <c r="U161" s="4" t="str">
        <f t="shared" si="36"/>
        <v/>
      </c>
      <c r="V161" s="4" t="str">
        <f t="shared" si="33"/>
        <v/>
      </c>
      <c r="W161" s="4" t="str">
        <f t="shared" si="39"/>
        <v/>
      </c>
      <c r="X161" s="4" t="str">
        <f t="shared" si="39"/>
        <v/>
      </c>
      <c r="Y161" s="4" t="str">
        <f t="shared" si="39"/>
        <v/>
      </c>
      <c r="Z161" s="4" t="str">
        <f t="shared" si="39"/>
        <v/>
      </c>
      <c r="AA161" s="4" t="str">
        <f t="shared" si="39"/>
        <v/>
      </c>
      <c r="AB161" s="4" t="str">
        <f t="shared" si="39"/>
        <v/>
      </c>
      <c r="AC161" s="5" t="str">
        <f t="shared" si="39"/>
        <v/>
      </c>
      <c r="AD161" s="3" t="str">
        <f t="shared" si="37"/>
        <v/>
      </c>
      <c r="AE161" s="4" t="str">
        <f t="shared" si="37"/>
        <v/>
      </c>
      <c r="AF161" s="4" t="str">
        <f t="shared" si="37"/>
        <v/>
      </c>
      <c r="AG161" s="4" t="str">
        <f t="shared" si="37"/>
        <v/>
      </c>
      <c r="AH161" s="4" t="str">
        <f t="shared" si="37"/>
        <v/>
      </c>
      <c r="AI161" s="4" t="str">
        <f t="shared" si="37"/>
        <v/>
      </c>
      <c r="AJ161" s="4" t="str">
        <f t="shared" si="37"/>
        <v/>
      </c>
      <c r="AK161" s="4" t="str">
        <f t="shared" si="37"/>
        <v/>
      </c>
      <c r="AL161" s="4" t="str">
        <f t="shared" si="34"/>
        <v/>
      </c>
      <c r="AM161" s="4" t="str">
        <f t="shared" si="40"/>
        <v/>
      </c>
      <c r="AN161" s="4" t="str">
        <f t="shared" si="40"/>
        <v/>
      </c>
      <c r="AO161" s="4" t="str">
        <f t="shared" si="40"/>
        <v/>
      </c>
      <c r="AP161" s="4" t="str">
        <f t="shared" si="40"/>
        <v/>
      </c>
      <c r="AQ161" s="4" t="str">
        <f t="shared" si="40"/>
        <v/>
      </c>
      <c r="AR161" s="4" t="str">
        <f t="shared" si="40"/>
        <v/>
      </c>
      <c r="AS161" s="5" t="str">
        <f t="shared" si="40"/>
        <v/>
      </c>
      <c r="AT161" s="3" t="str">
        <f t="shared" si="38"/>
        <v/>
      </c>
      <c r="AU161" s="4">
        <f t="shared" si="38"/>
        <v>1</v>
      </c>
      <c r="AV161" s="4" t="str">
        <f t="shared" si="38"/>
        <v/>
      </c>
      <c r="AW161" s="4" t="str">
        <f t="shared" si="38"/>
        <v/>
      </c>
      <c r="AX161" s="4" t="str">
        <f t="shared" si="38"/>
        <v/>
      </c>
      <c r="AY161" s="4" t="str">
        <f t="shared" si="38"/>
        <v/>
      </c>
      <c r="AZ161" s="4" t="str">
        <f t="shared" si="38"/>
        <v/>
      </c>
      <c r="BA161" s="4" t="str">
        <f t="shared" si="38"/>
        <v/>
      </c>
      <c r="BB161" s="4" t="str">
        <f t="shared" si="35"/>
        <v/>
      </c>
      <c r="BC161" s="4" t="str">
        <f t="shared" si="41"/>
        <v/>
      </c>
      <c r="BD161" s="4" t="str">
        <f t="shared" si="41"/>
        <v/>
      </c>
      <c r="BE161" s="4" t="str">
        <f t="shared" si="41"/>
        <v/>
      </c>
      <c r="BF161" s="4" t="str">
        <f t="shared" si="41"/>
        <v/>
      </c>
      <c r="BG161" s="4" t="str">
        <f t="shared" si="41"/>
        <v/>
      </c>
      <c r="BH161" s="4" t="str">
        <f t="shared" si="41"/>
        <v/>
      </c>
      <c r="BI161" s="5" t="str">
        <f t="shared" si="41"/>
        <v/>
      </c>
    </row>
    <row r="162" spans="1:61" x14ac:dyDescent="0.25">
      <c r="A162">
        <v>559871</v>
      </c>
      <c r="B162" t="s">
        <v>14</v>
      </c>
      <c r="C162" t="s">
        <v>16</v>
      </c>
      <c r="D162">
        <v>47335</v>
      </c>
      <c r="E162">
        <v>894</v>
      </c>
      <c r="F162">
        <v>13</v>
      </c>
      <c r="G162">
        <v>20133</v>
      </c>
      <c r="H162" t="s">
        <v>0</v>
      </c>
      <c r="I162">
        <v>337150</v>
      </c>
      <c r="J162">
        <v>11059</v>
      </c>
      <c r="K162">
        <v>139500.73000000001</v>
      </c>
      <c r="L162">
        <v>125936.89</v>
      </c>
      <c r="M162">
        <v>13563.84</v>
      </c>
      <c r="N162" s="3" t="str">
        <f t="shared" si="36"/>
        <v/>
      </c>
      <c r="O162" s="4" t="str">
        <f t="shared" si="36"/>
        <v/>
      </c>
      <c r="P162" s="4" t="str">
        <f t="shared" si="36"/>
        <v/>
      </c>
      <c r="Q162" s="4" t="str">
        <f t="shared" si="36"/>
        <v/>
      </c>
      <c r="R162" s="4" t="str">
        <f t="shared" si="36"/>
        <v/>
      </c>
      <c r="S162" s="4" t="str">
        <f t="shared" si="36"/>
        <v/>
      </c>
      <c r="T162" s="4" t="str">
        <f t="shared" si="36"/>
        <v/>
      </c>
      <c r="U162" s="4" t="str">
        <f t="shared" si="36"/>
        <v/>
      </c>
      <c r="V162" s="4" t="str">
        <f t="shared" si="33"/>
        <v/>
      </c>
      <c r="W162" s="4" t="str">
        <f t="shared" si="39"/>
        <v/>
      </c>
      <c r="X162" s="4" t="str">
        <f t="shared" si="39"/>
        <v/>
      </c>
      <c r="Y162" s="4" t="str">
        <f t="shared" si="39"/>
        <v/>
      </c>
      <c r="Z162" s="4" t="str">
        <f t="shared" si="39"/>
        <v/>
      </c>
      <c r="AA162" s="4" t="str">
        <f t="shared" si="39"/>
        <v/>
      </c>
      <c r="AB162" s="4" t="str">
        <f t="shared" si="39"/>
        <v/>
      </c>
      <c r="AC162" s="5" t="str">
        <f t="shared" si="39"/>
        <v/>
      </c>
      <c r="AD162" s="3" t="str">
        <f t="shared" si="37"/>
        <v/>
      </c>
      <c r="AE162" s="4" t="str">
        <f t="shared" si="37"/>
        <v/>
      </c>
      <c r="AF162" s="4" t="str">
        <f t="shared" si="37"/>
        <v/>
      </c>
      <c r="AG162" s="4" t="str">
        <f t="shared" si="37"/>
        <v/>
      </c>
      <c r="AH162" s="4" t="str">
        <f t="shared" si="37"/>
        <v/>
      </c>
      <c r="AI162" s="4" t="str">
        <f t="shared" si="37"/>
        <v/>
      </c>
      <c r="AJ162" s="4" t="str">
        <f t="shared" si="37"/>
        <v/>
      </c>
      <c r="AK162" s="4" t="str">
        <f t="shared" si="37"/>
        <v/>
      </c>
      <c r="AL162" s="4" t="str">
        <f t="shared" si="34"/>
        <v/>
      </c>
      <c r="AM162" s="4" t="str">
        <f t="shared" si="40"/>
        <v/>
      </c>
      <c r="AN162" s="4" t="str">
        <f t="shared" si="40"/>
        <v/>
      </c>
      <c r="AO162" s="4" t="str">
        <f t="shared" si="40"/>
        <v/>
      </c>
      <c r="AP162" s="4" t="str">
        <f t="shared" si="40"/>
        <v/>
      </c>
      <c r="AQ162" s="4" t="str">
        <f t="shared" si="40"/>
        <v/>
      </c>
      <c r="AR162" s="4" t="str">
        <f t="shared" si="40"/>
        <v/>
      </c>
      <c r="AS162" s="5" t="str">
        <f t="shared" si="40"/>
        <v/>
      </c>
      <c r="AT162" s="3" t="str">
        <f t="shared" si="38"/>
        <v/>
      </c>
      <c r="AU162" s="4" t="str">
        <f t="shared" si="38"/>
        <v/>
      </c>
      <c r="AV162" s="4">
        <f t="shared" si="38"/>
        <v>1</v>
      </c>
      <c r="AW162" s="4" t="str">
        <f t="shared" si="38"/>
        <v/>
      </c>
      <c r="AX162" s="4" t="str">
        <f t="shared" si="38"/>
        <v/>
      </c>
      <c r="AY162" s="4" t="str">
        <f t="shared" si="38"/>
        <v/>
      </c>
      <c r="AZ162" s="4" t="str">
        <f t="shared" si="38"/>
        <v/>
      </c>
      <c r="BA162" s="4" t="str">
        <f t="shared" si="38"/>
        <v/>
      </c>
      <c r="BB162" s="4" t="str">
        <f t="shared" si="35"/>
        <v/>
      </c>
      <c r="BC162" s="4" t="str">
        <f t="shared" si="41"/>
        <v/>
      </c>
      <c r="BD162" s="4" t="str">
        <f t="shared" si="41"/>
        <v/>
      </c>
      <c r="BE162" s="4" t="str">
        <f t="shared" si="41"/>
        <v/>
      </c>
      <c r="BF162" s="4" t="str">
        <f t="shared" si="41"/>
        <v/>
      </c>
      <c r="BG162" s="4" t="str">
        <f t="shared" si="41"/>
        <v/>
      </c>
      <c r="BH162" s="4" t="str">
        <f t="shared" si="41"/>
        <v/>
      </c>
      <c r="BI162" s="5" t="str">
        <f t="shared" si="41"/>
        <v/>
      </c>
    </row>
    <row r="163" spans="1:61" x14ac:dyDescent="0.25">
      <c r="A163">
        <v>559872</v>
      </c>
      <c r="B163" t="s">
        <v>14</v>
      </c>
      <c r="C163" t="s">
        <v>16</v>
      </c>
      <c r="D163">
        <v>47335</v>
      </c>
      <c r="E163">
        <v>894</v>
      </c>
      <c r="F163">
        <v>13</v>
      </c>
      <c r="G163">
        <v>20134</v>
      </c>
      <c r="H163" t="s">
        <v>0</v>
      </c>
      <c r="I163">
        <v>372036</v>
      </c>
      <c r="J163">
        <v>12077</v>
      </c>
      <c r="K163">
        <v>145466.97</v>
      </c>
      <c r="L163">
        <v>132179.82</v>
      </c>
      <c r="M163">
        <v>13287.15</v>
      </c>
      <c r="N163" s="3" t="str">
        <f t="shared" si="36"/>
        <v/>
      </c>
      <c r="O163" s="4" t="str">
        <f t="shared" si="36"/>
        <v/>
      </c>
      <c r="P163" s="4" t="str">
        <f t="shared" si="36"/>
        <v/>
      </c>
      <c r="Q163" s="4" t="str">
        <f t="shared" si="36"/>
        <v/>
      </c>
      <c r="R163" s="4" t="str">
        <f t="shared" si="36"/>
        <v/>
      </c>
      <c r="S163" s="4" t="str">
        <f t="shared" si="36"/>
        <v/>
      </c>
      <c r="T163" s="4" t="str">
        <f t="shared" si="36"/>
        <v/>
      </c>
      <c r="U163" s="4" t="str">
        <f t="shared" si="36"/>
        <v/>
      </c>
      <c r="V163" s="4" t="str">
        <f t="shared" si="33"/>
        <v/>
      </c>
      <c r="W163" s="4" t="str">
        <f t="shared" si="39"/>
        <v/>
      </c>
      <c r="X163" s="4" t="str">
        <f t="shared" si="39"/>
        <v/>
      </c>
      <c r="Y163" s="4" t="str">
        <f t="shared" si="39"/>
        <v/>
      </c>
      <c r="Z163" s="4" t="str">
        <f t="shared" si="39"/>
        <v/>
      </c>
      <c r="AA163" s="4" t="str">
        <f t="shared" si="39"/>
        <v/>
      </c>
      <c r="AB163" s="4" t="str">
        <f t="shared" si="39"/>
        <v/>
      </c>
      <c r="AC163" s="5" t="str">
        <f t="shared" si="39"/>
        <v/>
      </c>
      <c r="AD163" s="3" t="str">
        <f t="shared" si="37"/>
        <v/>
      </c>
      <c r="AE163" s="4" t="str">
        <f t="shared" si="37"/>
        <v/>
      </c>
      <c r="AF163" s="4" t="str">
        <f t="shared" si="37"/>
        <v/>
      </c>
      <c r="AG163" s="4" t="str">
        <f t="shared" si="37"/>
        <v/>
      </c>
      <c r="AH163" s="4" t="str">
        <f t="shared" si="37"/>
        <v/>
      </c>
      <c r="AI163" s="4" t="str">
        <f t="shared" si="37"/>
        <v/>
      </c>
      <c r="AJ163" s="4" t="str">
        <f t="shared" si="37"/>
        <v/>
      </c>
      <c r="AK163" s="4" t="str">
        <f t="shared" si="37"/>
        <v/>
      </c>
      <c r="AL163" s="4" t="str">
        <f t="shared" si="34"/>
        <v/>
      </c>
      <c r="AM163" s="4" t="str">
        <f t="shared" si="40"/>
        <v/>
      </c>
      <c r="AN163" s="4" t="str">
        <f t="shared" si="40"/>
        <v/>
      </c>
      <c r="AO163" s="4" t="str">
        <f t="shared" si="40"/>
        <v/>
      </c>
      <c r="AP163" s="4" t="str">
        <f t="shared" si="40"/>
        <v/>
      </c>
      <c r="AQ163" s="4" t="str">
        <f t="shared" si="40"/>
        <v/>
      </c>
      <c r="AR163" s="4" t="str">
        <f t="shared" si="40"/>
        <v/>
      </c>
      <c r="AS163" s="5" t="str">
        <f t="shared" si="40"/>
        <v/>
      </c>
      <c r="AT163" s="3" t="str">
        <f t="shared" si="38"/>
        <v/>
      </c>
      <c r="AU163" s="4" t="str">
        <f t="shared" si="38"/>
        <v/>
      </c>
      <c r="AV163" s="4" t="str">
        <f t="shared" si="38"/>
        <v/>
      </c>
      <c r="AW163" s="4">
        <f t="shared" si="38"/>
        <v>1</v>
      </c>
      <c r="AX163" s="4" t="str">
        <f t="shared" si="38"/>
        <v/>
      </c>
      <c r="AY163" s="4" t="str">
        <f t="shared" si="38"/>
        <v/>
      </c>
      <c r="AZ163" s="4" t="str">
        <f t="shared" si="38"/>
        <v/>
      </c>
      <c r="BA163" s="4" t="str">
        <f t="shared" si="38"/>
        <v/>
      </c>
      <c r="BB163" s="4" t="str">
        <f t="shared" si="35"/>
        <v/>
      </c>
      <c r="BC163" s="4" t="str">
        <f t="shared" si="41"/>
        <v/>
      </c>
      <c r="BD163" s="4" t="str">
        <f t="shared" si="41"/>
        <v/>
      </c>
      <c r="BE163" s="4" t="str">
        <f t="shared" si="41"/>
        <v/>
      </c>
      <c r="BF163" s="4" t="str">
        <f t="shared" si="41"/>
        <v/>
      </c>
      <c r="BG163" s="4" t="str">
        <f t="shared" si="41"/>
        <v/>
      </c>
      <c r="BH163" s="4" t="str">
        <f t="shared" si="41"/>
        <v/>
      </c>
      <c r="BI163" s="5" t="str">
        <f t="shared" si="41"/>
        <v/>
      </c>
    </row>
    <row r="164" spans="1:61" x14ac:dyDescent="0.25">
      <c r="A164">
        <v>559873</v>
      </c>
      <c r="B164" t="s">
        <v>14</v>
      </c>
      <c r="C164" t="s">
        <v>16</v>
      </c>
      <c r="D164">
        <v>47335</v>
      </c>
      <c r="E164">
        <v>894</v>
      </c>
      <c r="F164">
        <v>81</v>
      </c>
      <c r="G164">
        <v>20131</v>
      </c>
      <c r="H164" t="s">
        <v>0</v>
      </c>
      <c r="I164">
        <v>179020.6</v>
      </c>
      <c r="J164">
        <v>5742</v>
      </c>
      <c r="K164">
        <v>79947.600000000006</v>
      </c>
      <c r="L164">
        <v>70052.75</v>
      </c>
      <c r="M164">
        <v>9894.85</v>
      </c>
      <c r="N164" s="3" t="str">
        <f t="shared" si="36"/>
        <v/>
      </c>
      <c r="O164" s="4" t="str">
        <f t="shared" si="36"/>
        <v/>
      </c>
      <c r="P164" s="4" t="str">
        <f t="shared" si="36"/>
        <v/>
      </c>
      <c r="Q164" s="4" t="str">
        <f t="shared" si="36"/>
        <v/>
      </c>
      <c r="R164" s="4" t="str">
        <f t="shared" si="36"/>
        <v/>
      </c>
      <c r="S164" s="4" t="str">
        <f t="shared" si="36"/>
        <v/>
      </c>
      <c r="T164" s="4" t="str">
        <f t="shared" si="36"/>
        <v/>
      </c>
      <c r="U164" s="4" t="str">
        <f t="shared" si="36"/>
        <v/>
      </c>
      <c r="V164" s="4" t="str">
        <f t="shared" si="33"/>
        <v/>
      </c>
      <c r="W164" s="4" t="str">
        <f t="shared" si="39"/>
        <v/>
      </c>
      <c r="X164" s="4" t="str">
        <f t="shared" si="39"/>
        <v/>
      </c>
      <c r="Y164" s="4" t="str">
        <f t="shared" si="39"/>
        <v/>
      </c>
      <c r="Z164" s="4" t="str">
        <f t="shared" si="39"/>
        <v/>
      </c>
      <c r="AA164" s="4" t="str">
        <f t="shared" si="39"/>
        <v/>
      </c>
      <c r="AB164" s="4" t="str">
        <f t="shared" si="39"/>
        <v/>
      </c>
      <c r="AC164" s="5" t="str">
        <f t="shared" si="39"/>
        <v/>
      </c>
      <c r="AD164" s="3" t="str">
        <f t="shared" si="37"/>
        <v/>
      </c>
      <c r="AE164" s="4" t="str">
        <f t="shared" si="37"/>
        <v/>
      </c>
      <c r="AF164" s="4" t="str">
        <f t="shared" si="37"/>
        <v/>
      </c>
      <c r="AG164" s="4" t="str">
        <f t="shared" si="37"/>
        <v/>
      </c>
      <c r="AH164" s="4" t="str">
        <f t="shared" si="37"/>
        <v/>
      </c>
      <c r="AI164" s="4" t="str">
        <f t="shared" si="37"/>
        <v/>
      </c>
      <c r="AJ164" s="4" t="str">
        <f t="shared" si="37"/>
        <v/>
      </c>
      <c r="AK164" s="4" t="str">
        <f t="shared" si="37"/>
        <v/>
      </c>
      <c r="AL164" s="4" t="str">
        <f t="shared" si="34"/>
        <v/>
      </c>
      <c r="AM164" s="4" t="str">
        <f t="shared" si="40"/>
        <v/>
      </c>
      <c r="AN164" s="4" t="str">
        <f t="shared" si="40"/>
        <v/>
      </c>
      <c r="AO164" s="4" t="str">
        <f t="shared" si="40"/>
        <v/>
      </c>
      <c r="AP164" s="4" t="str">
        <f t="shared" si="40"/>
        <v/>
      </c>
      <c r="AQ164" s="4" t="str">
        <f t="shared" si="40"/>
        <v/>
      </c>
      <c r="AR164" s="4" t="str">
        <f t="shared" si="40"/>
        <v/>
      </c>
      <c r="AS164" s="5" t="str">
        <f t="shared" si="40"/>
        <v/>
      </c>
      <c r="AT164" s="3">
        <f t="shared" si="38"/>
        <v>1</v>
      </c>
      <c r="AU164" s="4" t="str">
        <f t="shared" si="38"/>
        <v/>
      </c>
      <c r="AV164" s="4" t="str">
        <f t="shared" si="38"/>
        <v/>
      </c>
      <c r="AW164" s="4" t="str">
        <f t="shared" si="38"/>
        <v/>
      </c>
      <c r="AX164" s="4" t="str">
        <f t="shared" si="38"/>
        <v/>
      </c>
      <c r="AY164" s="4" t="str">
        <f t="shared" si="38"/>
        <v/>
      </c>
      <c r="AZ164" s="4" t="str">
        <f t="shared" si="38"/>
        <v/>
      </c>
      <c r="BA164" s="4" t="str">
        <f t="shared" si="38"/>
        <v/>
      </c>
      <c r="BB164" s="4" t="str">
        <f t="shared" si="35"/>
        <v/>
      </c>
      <c r="BC164" s="4" t="str">
        <f t="shared" si="41"/>
        <v/>
      </c>
      <c r="BD164" s="4" t="str">
        <f t="shared" si="41"/>
        <v/>
      </c>
      <c r="BE164" s="4" t="str">
        <f t="shared" si="41"/>
        <v/>
      </c>
      <c r="BF164" s="4" t="str">
        <f t="shared" si="41"/>
        <v/>
      </c>
      <c r="BG164" s="4" t="str">
        <f t="shared" si="41"/>
        <v/>
      </c>
      <c r="BH164" s="4" t="str">
        <f t="shared" si="41"/>
        <v/>
      </c>
      <c r="BI164" s="5" t="str">
        <f t="shared" si="41"/>
        <v/>
      </c>
    </row>
    <row r="165" spans="1:61" x14ac:dyDescent="0.25">
      <c r="A165">
        <v>559874</v>
      </c>
      <c r="B165" t="s">
        <v>14</v>
      </c>
      <c r="C165" t="s">
        <v>16</v>
      </c>
      <c r="D165">
        <v>47335</v>
      </c>
      <c r="E165">
        <v>894</v>
      </c>
      <c r="F165">
        <v>81</v>
      </c>
      <c r="G165">
        <v>20132</v>
      </c>
      <c r="H165" t="s">
        <v>0</v>
      </c>
      <c r="I165">
        <v>150651</v>
      </c>
      <c r="J165">
        <v>4787</v>
      </c>
      <c r="K165">
        <v>59046.68</v>
      </c>
      <c r="L165">
        <v>50802.37</v>
      </c>
      <c r="M165">
        <v>8244.31</v>
      </c>
      <c r="N165" s="3" t="str">
        <f t="shared" si="36"/>
        <v/>
      </c>
      <c r="O165" s="4" t="str">
        <f t="shared" si="36"/>
        <v/>
      </c>
      <c r="P165" s="4" t="str">
        <f t="shared" si="36"/>
        <v/>
      </c>
      <c r="Q165" s="4" t="str">
        <f t="shared" si="36"/>
        <v/>
      </c>
      <c r="R165" s="4" t="str">
        <f t="shared" si="36"/>
        <v/>
      </c>
      <c r="S165" s="4" t="str">
        <f t="shared" si="36"/>
        <v/>
      </c>
      <c r="T165" s="4" t="str">
        <f t="shared" si="36"/>
        <v/>
      </c>
      <c r="U165" s="4" t="str">
        <f t="shared" si="36"/>
        <v/>
      </c>
      <c r="V165" s="4" t="str">
        <f t="shared" si="33"/>
        <v/>
      </c>
      <c r="W165" s="4" t="str">
        <f t="shared" si="39"/>
        <v/>
      </c>
      <c r="X165" s="4" t="str">
        <f t="shared" si="39"/>
        <v/>
      </c>
      <c r="Y165" s="4" t="str">
        <f t="shared" si="39"/>
        <v/>
      </c>
      <c r="Z165" s="4" t="str">
        <f t="shared" si="39"/>
        <v/>
      </c>
      <c r="AA165" s="4" t="str">
        <f t="shared" si="39"/>
        <v/>
      </c>
      <c r="AB165" s="4" t="str">
        <f t="shared" si="39"/>
        <v/>
      </c>
      <c r="AC165" s="5" t="str">
        <f t="shared" si="39"/>
        <v/>
      </c>
      <c r="AD165" s="3" t="str">
        <f t="shared" si="37"/>
        <v/>
      </c>
      <c r="AE165" s="4" t="str">
        <f t="shared" si="37"/>
        <v/>
      </c>
      <c r="AF165" s="4" t="str">
        <f t="shared" si="37"/>
        <v/>
      </c>
      <c r="AG165" s="4" t="str">
        <f t="shared" si="37"/>
        <v/>
      </c>
      <c r="AH165" s="4" t="str">
        <f t="shared" si="37"/>
        <v/>
      </c>
      <c r="AI165" s="4" t="str">
        <f t="shared" si="37"/>
        <v/>
      </c>
      <c r="AJ165" s="4" t="str">
        <f t="shared" si="37"/>
        <v/>
      </c>
      <c r="AK165" s="4" t="str">
        <f t="shared" si="37"/>
        <v/>
      </c>
      <c r="AL165" s="4" t="str">
        <f t="shared" si="34"/>
        <v/>
      </c>
      <c r="AM165" s="4" t="str">
        <f t="shared" si="40"/>
        <v/>
      </c>
      <c r="AN165" s="4" t="str">
        <f t="shared" si="40"/>
        <v/>
      </c>
      <c r="AO165" s="4" t="str">
        <f t="shared" si="40"/>
        <v/>
      </c>
      <c r="AP165" s="4" t="str">
        <f t="shared" si="40"/>
        <v/>
      </c>
      <c r="AQ165" s="4" t="str">
        <f t="shared" si="40"/>
        <v/>
      </c>
      <c r="AR165" s="4" t="str">
        <f t="shared" si="40"/>
        <v/>
      </c>
      <c r="AS165" s="5" t="str">
        <f t="shared" si="40"/>
        <v/>
      </c>
      <c r="AT165" s="3" t="str">
        <f t="shared" si="38"/>
        <v/>
      </c>
      <c r="AU165" s="4">
        <f t="shared" si="38"/>
        <v>1</v>
      </c>
      <c r="AV165" s="4" t="str">
        <f t="shared" si="38"/>
        <v/>
      </c>
      <c r="AW165" s="4" t="str">
        <f t="shared" si="38"/>
        <v/>
      </c>
      <c r="AX165" s="4" t="str">
        <f t="shared" si="38"/>
        <v/>
      </c>
      <c r="AY165" s="4" t="str">
        <f t="shared" si="38"/>
        <v/>
      </c>
      <c r="AZ165" s="4" t="str">
        <f t="shared" si="38"/>
        <v/>
      </c>
      <c r="BA165" s="4" t="str">
        <f t="shared" si="38"/>
        <v/>
      </c>
      <c r="BB165" s="4" t="str">
        <f t="shared" si="35"/>
        <v/>
      </c>
      <c r="BC165" s="4" t="str">
        <f t="shared" si="41"/>
        <v/>
      </c>
      <c r="BD165" s="4" t="str">
        <f t="shared" si="41"/>
        <v/>
      </c>
      <c r="BE165" s="4" t="str">
        <f t="shared" si="41"/>
        <v/>
      </c>
      <c r="BF165" s="4" t="str">
        <f t="shared" si="41"/>
        <v/>
      </c>
      <c r="BG165" s="4" t="str">
        <f t="shared" si="41"/>
        <v/>
      </c>
      <c r="BH165" s="4" t="str">
        <f t="shared" si="41"/>
        <v/>
      </c>
      <c r="BI165" s="5" t="str">
        <f t="shared" si="41"/>
        <v/>
      </c>
    </row>
    <row r="166" spans="1:61" x14ac:dyDescent="0.25">
      <c r="A166">
        <v>559875</v>
      </c>
      <c r="B166" t="s">
        <v>14</v>
      </c>
      <c r="C166" t="s">
        <v>16</v>
      </c>
      <c r="D166">
        <v>47335</v>
      </c>
      <c r="E166">
        <v>894</v>
      </c>
      <c r="F166">
        <v>81</v>
      </c>
      <c r="G166">
        <v>20133</v>
      </c>
      <c r="H166" t="s">
        <v>0</v>
      </c>
      <c r="I166">
        <v>131237.29999999999</v>
      </c>
      <c r="J166">
        <v>4212</v>
      </c>
      <c r="K166">
        <v>51382.720000000001</v>
      </c>
      <c r="L166">
        <v>44264.959999999999</v>
      </c>
      <c r="M166">
        <v>7117.76</v>
      </c>
      <c r="N166" s="3" t="str">
        <f t="shared" si="36"/>
        <v/>
      </c>
      <c r="O166" s="4" t="str">
        <f t="shared" si="36"/>
        <v/>
      </c>
      <c r="P166" s="4" t="str">
        <f t="shared" si="36"/>
        <v/>
      </c>
      <c r="Q166" s="4" t="str">
        <f t="shared" si="36"/>
        <v/>
      </c>
      <c r="R166" s="4" t="str">
        <f t="shared" si="36"/>
        <v/>
      </c>
      <c r="S166" s="4" t="str">
        <f t="shared" si="36"/>
        <v/>
      </c>
      <c r="T166" s="4" t="str">
        <f t="shared" si="36"/>
        <v/>
      </c>
      <c r="U166" s="4" t="str">
        <f t="shared" si="36"/>
        <v/>
      </c>
      <c r="V166" s="4" t="str">
        <f t="shared" si="33"/>
        <v/>
      </c>
      <c r="W166" s="4" t="str">
        <f t="shared" si="39"/>
        <v/>
      </c>
      <c r="X166" s="4" t="str">
        <f t="shared" si="39"/>
        <v/>
      </c>
      <c r="Y166" s="4" t="str">
        <f t="shared" si="39"/>
        <v/>
      </c>
      <c r="Z166" s="4" t="str">
        <f t="shared" si="39"/>
        <v/>
      </c>
      <c r="AA166" s="4" t="str">
        <f t="shared" si="39"/>
        <v/>
      </c>
      <c r="AB166" s="4" t="str">
        <f t="shared" si="39"/>
        <v/>
      </c>
      <c r="AC166" s="5" t="str">
        <f t="shared" si="39"/>
        <v/>
      </c>
      <c r="AD166" s="3" t="str">
        <f t="shared" si="37"/>
        <v/>
      </c>
      <c r="AE166" s="4" t="str">
        <f t="shared" si="37"/>
        <v/>
      </c>
      <c r="AF166" s="4" t="str">
        <f t="shared" si="37"/>
        <v/>
      </c>
      <c r="AG166" s="4" t="str">
        <f t="shared" si="37"/>
        <v/>
      </c>
      <c r="AH166" s="4" t="str">
        <f t="shared" si="37"/>
        <v/>
      </c>
      <c r="AI166" s="4" t="str">
        <f t="shared" si="37"/>
        <v/>
      </c>
      <c r="AJ166" s="4" t="str">
        <f t="shared" si="37"/>
        <v/>
      </c>
      <c r="AK166" s="4" t="str">
        <f t="shared" si="37"/>
        <v/>
      </c>
      <c r="AL166" s="4" t="str">
        <f t="shared" si="34"/>
        <v/>
      </c>
      <c r="AM166" s="4" t="str">
        <f t="shared" si="40"/>
        <v/>
      </c>
      <c r="AN166" s="4" t="str">
        <f t="shared" si="40"/>
        <v/>
      </c>
      <c r="AO166" s="4" t="str">
        <f t="shared" si="40"/>
        <v/>
      </c>
      <c r="AP166" s="4" t="str">
        <f t="shared" si="40"/>
        <v/>
      </c>
      <c r="AQ166" s="4" t="str">
        <f t="shared" si="40"/>
        <v/>
      </c>
      <c r="AR166" s="4" t="str">
        <f t="shared" si="40"/>
        <v/>
      </c>
      <c r="AS166" s="5" t="str">
        <f t="shared" si="40"/>
        <v/>
      </c>
      <c r="AT166" s="3" t="str">
        <f t="shared" si="38"/>
        <v/>
      </c>
      <c r="AU166" s="4" t="str">
        <f t="shared" si="38"/>
        <v/>
      </c>
      <c r="AV166" s="4">
        <f t="shared" si="38"/>
        <v>1</v>
      </c>
      <c r="AW166" s="4" t="str">
        <f t="shared" si="38"/>
        <v/>
      </c>
      <c r="AX166" s="4" t="str">
        <f t="shared" si="38"/>
        <v/>
      </c>
      <c r="AY166" s="4" t="str">
        <f t="shared" si="38"/>
        <v/>
      </c>
      <c r="AZ166" s="4" t="str">
        <f t="shared" si="38"/>
        <v/>
      </c>
      <c r="BA166" s="4" t="str">
        <f t="shared" si="38"/>
        <v/>
      </c>
      <c r="BB166" s="4" t="str">
        <f t="shared" si="35"/>
        <v/>
      </c>
      <c r="BC166" s="4" t="str">
        <f t="shared" si="41"/>
        <v/>
      </c>
      <c r="BD166" s="4" t="str">
        <f t="shared" si="41"/>
        <v/>
      </c>
      <c r="BE166" s="4" t="str">
        <f t="shared" si="41"/>
        <v/>
      </c>
      <c r="BF166" s="4" t="str">
        <f t="shared" si="41"/>
        <v/>
      </c>
      <c r="BG166" s="4" t="str">
        <f t="shared" si="41"/>
        <v/>
      </c>
      <c r="BH166" s="4" t="str">
        <f t="shared" si="41"/>
        <v/>
      </c>
      <c r="BI166" s="5" t="str">
        <f t="shared" si="41"/>
        <v/>
      </c>
    </row>
    <row r="167" spans="1:61" x14ac:dyDescent="0.25">
      <c r="A167">
        <v>559876</v>
      </c>
      <c r="B167" t="s">
        <v>14</v>
      </c>
      <c r="C167" t="s">
        <v>16</v>
      </c>
      <c r="D167">
        <v>47335</v>
      </c>
      <c r="E167">
        <v>894</v>
      </c>
      <c r="F167">
        <v>81</v>
      </c>
      <c r="G167">
        <v>20134</v>
      </c>
      <c r="H167" t="s">
        <v>0</v>
      </c>
      <c r="I167">
        <v>192861.201</v>
      </c>
      <c r="J167">
        <v>5845</v>
      </c>
      <c r="K167">
        <v>70822.789999999994</v>
      </c>
      <c r="L167">
        <v>61759.3</v>
      </c>
      <c r="M167">
        <v>9063.49</v>
      </c>
      <c r="N167" s="3" t="str">
        <f t="shared" si="36"/>
        <v/>
      </c>
      <c r="O167" s="4" t="str">
        <f t="shared" si="36"/>
        <v/>
      </c>
      <c r="P167" s="4" t="str">
        <f t="shared" si="36"/>
        <v/>
      </c>
      <c r="Q167" s="4" t="str">
        <f t="shared" si="36"/>
        <v/>
      </c>
      <c r="R167" s="4" t="str">
        <f t="shared" si="36"/>
        <v/>
      </c>
      <c r="S167" s="4" t="str">
        <f t="shared" si="36"/>
        <v/>
      </c>
      <c r="T167" s="4" t="str">
        <f t="shared" si="36"/>
        <v/>
      </c>
      <c r="U167" s="4" t="str">
        <f t="shared" si="36"/>
        <v/>
      </c>
      <c r="V167" s="4" t="str">
        <f t="shared" si="33"/>
        <v/>
      </c>
      <c r="W167" s="4" t="str">
        <f t="shared" si="39"/>
        <v/>
      </c>
      <c r="X167" s="4" t="str">
        <f t="shared" si="39"/>
        <v/>
      </c>
      <c r="Y167" s="4" t="str">
        <f t="shared" si="39"/>
        <v/>
      </c>
      <c r="Z167" s="4" t="str">
        <f t="shared" si="39"/>
        <v/>
      </c>
      <c r="AA167" s="4" t="str">
        <f t="shared" si="39"/>
        <v/>
      </c>
      <c r="AB167" s="4" t="str">
        <f t="shared" si="39"/>
        <v/>
      </c>
      <c r="AC167" s="5" t="str">
        <f t="shared" si="39"/>
        <v/>
      </c>
      <c r="AD167" s="3" t="str">
        <f t="shared" si="37"/>
        <v/>
      </c>
      <c r="AE167" s="4" t="str">
        <f t="shared" si="37"/>
        <v/>
      </c>
      <c r="AF167" s="4" t="str">
        <f t="shared" si="37"/>
        <v/>
      </c>
      <c r="AG167" s="4" t="str">
        <f t="shared" si="37"/>
        <v/>
      </c>
      <c r="AH167" s="4" t="str">
        <f t="shared" si="37"/>
        <v/>
      </c>
      <c r="AI167" s="4" t="str">
        <f t="shared" si="37"/>
        <v/>
      </c>
      <c r="AJ167" s="4" t="str">
        <f t="shared" si="37"/>
        <v/>
      </c>
      <c r="AK167" s="4" t="str">
        <f t="shared" si="37"/>
        <v/>
      </c>
      <c r="AL167" s="4" t="str">
        <f t="shared" si="34"/>
        <v/>
      </c>
      <c r="AM167" s="4" t="str">
        <f t="shared" si="40"/>
        <v/>
      </c>
      <c r="AN167" s="4" t="str">
        <f t="shared" si="40"/>
        <v/>
      </c>
      <c r="AO167" s="4" t="str">
        <f t="shared" si="40"/>
        <v/>
      </c>
      <c r="AP167" s="4" t="str">
        <f t="shared" si="40"/>
        <v/>
      </c>
      <c r="AQ167" s="4" t="str">
        <f t="shared" si="40"/>
        <v/>
      </c>
      <c r="AR167" s="4" t="str">
        <f t="shared" si="40"/>
        <v/>
      </c>
      <c r="AS167" s="5" t="str">
        <f t="shared" si="40"/>
        <v/>
      </c>
      <c r="AT167" s="3" t="str">
        <f t="shared" si="38"/>
        <v/>
      </c>
      <c r="AU167" s="4" t="str">
        <f t="shared" si="38"/>
        <v/>
      </c>
      <c r="AV167" s="4" t="str">
        <f t="shared" si="38"/>
        <v/>
      </c>
      <c r="AW167" s="4">
        <f t="shared" si="38"/>
        <v>1</v>
      </c>
      <c r="AX167" s="4" t="str">
        <f t="shared" si="38"/>
        <v/>
      </c>
      <c r="AY167" s="4" t="str">
        <f t="shared" si="38"/>
        <v/>
      </c>
      <c r="AZ167" s="4" t="str">
        <f t="shared" si="38"/>
        <v/>
      </c>
      <c r="BA167" s="4" t="str">
        <f t="shared" si="38"/>
        <v/>
      </c>
      <c r="BB167" s="4" t="str">
        <f t="shared" si="35"/>
        <v/>
      </c>
      <c r="BC167" s="4" t="str">
        <f t="shared" si="41"/>
        <v/>
      </c>
      <c r="BD167" s="4" t="str">
        <f t="shared" si="41"/>
        <v/>
      </c>
      <c r="BE167" s="4" t="str">
        <f t="shared" si="41"/>
        <v/>
      </c>
      <c r="BF167" s="4" t="str">
        <f t="shared" si="41"/>
        <v/>
      </c>
      <c r="BG167" s="4" t="str">
        <f t="shared" si="41"/>
        <v/>
      </c>
      <c r="BH167" s="4" t="str">
        <f t="shared" si="41"/>
        <v/>
      </c>
      <c r="BI167" s="5" t="str">
        <f t="shared" si="41"/>
        <v/>
      </c>
    </row>
    <row r="168" spans="1:61" x14ac:dyDescent="0.25">
      <c r="A168">
        <v>559877</v>
      </c>
      <c r="B168" t="s">
        <v>14</v>
      </c>
      <c r="C168" t="s">
        <v>16</v>
      </c>
      <c r="D168">
        <v>47335</v>
      </c>
      <c r="E168">
        <v>894</v>
      </c>
      <c r="F168">
        <v>83</v>
      </c>
      <c r="G168">
        <v>20131</v>
      </c>
      <c r="H168" t="s">
        <v>0</v>
      </c>
      <c r="I168">
        <v>120741.36</v>
      </c>
      <c r="J168">
        <v>3939</v>
      </c>
      <c r="K168">
        <v>54400.07</v>
      </c>
      <c r="L168">
        <v>47955.05</v>
      </c>
      <c r="M168">
        <v>6445.02</v>
      </c>
      <c r="N168" s="3" t="str">
        <f t="shared" si="36"/>
        <v/>
      </c>
      <c r="O168" s="4" t="str">
        <f t="shared" si="36"/>
        <v/>
      </c>
      <c r="P168" s="4" t="str">
        <f t="shared" si="36"/>
        <v/>
      </c>
      <c r="Q168" s="4" t="str">
        <f t="shared" si="36"/>
        <v/>
      </c>
      <c r="R168" s="4" t="str">
        <f t="shared" si="36"/>
        <v/>
      </c>
      <c r="S168" s="4" t="str">
        <f t="shared" si="36"/>
        <v/>
      </c>
      <c r="T168" s="4" t="str">
        <f t="shared" si="36"/>
        <v/>
      </c>
      <c r="U168" s="4" t="str">
        <f t="shared" si="36"/>
        <v/>
      </c>
      <c r="V168" s="4" t="str">
        <f t="shared" si="33"/>
        <v/>
      </c>
      <c r="W168" s="4" t="str">
        <f t="shared" si="39"/>
        <v/>
      </c>
      <c r="X168" s="4" t="str">
        <f t="shared" si="39"/>
        <v/>
      </c>
      <c r="Y168" s="4" t="str">
        <f t="shared" si="39"/>
        <v/>
      </c>
      <c r="Z168" s="4" t="str">
        <f t="shared" si="39"/>
        <v/>
      </c>
      <c r="AA168" s="4" t="str">
        <f t="shared" si="39"/>
        <v/>
      </c>
      <c r="AB168" s="4" t="str">
        <f t="shared" si="39"/>
        <v/>
      </c>
      <c r="AC168" s="5" t="str">
        <f t="shared" si="39"/>
        <v/>
      </c>
      <c r="AD168" s="3" t="str">
        <f t="shared" si="37"/>
        <v/>
      </c>
      <c r="AE168" s="4" t="str">
        <f t="shared" si="37"/>
        <v/>
      </c>
      <c r="AF168" s="4" t="str">
        <f t="shared" si="37"/>
        <v/>
      </c>
      <c r="AG168" s="4" t="str">
        <f t="shared" si="37"/>
        <v/>
      </c>
      <c r="AH168" s="4" t="str">
        <f t="shared" si="37"/>
        <v/>
      </c>
      <c r="AI168" s="4" t="str">
        <f t="shared" si="37"/>
        <v/>
      </c>
      <c r="AJ168" s="4" t="str">
        <f t="shared" si="37"/>
        <v/>
      </c>
      <c r="AK168" s="4" t="str">
        <f t="shared" si="37"/>
        <v/>
      </c>
      <c r="AL168" s="4" t="str">
        <f t="shared" si="34"/>
        <v/>
      </c>
      <c r="AM168" s="4" t="str">
        <f t="shared" si="40"/>
        <v/>
      </c>
      <c r="AN168" s="4" t="str">
        <f t="shared" si="40"/>
        <v/>
      </c>
      <c r="AO168" s="4" t="str">
        <f t="shared" si="40"/>
        <v/>
      </c>
      <c r="AP168" s="4" t="str">
        <f t="shared" si="40"/>
        <v/>
      </c>
      <c r="AQ168" s="4" t="str">
        <f t="shared" si="40"/>
        <v/>
      </c>
      <c r="AR168" s="4" t="str">
        <f t="shared" si="40"/>
        <v/>
      </c>
      <c r="AS168" s="5" t="str">
        <f t="shared" si="40"/>
        <v/>
      </c>
      <c r="AT168" s="3">
        <f t="shared" si="38"/>
        <v>1</v>
      </c>
      <c r="AU168" s="4" t="str">
        <f t="shared" si="38"/>
        <v/>
      </c>
      <c r="AV168" s="4" t="str">
        <f t="shared" si="38"/>
        <v/>
      </c>
      <c r="AW168" s="4" t="str">
        <f t="shared" si="38"/>
        <v/>
      </c>
      <c r="AX168" s="4" t="str">
        <f t="shared" si="38"/>
        <v/>
      </c>
      <c r="AY168" s="4" t="str">
        <f t="shared" si="38"/>
        <v/>
      </c>
      <c r="AZ168" s="4" t="str">
        <f t="shared" si="38"/>
        <v/>
      </c>
      <c r="BA168" s="4" t="str">
        <f t="shared" si="38"/>
        <v/>
      </c>
      <c r="BB168" s="4" t="str">
        <f t="shared" si="35"/>
        <v/>
      </c>
      <c r="BC168" s="4" t="str">
        <f t="shared" si="41"/>
        <v/>
      </c>
      <c r="BD168" s="4" t="str">
        <f t="shared" si="41"/>
        <v/>
      </c>
      <c r="BE168" s="4" t="str">
        <f t="shared" si="41"/>
        <v/>
      </c>
      <c r="BF168" s="4" t="str">
        <f t="shared" si="41"/>
        <v/>
      </c>
      <c r="BG168" s="4" t="str">
        <f t="shared" si="41"/>
        <v/>
      </c>
      <c r="BH168" s="4" t="str">
        <f t="shared" si="41"/>
        <v/>
      </c>
      <c r="BI168" s="5" t="str">
        <f t="shared" si="41"/>
        <v/>
      </c>
    </row>
    <row r="169" spans="1:61" x14ac:dyDescent="0.25">
      <c r="A169">
        <v>559878</v>
      </c>
      <c r="B169" t="s">
        <v>14</v>
      </c>
      <c r="C169" t="s">
        <v>16</v>
      </c>
      <c r="D169">
        <v>47335</v>
      </c>
      <c r="E169">
        <v>894</v>
      </c>
      <c r="F169">
        <v>83</v>
      </c>
      <c r="G169">
        <v>20132</v>
      </c>
      <c r="H169" t="s">
        <v>0</v>
      </c>
      <c r="I169">
        <v>101887.026</v>
      </c>
      <c r="J169">
        <v>3301</v>
      </c>
      <c r="K169">
        <v>41764.97</v>
      </c>
      <c r="L169">
        <v>36341.35</v>
      </c>
      <c r="M169">
        <v>5423.62</v>
      </c>
      <c r="N169" s="3" t="str">
        <f t="shared" si="36"/>
        <v/>
      </c>
      <c r="O169" s="4" t="str">
        <f t="shared" si="36"/>
        <v/>
      </c>
      <c r="P169" s="4" t="str">
        <f t="shared" si="36"/>
        <v/>
      </c>
      <c r="Q169" s="4" t="str">
        <f t="shared" si="36"/>
        <v/>
      </c>
      <c r="R169" s="4" t="str">
        <f t="shared" si="36"/>
        <v/>
      </c>
      <c r="S169" s="4" t="str">
        <f t="shared" si="36"/>
        <v/>
      </c>
      <c r="T169" s="4" t="str">
        <f t="shared" si="36"/>
        <v/>
      </c>
      <c r="U169" s="4" t="str">
        <f t="shared" si="36"/>
        <v/>
      </c>
      <c r="V169" s="4" t="str">
        <f t="shared" si="33"/>
        <v/>
      </c>
      <c r="W169" s="4" t="str">
        <f t="shared" si="39"/>
        <v/>
      </c>
      <c r="X169" s="4" t="str">
        <f t="shared" si="39"/>
        <v/>
      </c>
      <c r="Y169" s="4" t="str">
        <f t="shared" si="39"/>
        <v/>
      </c>
      <c r="Z169" s="4" t="str">
        <f t="shared" si="39"/>
        <v/>
      </c>
      <c r="AA169" s="4" t="str">
        <f t="shared" si="39"/>
        <v/>
      </c>
      <c r="AB169" s="4" t="str">
        <f t="shared" si="39"/>
        <v/>
      </c>
      <c r="AC169" s="5" t="str">
        <f t="shared" si="39"/>
        <v/>
      </c>
      <c r="AD169" s="3" t="str">
        <f t="shared" si="37"/>
        <v/>
      </c>
      <c r="AE169" s="4" t="str">
        <f t="shared" si="37"/>
        <v/>
      </c>
      <c r="AF169" s="4" t="str">
        <f t="shared" si="37"/>
        <v/>
      </c>
      <c r="AG169" s="4" t="str">
        <f t="shared" si="37"/>
        <v/>
      </c>
      <c r="AH169" s="4" t="str">
        <f t="shared" si="37"/>
        <v/>
      </c>
      <c r="AI169" s="4" t="str">
        <f t="shared" si="37"/>
        <v/>
      </c>
      <c r="AJ169" s="4" t="str">
        <f t="shared" si="37"/>
        <v/>
      </c>
      <c r="AK169" s="4" t="str">
        <f t="shared" si="37"/>
        <v/>
      </c>
      <c r="AL169" s="4" t="str">
        <f t="shared" si="34"/>
        <v/>
      </c>
      <c r="AM169" s="4" t="str">
        <f t="shared" si="40"/>
        <v/>
      </c>
      <c r="AN169" s="4" t="str">
        <f t="shared" si="40"/>
        <v/>
      </c>
      <c r="AO169" s="4" t="str">
        <f t="shared" si="40"/>
        <v/>
      </c>
      <c r="AP169" s="4" t="str">
        <f t="shared" si="40"/>
        <v/>
      </c>
      <c r="AQ169" s="4" t="str">
        <f t="shared" si="40"/>
        <v/>
      </c>
      <c r="AR169" s="4" t="str">
        <f t="shared" si="40"/>
        <v/>
      </c>
      <c r="AS169" s="5" t="str">
        <f t="shared" si="40"/>
        <v/>
      </c>
      <c r="AT169" s="3" t="str">
        <f t="shared" si="38"/>
        <v/>
      </c>
      <c r="AU169" s="4">
        <f t="shared" si="38"/>
        <v>1</v>
      </c>
      <c r="AV169" s="4" t="str">
        <f t="shared" si="38"/>
        <v/>
      </c>
      <c r="AW169" s="4" t="str">
        <f t="shared" si="38"/>
        <v/>
      </c>
      <c r="AX169" s="4" t="str">
        <f t="shared" si="38"/>
        <v/>
      </c>
      <c r="AY169" s="4" t="str">
        <f t="shared" si="38"/>
        <v/>
      </c>
      <c r="AZ169" s="4" t="str">
        <f t="shared" si="38"/>
        <v/>
      </c>
      <c r="BA169" s="4" t="str">
        <f t="shared" si="38"/>
        <v/>
      </c>
      <c r="BB169" s="4" t="str">
        <f t="shared" si="35"/>
        <v/>
      </c>
      <c r="BC169" s="4" t="str">
        <f t="shared" si="41"/>
        <v/>
      </c>
      <c r="BD169" s="4" t="str">
        <f t="shared" si="41"/>
        <v/>
      </c>
      <c r="BE169" s="4" t="str">
        <f t="shared" si="41"/>
        <v/>
      </c>
      <c r="BF169" s="4" t="str">
        <f t="shared" si="41"/>
        <v/>
      </c>
      <c r="BG169" s="4" t="str">
        <f t="shared" si="41"/>
        <v/>
      </c>
      <c r="BH169" s="4" t="str">
        <f t="shared" si="41"/>
        <v/>
      </c>
      <c r="BI169" s="5" t="str">
        <f t="shared" si="41"/>
        <v/>
      </c>
    </row>
    <row r="170" spans="1:61" x14ac:dyDescent="0.25">
      <c r="A170">
        <v>559879</v>
      </c>
      <c r="B170" t="s">
        <v>14</v>
      </c>
      <c r="C170" t="s">
        <v>16</v>
      </c>
      <c r="D170">
        <v>47335</v>
      </c>
      <c r="E170">
        <v>894</v>
      </c>
      <c r="F170">
        <v>83</v>
      </c>
      <c r="G170">
        <v>20133</v>
      </c>
      <c r="H170" t="s">
        <v>0</v>
      </c>
      <c r="I170">
        <v>85717.440000000002</v>
      </c>
      <c r="J170">
        <v>2776</v>
      </c>
      <c r="K170">
        <v>32569.15</v>
      </c>
      <c r="L170">
        <v>28877.27</v>
      </c>
      <c r="M170">
        <v>3691.88</v>
      </c>
      <c r="N170" s="3" t="str">
        <f t="shared" si="36"/>
        <v/>
      </c>
      <c r="O170" s="4" t="str">
        <f t="shared" si="36"/>
        <v/>
      </c>
      <c r="P170" s="4" t="str">
        <f t="shared" si="36"/>
        <v/>
      </c>
      <c r="Q170" s="4" t="str">
        <f t="shared" si="36"/>
        <v/>
      </c>
      <c r="R170" s="4" t="str">
        <f t="shared" si="36"/>
        <v/>
      </c>
      <c r="S170" s="4" t="str">
        <f t="shared" si="36"/>
        <v/>
      </c>
      <c r="T170" s="4" t="str">
        <f t="shared" si="36"/>
        <v/>
      </c>
      <c r="U170" s="4" t="str">
        <f t="shared" si="36"/>
        <v/>
      </c>
      <c r="V170" s="4" t="str">
        <f t="shared" si="33"/>
        <v/>
      </c>
      <c r="W170" s="4" t="str">
        <f t="shared" si="39"/>
        <v/>
      </c>
      <c r="X170" s="4" t="str">
        <f t="shared" si="39"/>
        <v/>
      </c>
      <c r="Y170" s="4" t="str">
        <f t="shared" si="39"/>
        <v/>
      </c>
      <c r="Z170" s="4" t="str">
        <f t="shared" si="39"/>
        <v/>
      </c>
      <c r="AA170" s="4" t="str">
        <f t="shared" si="39"/>
        <v/>
      </c>
      <c r="AB170" s="4" t="str">
        <f t="shared" si="39"/>
        <v/>
      </c>
      <c r="AC170" s="5" t="str">
        <f t="shared" si="39"/>
        <v/>
      </c>
      <c r="AD170" s="3" t="str">
        <f t="shared" si="37"/>
        <v/>
      </c>
      <c r="AE170" s="4" t="str">
        <f t="shared" si="37"/>
        <v/>
      </c>
      <c r="AF170" s="4" t="str">
        <f t="shared" si="37"/>
        <v/>
      </c>
      <c r="AG170" s="4" t="str">
        <f t="shared" si="37"/>
        <v/>
      </c>
      <c r="AH170" s="4" t="str">
        <f t="shared" si="37"/>
        <v/>
      </c>
      <c r="AI170" s="4" t="str">
        <f t="shared" si="37"/>
        <v/>
      </c>
      <c r="AJ170" s="4" t="str">
        <f t="shared" si="37"/>
        <v/>
      </c>
      <c r="AK170" s="4" t="str">
        <f t="shared" si="37"/>
        <v/>
      </c>
      <c r="AL170" s="4" t="str">
        <f t="shared" si="34"/>
        <v/>
      </c>
      <c r="AM170" s="4" t="str">
        <f t="shared" si="40"/>
        <v/>
      </c>
      <c r="AN170" s="4" t="str">
        <f t="shared" si="40"/>
        <v/>
      </c>
      <c r="AO170" s="4" t="str">
        <f t="shared" si="40"/>
        <v/>
      </c>
      <c r="AP170" s="4" t="str">
        <f t="shared" si="40"/>
        <v/>
      </c>
      <c r="AQ170" s="4" t="str">
        <f t="shared" si="40"/>
        <v/>
      </c>
      <c r="AR170" s="4" t="str">
        <f t="shared" si="40"/>
        <v/>
      </c>
      <c r="AS170" s="5" t="str">
        <f t="shared" si="40"/>
        <v/>
      </c>
      <c r="AT170" s="3" t="str">
        <f t="shared" si="38"/>
        <v/>
      </c>
      <c r="AU170" s="4" t="str">
        <f t="shared" si="38"/>
        <v/>
      </c>
      <c r="AV170" s="4">
        <f t="shared" si="38"/>
        <v>1</v>
      </c>
      <c r="AW170" s="4" t="str">
        <f t="shared" si="38"/>
        <v/>
      </c>
      <c r="AX170" s="4" t="str">
        <f t="shared" si="38"/>
        <v/>
      </c>
      <c r="AY170" s="4" t="str">
        <f t="shared" si="38"/>
        <v/>
      </c>
      <c r="AZ170" s="4" t="str">
        <f t="shared" si="38"/>
        <v/>
      </c>
      <c r="BA170" s="4" t="str">
        <f t="shared" si="38"/>
        <v/>
      </c>
      <c r="BB170" s="4" t="str">
        <f t="shared" si="35"/>
        <v/>
      </c>
      <c r="BC170" s="4" t="str">
        <f t="shared" si="41"/>
        <v/>
      </c>
      <c r="BD170" s="4" t="str">
        <f t="shared" si="41"/>
        <v/>
      </c>
      <c r="BE170" s="4" t="str">
        <f t="shared" si="41"/>
        <v/>
      </c>
      <c r="BF170" s="4" t="str">
        <f t="shared" si="41"/>
        <v/>
      </c>
      <c r="BG170" s="4" t="str">
        <f t="shared" si="41"/>
        <v/>
      </c>
      <c r="BH170" s="4" t="str">
        <f t="shared" si="41"/>
        <v/>
      </c>
      <c r="BI170" s="5" t="str">
        <f t="shared" si="41"/>
        <v/>
      </c>
    </row>
    <row r="171" spans="1:61" x14ac:dyDescent="0.25">
      <c r="A171">
        <v>559880</v>
      </c>
      <c r="B171" t="s">
        <v>14</v>
      </c>
      <c r="C171" t="s">
        <v>16</v>
      </c>
      <c r="D171">
        <v>47335</v>
      </c>
      <c r="E171">
        <v>894</v>
      </c>
      <c r="F171">
        <v>83</v>
      </c>
      <c r="G171">
        <v>20134</v>
      </c>
      <c r="H171" t="s">
        <v>0</v>
      </c>
      <c r="I171">
        <v>136457.226</v>
      </c>
      <c r="J171">
        <v>4299</v>
      </c>
      <c r="K171">
        <v>48592.93</v>
      </c>
      <c r="L171">
        <v>43671.15</v>
      </c>
      <c r="M171">
        <v>4921.78</v>
      </c>
      <c r="N171" s="3" t="str">
        <f t="shared" si="36"/>
        <v/>
      </c>
      <c r="O171" s="4" t="str">
        <f t="shared" si="36"/>
        <v/>
      </c>
      <c r="P171" s="4" t="str">
        <f t="shared" si="36"/>
        <v/>
      </c>
      <c r="Q171" s="4" t="str">
        <f t="shared" si="36"/>
        <v/>
      </c>
      <c r="R171" s="4" t="str">
        <f t="shared" si="36"/>
        <v/>
      </c>
      <c r="S171" s="4" t="str">
        <f t="shared" si="36"/>
        <v/>
      </c>
      <c r="T171" s="4" t="str">
        <f t="shared" si="36"/>
        <v/>
      </c>
      <c r="U171" s="4" t="str">
        <f t="shared" si="36"/>
        <v/>
      </c>
      <c r="V171" s="4" t="str">
        <f t="shared" si="33"/>
        <v/>
      </c>
      <c r="W171" s="4" t="str">
        <f t="shared" si="39"/>
        <v/>
      </c>
      <c r="X171" s="4" t="str">
        <f t="shared" si="39"/>
        <v/>
      </c>
      <c r="Y171" s="4" t="str">
        <f t="shared" si="39"/>
        <v/>
      </c>
      <c r="Z171" s="4" t="str">
        <f t="shared" si="39"/>
        <v/>
      </c>
      <c r="AA171" s="4" t="str">
        <f t="shared" si="39"/>
        <v/>
      </c>
      <c r="AB171" s="4" t="str">
        <f t="shared" si="39"/>
        <v/>
      </c>
      <c r="AC171" s="5" t="str">
        <f t="shared" si="39"/>
        <v/>
      </c>
      <c r="AD171" s="3" t="str">
        <f t="shared" si="37"/>
        <v/>
      </c>
      <c r="AE171" s="4" t="str">
        <f t="shared" si="37"/>
        <v/>
      </c>
      <c r="AF171" s="4" t="str">
        <f t="shared" si="37"/>
        <v/>
      </c>
      <c r="AG171" s="4" t="str">
        <f t="shared" si="37"/>
        <v/>
      </c>
      <c r="AH171" s="4" t="str">
        <f t="shared" si="37"/>
        <v/>
      </c>
      <c r="AI171" s="4" t="str">
        <f t="shared" si="37"/>
        <v/>
      </c>
      <c r="AJ171" s="4" t="str">
        <f t="shared" si="37"/>
        <v/>
      </c>
      <c r="AK171" s="4" t="str">
        <f t="shared" si="37"/>
        <v/>
      </c>
      <c r="AL171" s="4" t="str">
        <f t="shared" si="34"/>
        <v/>
      </c>
      <c r="AM171" s="4" t="str">
        <f t="shared" si="40"/>
        <v/>
      </c>
      <c r="AN171" s="4" t="str">
        <f t="shared" si="40"/>
        <v/>
      </c>
      <c r="AO171" s="4" t="str">
        <f t="shared" si="40"/>
        <v/>
      </c>
      <c r="AP171" s="4" t="str">
        <f t="shared" si="40"/>
        <v/>
      </c>
      <c r="AQ171" s="4" t="str">
        <f t="shared" si="40"/>
        <v/>
      </c>
      <c r="AR171" s="4" t="str">
        <f t="shared" si="40"/>
        <v/>
      </c>
      <c r="AS171" s="5" t="str">
        <f t="shared" si="40"/>
        <v/>
      </c>
      <c r="AT171" s="3" t="str">
        <f t="shared" si="38"/>
        <v/>
      </c>
      <c r="AU171" s="4" t="str">
        <f t="shared" si="38"/>
        <v/>
      </c>
      <c r="AV171" s="4" t="str">
        <f t="shared" si="38"/>
        <v/>
      </c>
      <c r="AW171" s="4">
        <f t="shared" si="38"/>
        <v>1</v>
      </c>
      <c r="AX171" s="4" t="str">
        <f t="shared" si="38"/>
        <v/>
      </c>
      <c r="AY171" s="4" t="str">
        <f t="shared" si="38"/>
        <v/>
      </c>
      <c r="AZ171" s="4" t="str">
        <f t="shared" si="38"/>
        <v/>
      </c>
      <c r="BA171" s="4" t="str">
        <f t="shared" si="38"/>
        <v/>
      </c>
      <c r="BB171" s="4" t="str">
        <f t="shared" si="35"/>
        <v/>
      </c>
      <c r="BC171" s="4" t="str">
        <f t="shared" si="41"/>
        <v/>
      </c>
      <c r="BD171" s="4" t="str">
        <f t="shared" si="41"/>
        <v/>
      </c>
      <c r="BE171" s="4" t="str">
        <f t="shared" si="41"/>
        <v/>
      </c>
      <c r="BF171" s="4" t="str">
        <f t="shared" si="41"/>
        <v/>
      </c>
      <c r="BG171" s="4" t="str">
        <f t="shared" si="41"/>
        <v/>
      </c>
      <c r="BH171" s="4" t="str">
        <f t="shared" si="41"/>
        <v/>
      </c>
      <c r="BI171" s="5" t="str">
        <f t="shared" si="41"/>
        <v/>
      </c>
    </row>
    <row r="172" spans="1:61" x14ac:dyDescent="0.25">
      <c r="A172">
        <v>686664</v>
      </c>
      <c r="B172" t="s">
        <v>15</v>
      </c>
      <c r="C172" t="s">
        <v>16</v>
      </c>
      <c r="D172">
        <v>47335</v>
      </c>
      <c r="E172">
        <v>894</v>
      </c>
      <c r="F172">
        <v>13</v>
      </c>
      <c r="G172">
        <v>20131</v>
      </c>
      <c r="H172" t="s">
        <v>0</v>
      </c>
      <c r="I172">
        <v>202280.24</v>
      </c>
      <c r="J172">
        <v>6496</v>
      </c>
      <c r="K172">
        <v>237866.78</v>
      </c>
      <c r="L172">
        <v>220127.97</v>
      </c>
      <c r="M172">
        <v>17738.810000000001</v>
      </c>
      <c r="N172" s="3" t="str">
        <f t="shared" si="36"/>
        <v/>
      </c>
      <c r="O172" s="4" t="str">
        <f t="shared" si="36"/>
        <v/>
      </c>
      <c r="P172" s="4" t="str">
        <f t="shared" si="36"/>
        <v/>
      </c>
      <c r="Q172" s="4" t="str">
        <f t="shared" si="36"/>
        <v/>
      </c>
      <c r="R172" s="4" t="str">
        <f t="shared" si="36"/>
        <v/>
      </c>
      <c r="S172" s="4" t="str">
        <f t="shared" si="36"/>
        <v/>
      </c>
      <c r="T172" s="4" t="str">
        <f t="shared" si="36"/>
        <v/>
      </c>
      <c r="U172" s="4" t="str">
        <f t="shared" si="36"/>
        <v/>
      </c>
      <c r="V172" s="4" t="str">
        <f t="shared" si="33"/>
        <v/>
      </c>
      <c r="W172" s="4" t="str">
        <f t="shared" si="39"/>
        <v/>
      </c>
      <c r="X172" s="4" t="str">
        <f t="shared" si="39"/>
        <v/>
      </c>
      <c r="Y172" s="4" t="str">
        <f t="shared" si="39"/>
        <v/>
      </c>
      <c r="Z172" s="4" t="str">
        <f t="shared" si="39"/>
        <v/>
      </c>
      <c r="AA172" s="4" t="str">
        <f t="shared" si="39"/>
        <v/>
      </c>
      <c r="AB172" s="4" t="str">
        <f t="shared" si="39"/>
        <v/>
      </c>
      <c r="AC172" s="5" t="str">
        <f t="shared" si="39"/>
        <v/>
      </c>
      <c r="AD172" s="3" t="str">
        <f t="shared" si="37"/>
        <v/>
      </c>
      <c r="AE172" s="4" t="str">
        <f t="shared" si="37"/>
        <v/>
      </c>
      <c r="AF172" s="4" t="str">
        <f t="shared" si="37"/>
        <v/>
      </c>
      <c r="AG172" s="4" t="str">
        <f t="shared" si="37"/>
        <v/>
      </c>
      <c r="AH172" s="4" t="str">
        <f t="shared" si="37"/>
        <v/>
      </c>
      <c r="AI172" s="4" t="str">
        <f t="shared" si="37"/>
        <v/>
      </c>
      <c r="AJ172" s="4" t="str">
        <f t="shared" si="37"/>
        <v/>
      </c>
      <c r="AK172" s="4" t="str">
        <f t="shared" si="37"/>
        <v/>
      </c>
      <c r="AL172" s="4" t="str">
        <f t="shared" si="34"/>
        <v/>
      </c>
      <c r="AM172" s="4" t="str">
        <f t="shared" si="40"/>
        <v/>
      </c>
      <c r="AN172" s="4" t="str">
        <f t="shared" si="40"/>
        <v/>
      </c>
      <c r="AO172" s="4" t="str">
        <f t="shared" si="40"/>
        <v/>
      </c>
      <c r="AP172" s="4" t="str">
        <f t="shared" si="40"/>
        <v/>
      </c>
      <c r="AQ172" s="4" t="str">
        <f t="shared" si="40"/>
        <v/>
      </c>
      <c r="AR172" s="4" t="str">
        <f t="shared" si="40"/>
        <v/>
      </c>
      <c r="AS172" s="5" t="str">
        <f t="shared" si="40"/>
        <v/>
      </c>
      <c r="AT172" s="3" t="str">
        <f t="shared" si="38"/>
        <v/>
      </c>
      <c r="AU172" s="4" t="str">
        <f t="shared" si="38"/>
        <v/>
      </c>
      <c r="AV172" s="4" t="str">
        <f t="shared" si="38"/>
        <v/>
      </c>
      <c r="AW172" s="4" t="str">
        <f t="shared" si="38"/>
        <v/>
      </c>
      <c r="AX172" s="4">
        <f t="shared" si="38"/>
        <v>1</v>
      </c>
      <c r="AY172" s="4" t="str">
        <f t="shared" si="38"/>
        <v/>
      </c>
      <c r="AZ172" s="4" t="str">
        <f t="shared" si="38"/>
        <v/>
      </c>
      <c r="BA172" s="4" t="str">
        <f t="shared" si="38"/>
        <v/>
      </c>
      <c r="BB172" s="4" t="str">
        <f t="shared" si="35"/>
        <v/>
      </c>
      <c r="BC172" s="4" t="str">
        <f t="shared" si="41"/>
        <v/>
      </c>
      <c r="BD172" s="4" t="str">
        <f t="shared" si="41"/>
        <v/>
      </c>
      <c r="BE172" s="4" t="str">
        <f t="shared" si="41"/>
        <v/>
      </c>
      <c r="BF172" s="4" t="str">
        <f t="shared" si="41"/>
        <v/>
      </c>
      <c r="BG172" s="4" t="str">
        <f t="shared" si="41"/>
        <v/>
      </c>
      <c r="BH172" s="4" t="str">
        <f t="shared" si="41"/>
        <v/>
      </c>
      <c r="BI172" s="5" t="str">
        <f t="shared" si="41"/>
        <v/>
      </c>
    </row>
    <row r="173" spans="1:61" x14ac:dyDescent="0.25">
      <c r="A173">
        <v>686665</v>
      </c>
      <c r="B173" t="s">
        <v>15</v>
      </c>
      <c r="C173" t="s">
        <v>16</v>
      </c>
      <c r="D173">
        <v>47335</v>
      </c>
      <c r="E173">
        <v>894</v>
      </c>
      <c r="F173">
        <v>13</v>
      </c>
      <c r="G173">
        <v>20132</v>
      </c>
      <c r="H173" t="s">
        <v>0</v>
      </c>
      <c r="I173">
        <v>246909.05</v>
      </c>
      <c r="J173">
        <v>8033</v>
      </c>
      <c r="K173">
        <v>205846.65</v>
      </c>
      <c r="L173">
        <v>203082.71</v>
      </c>
      <c r="M173">
        <v>2763.94</v>
      </c>
      <c r="N173" s="3" t="str">
        <f t="shared" si="36"/>
        <v/>
      </c>
      <c r="O173" s="4" t="str">
        <f t="shared" si="36"/>
        <v/>
      </c>
      <c r="P173" s="4" t="str">
        <f t="shared" si="36"/>
        <v/>
      </c>
      <c r="Q173" s="4" t="str">
        <f t="shared" si="36"/>
        <v/>
      </c>
      <c r="R173" s="4" t="str">
        <f t="shared" si="36"/>
        <v/>
      </c>
      <c r="S173" s="4" t="str">
        <f t="shared" si="36"/>
        <v/>
      </c>
      <c r="T173" s="4" t="str">
        <f t="shared" si="36"/>
        <v/>
      </c>
      <c r="U173" s="4" t="str">
        <f t="shared" si="36"/>
        <v/>
      </c>
      <c r="V173" s="4" t="str">
        <f t="shared" si="33"/>
        <v/>
      </c>
      <c r="W173" s="4" t="str">
        <f t="shared" si="39"/>
        <v/>
      </c>
      <c r="X173" s="4" t="str">
        <f t="shared" si="39"/>
        <v/>
      </c>
      <c r="Y173" s="4" t="str">
        <f t="shared" si="39"/>
        <v/>
      </c>
      <c r="Z173" s="4" t="str">
        <f t="shared" si="39"/>
        <v/>
      </c>
      <c r="AA173" s="4" t="str">
        <f t="shared" si="39"/>
        <v/>
      </c>
      <c r="AB173" s="4" t="str">
        <f t="shared" si="39"/>
        <v/>
      </c>
      <c r="AC173" s="5" t="str">
        <f t="shared" si="39"/>
        <v/>
      </c>
      <c r="AD173" s="3" t="str">
        <f t="shared" si="37"/>
        <v/>
      </c>
      <c r="AE173" s="4" t="str">
        <f t="shared" si="37"/>
        <v/>
      </c>
      <c r="AF173" s="4" t="str">
        <f t="shared" si="37"/>
        <v/>
      </c>
      <c r="AG173" s="4" t="str">
        <f t="shared" si="37"/>
        <v/>
      </c>
      <c r="AH173" s="4" t="str">
        <f t="shared" si="37"/>
        <v/>
      </c>
      <c r="AI173" s="4" t="str">
        <f t="shared" si="37"/>
        <v/>
      </c>
      <c r="AJ173" s="4" t="str">
        <f t="shared" si="37"/>
        <v/>
      </c>
      <c r="AK173" s="4" t="str">
        <f t="shared" si="37"/>
        <v/>
      </c>
      <c r="AL173" s="4" t="str">
        <f t="shared" si="34"/>
        <v/>
      </c>
      <c r="AM173" s="4" t="str">
        <f t="shared" si="40"/>
        <v/>
      </c>
      <c r="AN173" s="4" t="str">
        <f t="shared" si="40"/>
        <v/>
      </c>
      <c r="AO173" s="4" t="str">
        <f t="shared" si="40"/>
        <v/>
      </c>
      <c r="AP173" s="4" t="str">
        <f t="shared" si="40"/>
        <v/>
      </c>
      <c r="AQ173" s="4" t="str">
        <f t="shared" si="40"/>
        <v/>
      </c>
      <c r="AR173" s="4" t="str">
        <f t="shared" si="40"/>
        <v/>
      </c>
      <c r="AS173" s="5" t="str">
        <f t="shared" si="40"/>
        <v/>
      </c>
      <c r="AT173" s="3" t="str">
        <f t="shared" si="38"/>
        <v/>
      </c>
      <c r="AU173" s="4" t="str">
        <f t="shared" si="38"/>
        <v/>
      </c>
      <c r="AV173" s="4" t="str">
        <f t="shared" si="38"/>
        <v/>
      </c>
      <c r="AW173" s="4" t="str">
        <f t="shared" si="38"/>
        <v/>
      </c>
      <c r="AX173" s="4" t="str">
        <f t="shared" si="38"/>
        <v/>
      </c>
      <c r="AY173" s="4">
        <f t="shared" si="38"/>
        <v>1</v>
      </c>
      <c r="AZ173" s="4" t="str">
        <f t="shared" si="38"/>
        <v/>
      </c>
      <c r="BA173" s="4" t="str">
        <f t="shared" si="38"/>
        <v/>
      </c>
      <c r="BB173" s="4" t="str">
        <f t="shared" si="35"/>
        <v/>
      </c>
      <c r="BC173" s="4" t="str">
        <f t="shared" si="41"/>
        <v/>
      </c>
      <c r="BD173" s="4" t="str">
        <f t="shared" si="41"/>
        <v/>
      </c>
      <c r="BE173" s="4" t="str">
        <f t="shared" si="41"/>
        <v/>
      </c>
      <c r="BF173" s="4" t="str">
        <f t="shared" si="41"/>
        <v/>
      </c>
      <c r="BG173" s="4" t="str">
        <f t="shared" si="41"/>
        <v/>
      </c>
      <c r="BH173" s="4" t="str">
        <f t="shared" si="41"/>
        <v/>
      </c>
      <c r="BI173" s="5" t="str">
        <f t="shared" si="41"/>
        <v/>
      </c>
    </row>
    <row r="174" spans="1:61" x14ac:dyDescent="0.25">
      <c r="A174">
        <v>686666</v>
      </c>
      <c r="B174" t="s">
        <v>15</v>
      </c>
      <c r="C174" t="s">
        <v>16</v>
      </c>
      <c r="D174">
        <v>47335</v>
      </c>
      <c r="E174">
        <v>894</v>
      </c>
      <c r="F174">
        <v>13</v>
      </c>
      <c r="G174">
        <v>20133</v>
      </c>
      <c r="H174" t="s">
        <v>0</v>
      </c>
      <c r="I174">
        <v>315980.3</v>
      </c>
      <c r="J174">
        <v>10384</v>
      </c>
      <c r="K174">
        <v>239766.56</v>
      </c>
      <c r="L174">
        <v>237872.3</v>
      </c>
      <c r="M174">
        <v>1894.26</v>
      </c>
      <c r="N174" s="3" t="str">
        <f t="shared" si="36"/>
        <v/>
      </c>
      <c r="O174" s="4" t="str">
        <f t="shared" si="36"/>
        <v/>
      </c>
      <c r="P174" s="4" t="str">
        <f t="shared" si="36"/>
        <v/>
      </c>
      <c r="Q174" s="4" t="str">
        <f t="shared" si="36"/>
        <v/>
      </c>
      <c r="R174" s="4" t="str">
        <f t="shared" si="36"/>
        <v/>
      </c>
      <c r="S174" s="4" t="str">
        <f t="shared" si="36"/>
        <v/>
      </c>
      <c r="T174" s="4" t="str">
        <f t="shared" si="36"/>
        <v/>
      </c>
      <c r="U174" s="4" t="str">
        <f t="shared" si="36"/>
        <v/>
      </c>
      <c r="V174" s="4" t="str">
        <f t="shared" si="33"/>
        <v/>
      </c>
      <c r="W174" s="4" t="str">
        <f t="shared" si="39"/>
        <v/>
      </c>
      <c r="X174" s="4" t="str">
        <f t="shared" si="39"/>
        <v/>
      </c>
      <c r="Y174" s="4" t="str">
        <f t="shared" si="39"/>
        <v/>
      </c>
      <c r="Z174" s="4" t="str">
        <f t="shared" si="39"/>
        <v/>
      </c>
      <c r="AA174" s="4" t="str">
        <f t="shared" si="39"/>
        <v/>
      </c>
      <c r="AB174" s="4" t="str">
        <f t="shared" si="39"/>
        <v/>
      </c>
      <c r="AC174" s="5" t="str">
        <f t="shared" si="39"/>
        <v/>
      </c>
      <c r="AD174" s="3" t="str">
        <f t="shared" si="37"/>
        <v/>
      </c>
      <c r="AE174" s="4" t="str">
        <f t="shared" si="37"/>
        <v/>
      </c>
      <c r="AF174" s="4" t="str">
        <f t="shared" si="37"/>
        <v/>
      </c>
      <c r="AG174" s="4" t="str">
        <f t="shared" si="37"/>
        <v/>
      </c>
      <c r="AH174" s="4" t="str">
        <f t="shared" si="37"/>
        <v/>
      </c>
      <c r="AI174" s="4" t="str">
        <f t="shared" si="37"/>
        <v/>
      </c>
      <c r="AJ174" s="4" t="str">
        <f t="shared" si="37"/>
        <v/>
      </c>
      <c r="AK174" s="4" t="str">
        <f t="shared" si="37"/>
        <v/>
      </c>
      <c r="AL174" s="4" t="str">
        <f t="shared" si="34"/>
        <v/>
      </c>
      <c r="AM174" s="4" t="str">
        <f t="shared" si="40"/>
        <v/>
      </c>
      <c r="AN174" s="4" t="str">
        <f t="shared" si="40"/>
        <v/>
      </c>
      <c r="AO174" s="4" t="str">
        <f t="shared" si="40"/>
        <v/>
      </c>
      <c r="AP174" s="4" t="str">
        <f t="shared" si="40"/>
        <v/>
      </c>
      <c r="AQ174" s="4" t="str">
        <f t="shared" si="40"/>
        <v/>
      </c>
      <c r="AR174" s="4" t="str">
        <f t="shared" si="40"/>
        <v/>
      </c>
      <c r="AS174" s="5" t="str">
        <f t="shared" si="40"/>
        <v/>
      </c>
      <c r="AT174" s="3" t="str">
        <f t="shared" si="38"/>
        <v/>
      </c>
      <c r="AU174" s="4" t="str">
        <f t="shared" si="38"/>
        <v/>
      </c>
      <c r="AV174" s="4" t="str">
        <f t="shared" si="38"/>
        <v/>
      </c>
      <c r="AW174" s="4" t="str">
        <f t="shared" si="38"/>
        <v/>
      </c>
      <c r="AX174" s="4" t="str">
        <f t="shared" si="38"/>
        <v/>
      </c>
      <c r="AY174" s="4" t="str">
        <f t="shared" si="38"/>
        <v/>
      </c>
      <c r="AZ174" s="4">
        <f t="shared" si="38"/>
        <v>1</v>
      </c>
      <c r="BA174" s="4" t="str">
        <f t="shared" si="38"/>
        <v/>
      </c>
      <c r="BB174" s="4" t="str">
        <f t="shared" si="35"/>
        <v/>
      </c>
      <c r="BC174" s="4" t="str">
        <f t="shared" si="41"/>
        <v/>
      </c>
      <c r="BD174" s="4" t="str">
        <f t="shared" si="41"/>
        <v/>
      </c>
      <c r="BE174" s="4" t="str">
        <f t="shared" si="41"/>
        <v/>
      </c>
      <c r="BF174" s="4" t="str">
        <f t="shared" si="41"/>
        <v/>
      </c>
      <c r="BG174" s="4" t="str">
        <f t="shared" si="41"/>
        <v/>
      </c>
      <c r="BH174" s="4" t="str">
        <f t="shared" si="41"/>
        <v/>
      </c>
      <c r="BI174" s="5" t="str">
        <f t="shared" si="41"/>
        <v/>
      </c>
    </row>
    <row r="175" spans="1:61" x14ac:dyDescent="0.25">
      <c r="A175">
        <v>686667</v>
      </c>
      <c r="B175" t="s">
        <v>15</v>
      </c>
      <c r="C175" t="s">
        <v>16</v>
      </c>
      <c r="D175">
        <v>47335</v>
      </c>
      <c r="E175">
        <v>894</v>
      </c>
      <c r="F175">
        <v>13</v>
      </c>
      <c r="G175">
        <v>20134</v>
      </c>
      <c r="H175" t="s">
        <v>0</v>
      </c>
      <c r="I175">
        <v>362707.8</v>
      </c>
      <c r="J175">
        <v>12018</v>
      </c>
      <c r="K175">
        <v>266437.86</v>
      </c>
      <c r="L175">
        <v>263738.62</v>
      </c>
      <c r="M175">
        <v>2699.24</v>
      </c>
      <c r="N175" s="3" t="str">
        <f t="shared" si="36"/>
        <v/>
      </c>
      <c r="O175" s="4" t="str">
        <f t="shared" si="36"/>
        <v/>
      </c>
      <c r="P175" s="4" t="str">
        <f t="shared" si="36"/>
        <v/>
      </c>
      <c r="Q175" s="4" t="str">
        <f t="shared" si="36"/>
        <v/>
      </c>
      <c r="R175" s="4" t="str">
        <f t="shared" si="36"/>
        <v/>
      </c>
      <c r="S175" s="4" t="str">
        <f t="shared" si="36"/>
        <v/>
      </c>
      <c r="T175" s="4" t="str">
        <f t="shared" si="36"/>
        <v/>
      </c>
      <c r="U175" s="4" t="str">
        <f t="shared" si="36"/>
        <v/>
      </c>
      <c r="V175" s="4" t="str">
        <f t="shared" si="33"/>
        <v/>
      </c>
      <c r="W175" s="4" t="str">
        <f t="shared" si="39"/>
        <v/>
      </c>
      <c r="X175" s="4" t="str">
        <f t="shared" si="39"/>
        <v/>
      </c>
      <c r="Y175" s="4" t="str">
        <f t="shared" si="39"/>
        <v/>
      </c>
      <c r="Z175" s="4" t="str">
        <f t="shared" si="39"/>
        <v/>
      </c>
      <c r="AA175" s="4" t="str">
        <f t="shared" si="39"/>
        <v/>
      </c>
      <c r="AB175" s="4" t="str">
        <f t="shared" si="39"/>
        <v/>
      </c>
      <c r="AC175" s="5" t="str">
        <f t="shared" si="39"/>
        <v/>
      </c>
      <c r="AD175" s="3" t="str">
        <f t="shared" si="37"/>
        <v/>
      </c>
      <c r="AE175" s="4" t="str">
        <f t="shared" si="37"/>
        <v/>
      </c>
      <c r="AF175" s="4" t="str">
        <f t="shared" si="37"/>
        <v/>
      </c>
      <c r="AG175" s="4" t="str">
        <f t="shared" si="37"/>
        <v/>
      </c>
      <c r="AH175" s="4" t="str">
        <f t="shared" si="37"/>
        <v/>
      </c>
      <c r="AI175" s="4" t="str">
        <f t="shared" si="37"/>
        <v/>
      </c>
      <c r="AJ175" s="4" t="str">
        <f t="shared" si="37"/>
        <v/>
      </c>
      <c r="AK175" s="4" t="str">
        <f t="shared" si="37"/>
        <v/>
      </c>
      <c r="AL175" s="4" t="str">
        <f t="shared" si="34"/>
        <v/>
      </c>
      <c r="AM175" s="4" t="str">
        <f t="shared" si="40"/>
        <v/>
      </c>
      <c r="AN175" s="4" t="str">
        <f t="shared" si="40"/>
        <v/>
      </c>
      <c r="AO175" s="4" t="str">
        <f t="shared" si="40"/>
        <v/>
      </c>
      <c r="AP175" s="4" t="str">
        <f t="shared" si="40"/>
        <v/>
      </c>
      <c r="AQ175" s="4" t="str">
        <f t="shared" si="40"/>
        <v/>
      </c>
      <c r="AR175" s="4" t="str">
        <f t="shared" si="40"/>
        <v/>
      </c>
      <c r="AS175" s="5" t="str">
        <f t="shared" si="40"/>
        <v/>
      </c>
      <c r="AT175" s="3" t="str">
        <f t="shared" si="38"/>
        <v/>
      </c>
      <c r="AU175" s="4" t="str">
        <f t="shared" si="38"/>
        <v/>
      </c>
      <c r="AV175" s="4" t="str">
        <f t="shared" si="38"/>
        <v/>
      </c>
      <c r="AW175" s="4" t="str">
        <f t="shared" si="38"/>
        <v/>
      </c>
      <c r="AX175" s="4" t="str">
        <f t="shared" si="38"/>
        <v/>
      </c>
      <c r="AY175" s="4" t="str">
        <f t="shared" si="38"/>
        <v/>
      </c>
      <c r="AZ175" s="4" t="str">
        <f t="shared" si="38"/>
        <v/>
      </c>
      <c r="BA175" s="4">
        <f t="shared" si="38"/>
        <v>1</v>
      </c>
      <c r="BB175" s="4" t="str">
        <f t="shared" si="35"/>
        <v/>
      </c>
      <c r="BC175" s="4" t="str">
        <f t="shared" si="41"/>
        <v/>
      </c>
      <c r="BD175" s="4" t="str">
        <f t="shared" si="41"/>
        <v/>
      </c>
      <c r="BE175" s="4" t="str">
        <f t="shared" si="41"/>
        <v/>
      </c>
      <c r="BF175" s="4" t="str">
        <f t="shared" si="41"/>
        <v/>
      </c>
      <c r="BG175" s="4" t="str">
        <f t="shared" si="41"/>
        <v/>
      </c>
      <c r="BH175" s="4" t="str">
        <f t="shared" si="41"/>
        <v/>
      </c>
      <c r="BI175" s="5" t="str">
        <f t="shared" si="41"/>
        <v/>
      </c>
    </row>
    <row r="176" spans="1:61" x14ac:dyDescent="0.25">
      <c r="A176">
        <v>686668</v>
      </c>
      <c r="B176" t="s">
        <v>15</v>
      </c>
      <c r="C176" t="s">
        <v>16</v>
      </c>
      <c r="D176">
        <v>47335</v>
      </c>
      <c r="E176">
        <v>894</v>
      </c>
      <c r="F176">
        <v>81</v>
      </c>
      <c r="G176">
        <v>20131</v>
      </c>
      <c r="H176" t="s">
        <v>0</v>
      </c>
      <c r="I176">
        <v>171514.99</v>
      </c>
      <c r="J176">
        <v>5524</v>
      </c>
      <c r="K176">
        <v>190862.56</v>
      </c>
      <c r="L176">
        <v>181814.49</v>
      </c>
      <c r="M176">
        <v>9048.07</v>
      </c>
      <c r="N176" s="3" t="str">
        <f t="shared" si="36"/>
        <v/>
      </c>
      <c r="O176" s="4" t="str">
        <f t="shared" si="36"/>
        <v/>
      </c>
      <c r="P176" s="4" t="str">
        <f t="shared" si="36"/>
        <v/>
      </c>
      <c r="Q176" s="4" t="str">
        <f t="shared" si="36"/>
        <v/>
      </c>
      <c r="R176" s="4" t="str">
        <f t="shared" si="36"/>
        <v/>
      </c>
      <c r="S176" s="4" t="str">
        <f t="shared" si="36"/>
        <v/>
      </c>
      <c r="T176" s="4" t="str">
        <f t="shared" si="36"/>
        <v/>
      </c>
      <c r="U176" s="4" t="str">
        <f t="shared" si="36"/>
        <v/>
      </c>
      <c r="V176" s="4" t="str">
        <f t="shared" si="33"/>
        <v/>
      </c>
      <c r="W176" s="4" t="str">
        <f t="shared" si="39"/>
        <v/>
      </c>
      <c r="X176" s="4" t="str">
        <f t="shared" si="39"/>
        <v/>
      </c>
      <c r="Y176" s="4" t="str">
        <f t="shared" si="39"/>
        <v/>
      </c>
      <c r="Z176" s="4" t="str">
        <f t="shared" si="39"/>
        <v/>
      </c>
      <c r="AA176" s="4" t="str">
        <f t="shared" si="39"/>
        <v/>
      </c>
      <c r="AB176" s="4" t="str">
        <f t="shared" si="39"/>
        <v/>
      </c>
      <c r="AC176" s="5" t="str">
        <f t="shared" si="39"/>
        <v/>
      </c>
      <c r="AD176" s="3" t="str">
        <f t="shared" si="37"/>
        <v/>
      </c>
      <c r="AE176" s="4" t="str">
        <f t="shared" si="37"/>
        <v/>
      </c>
      <c r="AF176" s="4" t="str">
        <f t="shared" si="37"/>
        <v/>
      </c>
      <c r="AG176" s="4" t="str">
        <f t="shared" si="37"/>
        <v/>
      </c>
      <c r="AH176" s="4" t="str">
        <f t="shared" si="37"/>
        <v/>
      </c>
      <c r="AI176" s="4" t="str">
        <f t="shared" si="37"/>
        <v/>
      </c>
      <c r="AJ176" s="4" t="str">
        <f t="shared" si="37"/>
        <v/>
      </c>
      <c r="AK176" s="4" t="str">
        <f t="shared" si="37"/>
        <v/>
      </c>
      <c r="AL176" s="4" t="str">
        <f t="shared" si="34"/>
        <v/>
      </c>
      <c r="AM176" s="4" t="str">
        <f t="shared" si="40"/>
        <v/>
      </c>
      <c r="AN176" s="4" t="str">
        <f t="shared" si="40"/>
        <v/>
      </c>
      <c r="AO176" s="4" t="str">
        <f t="shared" si="40"/>
        <v/>
      </c>
      <c r="AP176" s="4" t="str">
        <f t="shared" si="40"/>
        <v/>
      </c>
      <c r="AQ176" s="4" t="str">
        <f t="shared" si="40"/>
        <v/>
      </c>
      <c r="AR176" s="4" t="str">
        <f t="shared" si="40"/>
        <v/>
      </c>
      <c r="AS176" s="5" t="str">
        <f t="shared" si="40"/>
        <v/>
      </c>
      <c r="AT176" s="3" t="str">
        <f t="shared" si="38"/>
        <v/>
      </c>
      <c r="AU176" s="4" t="str">
        <f t="shared" si="38"/>
        <v/>
      </c>
      <c r="AV176" s="4" t="str">
        <f t="shared" si="38"/>
        <v/>
      </c>
      <c r="AW176" s="4" t="str">
        <f t="shared" si="38"/>
        <v/>
      </c>
      <c r="AX176" s="4">
        <f t="shared" si="38"/>
        <v>1</v>
      </c>
      <c r="AY176" s="4" t="str">
        <f t="shared" si="38"/>
        <v/>
      </c>
      <c r="AZ176" s="4" t="str">
        <f t="shared" si="38"/>
        <v/>
      </c>
      <c r="BA176" s="4" t="str">
        <f t="shared" si="38"/>
        <v/>
      </c>
      <c r="BB176" s="4" t="str">
        <f t="shared" si="35"/>
        <v/>
      </c>
      <c r="BC176" s="4" t="str">
        <f t="shared" si="41"/>
        <v/>
      </c>
      <c r="BD176" s="4" t="str">
        <f t="shared" si="41"/>
        <v/>
      </c>
      <c r="BE176" s="4" t="str">
        <f t="shared" si="41"/>
        <v/>
      </c>
      <c r="BF176" s="4" t="str">
        <f t="shared" si="41"/>
        <v/>
      </c>
      <c r="BG176" s="4" t="str">
        <f t="shared" si="41"/>
        <v/>
      </c>
      <c r="BH176" s="4" t="str">
        <f t="shared" si="41"/>
        <v/>
      </c>
      <c r="BI176" s="5" t="str">
        <f t="shared" si="41"/>
        <v/>
      </c>
    </row>
    <row r="177" spans="1:61" x14ac:dyDescent="0.25">
      <c r="A177">
        <v>686669</v>
      </c>
      <c r="B177" t="s">
        <v>15</v>
      </c>
      <c r="C177" t="s">
        <v>16</v>
      </c>
      <c r="D177">
        <v>47335</v>
      </c>
      <c r="E177">
        <v>894</v>
      </c>
      <c r="F177">
        <v>81</v>
      </c>
      <c r="G177">
        <v>20132</v>
      </c>
      <c r="H177" t="s">
        <v>0</v>
      </c>
      <c r="I177">
        <v>155412</v>
      </c>
      <c r="J177">
        <v>5106</v>
      </c>
      <c r="K177">
        <v>126886.24</v>
      </c>
      <c r="L177">
        <v>125619.61</v>
      </c>
      <c r="M177">
        <v>1266.6300000000001</v>
      </c>
      <c r="N177" s="3" t="str">
        <f t="shared" si="36"/>
        <v/>
      </c>
      <c r="O177" s="4" t="str">
        <f t="shared" si="36"/>
        <v/>
      </c>
      <c r="P177" s="4" t="str">
        <f t="shared" si="36"/>
        <v/>
      </c>
      <c r="Q177" s="4" t="str">
        <f t="shared" si="36"/>
        <v/>
      </c>
      <c r="R177" s="4" t="str">
        <f t="shared" si="36"/>
        <v/>
      </c>
      <c r="S177" s="4" t="str">
        <f t="shared" si="36"/>
        <v/>
      </c>
      <c r="T177" s="4" t="str">
        <f t="shared" si="36"/>
        <v/>
      </c>
      <c r="U177" s="4" t="str">
        <f t="shared" si="36"/>
        <v/>
      </c>
      <c r="V177" s="4" t="str">
        <f t="shared" si="33"/>
        <v/>
      </c>
      <c r="W177" s="4" t="str">
        <f t="shared" si="39"/>
        <v/>
      </c>
      <c r="X177" s="4" t="str">
        <f t="shared" si="39"/>
        <v/>
      </c>
      <c r="Y177" s="4" t="str">
        <f t="shared" si="39"/>
        <v/>
      </c>
      <c r="Z177" s="4" t="str">
        <f t="shared" si="39"/>
        <v/>
      </c>
      <c r="AA177" s="4" t="str">
        <f t="shared" si="39"/>
        <v/>
      </c>
      <c r="AB177" s="4" t="str">
        <f t="shared" si="39"/>
        <v/>
      </c>
      <c r="AC177" s="5" t="str">
        <f t="shared" si="39"/>
        <v/>
      </c>
      <c r="AD177" s="3" t="str">
        <f t="shared" si="37"/>
        <v/>
      </c>
      <c r="AE177" s="4" t="str">
        <f t="shared" si="37"/>
        <v/>
      </c>
      <c r="AF177" s="4" t="str">
        <f t="shared" si="37"/>
        <v/>
      </c>
      <c r="AG177" s="4" t="str">
        <f t="shared" si="37"/>
        <v/>
      </c>
      <c r="AH177" s="4" t="str">
        <f t="shared" si="37"/>
        <v/>
      </c>
      <c r="AI177" s="4" t="str">
        <f t="shared" si="37"/>
        <v/>
      </c>
      <c r="AJ177" s="4" t="str">
        <f t="shared" si="37"/>
        <v/>
      </c>
      <c r="AK177" s="4" t="str">
        <f t="shared" si="37"/>
        <v/>
      </c>
      <c r="AL177" s="4" t="str">
        <f t="shared" si="34"/>
        <v/>
      </c>
      <c r="AM177" s="4" t="str">
        <f t="shared" si="40"/>
        <v/>
      </c>
      <c r="AN177" s="4" t="str">
        <f t="shared" si="40"/>
        <v/>
      </c>
      <c r="AO177" s="4" t="str">
        <f t="shared" si="40"/>
        <v/>
      </c>
      <c r="AP177" s="4" t="str">
        <f t="shared" si="40"/>
        <v/>
      </c>
      <c r="AQ177" s="4" t="str">
        <f t="shared" si="40"/>
        <v/>
      </c>
      <c r="AR177" s="4" t="str">
        <f t="shared" si="40"/>
        <v/>
      </c>
      <c r="AS177" s="5" t="str">
        <f t="shared" si="40"/>
        <v/>
      </c>
      <c r="AT177" s="3" t="str">
        <f t="shared" si="38"/>
        <v/>
      </c>
      <c r="AU177" s="4" t="str">
        <f t="shared" si="38"/>
        <v/>
      </c>
      <c r="AV177" s="4" t="str">
        <f t="shared" si="38"/>
        <v/>
      </c>
      <c r="AW177" s="4" t="str">
        <f t="shared" si="38"/>
        <v/>
      </c>
      <c r="AX177" s="4" t="str">
        <f t="shared" si="38"/>
        <v/>
      </c>
      <c r="AY177" s="4">
        <f t="shared" si="38"/>
        <v>1</v>
      </c>
      <c r="AZ177" s="4" t="str">
        <f t="shared" si="38"/>
        <v/>
      </c>
      <c r="BA177" s="4" t="str">
        <f t="shared" si="38"/>
        <v/>
      </c>
      <c r="BB177" s="4" t="str">
        <f t="shared" si="35"/>
        <v/>
      </c>
      <c r="BC177" s="4" t="str">
        <f t="shared" si="41"/>
        <v/>
      </c>
      <c r="BD177" s="4" t="str">
        <f t="shared" si="41"/>
        <v/>
      </c>
      <c r="BE177" s="4" t="str">
        <f t="shared" si="41"/>
        <v/>
      </c>
      <c r="BF177" s="4" t="str">
        <f t="shared" si="41"/>
        <v/>
      </c>
      <c r="BG177" s="4" t="str">
        <f t="shared" si="41"/>
        <v/>
      </c>
      <c r="BH177" s="4" t="str">
        <f t="shared" si="41"/>
        <v/>
      </c>
      <c r="BI177" s="5" t="str">
        <f t="shared" si="41"/>
        <v/>
      </c>
    </row>
    <row r="178" spans="1:61" x14ac:dyDescent="0.25">
      <c r="A178">
        <v>686670</v>
      </c>
      <c r="B178" t="s">
        <v>15</v>
      </c>
      <c r="C178" t="s">
        <v>16</v>
      </c>
      <c r="D178">
        <v>47335</v>
      </c>
      <c r="E178">
        <v>894</v>
      </c>
      <c r="F178">
        <v>81</v>
      </c>
      <c r="G178">
        <v>20133</v>
      </c>
      <c r="H178" t="s">
        <v>0</v>
      </c>
      <c r="I178">
        <v>122919</v>
      </c>
      <c r="J178">
        <v>4050</v>
      </c>
      <c r="K178">
        <v>94672.72</v>
      </c>
      <c r="L178">
        <v>93778.14</v>
      </c>
      <c r="M178">
        <v>894.58</v>
      </c>
      <c r="N178" s="3" t="str">
        <f t="shared" si="36"/>
        <v/>
      </c>
      <c r="O178" s="4" t="str">
        <f t="shared" si="36"/>
        <v/>
      </c>
      <c r="P178" s="4" t="str">
        <f t="shared" si="36"/>
        <v/>
      </c>
      <c r="Q178" s="4" t="str">
        <f t="shared" si="36"/>
        <v/>
      </c>
      <c r="R178" s="4" t="str">
        <f t="shared" si="36"/>
        <v/>
      </c>
      <c r="S178" s="4" t="str">
        <f t="shared" si="36"/>
        <v/>
      </c>
      <c r="T178" s="4" t="str">
        <f t="shared" si="36"/>
        <v/>
      </c>
      <c r="U178" s="4" t="str">
        <f t="shared" si="36"/>
        <v/>
      </c>
      <c r="V178" s="4" t="str">
        <f t="shared" si="33"/>
        <v/>
      </c>
      <c r="W178" s="4" t="str">
        <f t="shared" si="39"/>
        <v/>
      </c>
      <c r="X178" s="4" t="str">
        <f t="shared" si="39"/>
        <v/>
      </c>
      <c r="Y178" s="4" t="str">
        <f t="shared" si="39"/>
        <v/>
      </c>
      <c r="Z178" s="4" t="str">
        <f t="shared" si="39"/>
        <v/>
      </c>
      <c r="AA178" s="4" t="str">
        <f t="shared" si="39"/>
        <v/>
      </c>
      <c r="AB178" s="4" t="str">
        <f t="shared" si="39"/>
        <v/>
      </c>
      <c r="AC178" s="5" t="str">
        <f t="shared" si="39"/>
        <v/>
      </c>
      <c r="AD178" s="3" t="str">
        <f t="shared" si="37"/>
        <v/>
      </c>
      <c r="AE178" s="4" t="str">
        <f t="shared" si="37"/>
        <v/>
      </c>
      <c r="AF178" s="4" t="str">
        <f t="shared" si="37"/>
        <v/>
      </c>
      <c r="AG178" s="4" t="str">
        <f t="shared" si="37"/>
        <v/>
      </c>
      <c r="AH178" s="4" t="str">
        <f t="shared" si="37"/>
        <v/>
      </c>
      <c r="AI178" s="4" t="str">
        <f t="shared" si="37"/>
        <v/>
      </c>
      <c r="AJ178" s="4" t="str">
        <f t="shared" si="37"/>
        <v/>
      </c>
      <c r="AK178" s="4" t="str">
        <f t="shared" si="37"/>
        <v/>
      </c>
      <c r="AL178" s="4" t="str">
        <f t="shared" si="34"/>
        <v/>
      </c>
      <c r="AM178" s="4" t="str">
        <f t="shared" si="40"/>
        <v/>
      </c>
      <c r="AN178" s="4" t="str">
        <f t="shared" si="40"/>
        <v/>
      </c>
      <c r="AO178" s="4" t="str">
        <f t="shared" si="40"/>
        <v/>
      </c>
      <c r="AP178" s="4" t="str">
        <f t="shared" si="40"/>
        <v/>
      </c>
      <c r="AQ178" s="4" t="str">
        <f t="shared" si="40"/>
        <v/>
      </c>
      <c r="AR178" s="4" t="str">
        <f t="shared" si="40"/>
        <v/>
      </c>
      <c r="AS178" s="5" t="str">
        <f t="shared" si="40"/>
        <v/>
      </c>
      <c r="AT178" s="3" t="str">
        <f t="shared" si="38"/>
        <v/>
      </c>
      <c r="AU178" s="4" t="str">
        <f t="shared" si="38"/>
        <v/>
      </c>
      <c r="AV178" s="4" t="str">
        <f t="shared" si="38"/>
        <v/>
      </c>
      <c r="AW178" s="4" t="str">
        <f t="shared" si="38"/>
        <v/>
      </c>
      <c r="AX178" s="4" t="str">
        <f t="shared" si="38"/>
        <v/>
      </c>
      <c r="AY178" s="4" t="str">
        <f t="shared" si="38"/>
        <v/>
      </c>
      <c r="AZ178" s="4">
        <f t="shared" si="38"/>
        <v>1</v>
      </c>
      <c r="BA178" s="4" t="str">
        <f t="shared" si="38"/>
        <v/>
      </c>
      <c r="BB178" s="4" t="str">
        <f t="shared" si="35"/>
        <v/>
      </c>
      <c r="BC178" s="4" t="str">
        <f t="shared" si="41"/>
        <v/>
      </c>
      <c r="BD178" s="4" t="str">
        <f t="shared" si="41"/>
        <v/>
      </c>
      <c r="BE178" s="4" t="str">
        <f t="shared" si="41"/>
        <v/>
      </c>
      <c r="BF178" s="4" t="str">
        <f t="shared" si="41"/>
        <v/>
      </c>
      <c r="BG178" s="4" t="str">
        <f t="shared" si="41"/>
        <v/>
      </c>
      <c r="BH178" s="4" t="str">
        <f t="shared" si="41"/>
        <v/>
      </c>
      <c r="BI178" s="5" t="str">
        <f t="shared" si="41"/>
        <v/>
      </c>
    </row>
    <row r="179" spans="1:61" x14ac:dyDescent="0.25">
      <c r="A179">
        <v>686671</v>
      </c>
      <c r="B179" t="s">
        <v>15</v>
      </c>
      <c r="C179" t="s">
        <v>16</v>
      </c>
      <c r="D179">
        <v>47335</v>
      </c>
      <c r="E179">
        <v>894</v>
      </c>
      <c r="F179">
        <v>81</v>
      </c>
      <c r="G179">
        <v>20134</v>
      </c>
      <c r="H179" t="s">
        <v>0</v>
      </c>
      <c r="I179">
        <v>166770.33300000001</v>
      </c>
      <c r="J179">
        <v>5476</v>
      </c>
      <c r="K179">
        <v>119285.95</v>
      </c>
      <c r="L179">
        <v>117595.47</v>
      </c>
      <c r="M179">
        <v>1690.48</v>
      </c>
      <c r="N179" s="3" t="str">
        <f t="shared" si="36"/>
        <v/>
      </c>
      <c r="O179" s="4" t="str">
        <f t="shared" si="36"/>
        <v/>
      </c>
      <c r="P179" s="4" t="str">
        <f t="shared" si="36"/>
        <v/>
      </c>
      <c r="Q179" s="4" t="str">
        <f t="shared" ref="N179:U211" si="42">IF(AND($B179=Q$3, $G179=Q$2, $H179=Q$1), 1, "")</f>
        <v/>
      </c>
      <c r="R179" s="4" t="str">
        <f t="shared" si="42"/>
        <v/>
      </c>
      <c r="S179" s="4" t="str">
        <f t="shared" si="42"/>
        <v/>
      </c>
      <c r="T179" s="4" t="str">
        <f t="shared" si="42"/>
        <v/>
      </c>
      <c r="U179" s="4" t="str">
        <f t="shared" si="42"/>
        <v/>
      </c>
      <c r="V179" s="4" t="str">
        <f t="shared" si="33"/>
        <v/>
      </c>
      <c r="W179" s="4" t="str">
        <f t="shared" si="39"/>
        <v/>
      </c>
      <c r="X179" s="4" t="str">
        <f t="shared" si="39"/>
        <v/>
      </c>
      <c r="Y179" s="4" t="str">
        <f t="shared" si="39"/>
        <v/>
      </c>
      <c r="Z179" s="4" t="str">
        <f t="shared" si="39"/>
        <v/>
      </c>
      <c r="AA179" s="4" t="str">
        <f t="shared" si="39"/>
        <v/>
      </c>
      <c r="AB179" s="4" t="str">
        <f t="shared" si="39"/>
        <v/>
      </c>
      <c r="AC179" s="5" t="str">
        <f t="shared" si="39"/>
        <v/>
      </c>
      <c r="AD179" s="3" t="str">
        <f t="shared" si="37"/>
        <v/>
      </c>
      <c r="AE179" s="4" t="str">
        <f t="shared" si="37"/>
        <v/>
      </c>
      <c r="AF179" s="4" t="str">
        <f t="shared" si="37"/>
        <v/>
      </c>
      <c r="AG179" s="4" t="str">
        <f t="shared" ref="AD179:AK211" si="43">IF(AND($B179=AG$3, $G179=AG$2, $H179=AG$1), 1, "")</f>
        <v/>
      </c>
      <c r="AH179" s="4" t="str">
        <f t="shared" si="43"/>
        <v/>
      </c>
      <c r="AI179" s="4" t="str">
        <f t="shared" si="43"/>
        <v/>
      </c>
      <c r="AJ179" s="4" t="str">
        <f t="shared" si="43"/>
        <v/>
      </c>
      <c r="AK179" s="4" t="str">
        <f t="shared" si="43"/>
        <v/>
      </c>
      <c r="AL179" s="4" t="str">
        <f t="shared" si="34"/>
        <v/>
      </c>
      <c r="AM179" s="4" t="str">
        <f t="shared" si="40"/>
        <v/>
      </c>
      <c r="AN179" s="4" t="str">
        <f t="shared" si="40"/>
        <v/>
      </c>
      <c r="AO179" s="4" t="str">
        <f t="shared" si="40"/>
        <v/>
      </c>
      <c r="AP179" s="4" t="str">
        <f t="shared" si="40"/>
        <v/>
      </c>
      <c r="AQ179" s="4" t="str">
        <f t="shared" si="40"/>
        <v/>
      </c>
      <c r="AR179" s="4" t="str">
        <f t="shared" si="40"/>
        <v/>
      </c>
      <c r="AS179" s="5" t="str">
        <f t="shared" si="40"/>
        <v/>
      </c>
      <c r="AT179" s="3" t="str">
        <f t="shared" si="38"/>
        <v/>
      </c>
      <c r="AU179" s="4" t="str">
        <f t="shared" si="38"/>
        <v/>
      </c>
      <c r="AV179" s="4" t="str">
        <f t="shared" si="38"/>
        <v/>
      </c>
      <c r="AW179" s="4" t="str">
        <f t="shared" ref="AT179:BA211" si="44">IF(AND($B179=AW$3, $G179=AW$2, $H179=AW$1), 1, "")</f>
        <v/>
      </c>
      <c r="AX179" s="4" t="str">
        <f t="shared" si="44"/>
        <v/>
      </c>
      <c r="AY179" s="4" t="str">
        <f t="shared" si="44"/>
        <v/>
      </c>
      <c r="AZ179" s="4" t="str">
        <f t="shared" si="44"/>
        <v/>
      </c>
      <c r="BA179" s="4">
        <f t="shared" si="44"/>
        <v>1</v>
      </c>
      <c r="BB179" s="4" t="str">
        <f t="shared" si="35"/>
        <v/>
      </c>
      <c r="BC179" s="4" t="str">
        <f t="shared" si="41"/>
        <v/>
      </c>
      <c r="BD179" s="4" t="str">
        <f t="shared" si="41"/>
        <v/>
      </c>
      <c r="BE179" s="4" t="str">
        <f t="shared" si="41"/>
        <v/>
      </c>
      <c r="BF179" s="4" t="str">
        <f t="shared" si="41"/>
        <v/>
      </c>
      <c r="BG179" s="4" t="str">
        <f t="shared" si="41"/>
        <v/>
      </c>
      <c r="BH179" s="4" t="str">
        <f t="shared" si="41"/>
        <v/>
      </c>
      <c r="BI179" s="5" t="str">
        <f t="shared" si="41"/>
        <v/>
      </c>
    </row>
    <row r="180" spans="1:61" x14ac:dyDescent="0.25">
      <c r="A180">
        <v>686672</v>
      </c>
      <c r="B180" t="s">
        <v>15</v>
      </c>
      <c r="C180" t="s">
        <v>16</v>
      </c>
      <c r="D180">
        <v>47335</v>
      </c>
      <c r="E180">
        <v>894</v>
      </c>
      <c r="F180">
        <v>83</v>
      </c>
      <c r="G180">
        <v>20131</v>
      </c>
      <c r="H180" t="s">
        <v>0</v>
      </c>
      <c r="I180">
        <v>154410.29999999999</v>
      </c>
      <c r="J180">
        <v>4549</v>
      </c>
      <c r="K180">
        <v>170985.21</v>
      </c>
      <c r="L180">
        <v>165727.42000000001</v>
      </c>
      <c r="M180">
        <v>5257.79</v>
      </c>
      <c r="N180" s="3" t="str">
        <f t="shared" si="42"/>
        <v/>
      </c>
      <c r="O180" s="4" t="str">
        <f t="shared" si="42"/>
        <v/>
      </c>
      <c r="P180" s="4" t="str">
        <f t="shared" si="42"/>
        <v/>
      </c>
      <c r="Q180" s="4" t="str">
        <f t="shared" si="42"/>
        <v/>
      </c>
      <c r="R180" s="4" t="str">
        <f t="shared" si="42"/>
        <v/>
      </c>
      <c r="S180" s="4" t="str">
        <f t="shared" si="42"/>
        <v/>
      </c>
      <c r="T180" s="4" t="str">
        <f t="shared" si="42"/>
        <v/>
      </c>
      <c r="U180" s="4" t="str">
        <f t="shared" si="42"/>
        <v/>
      </c>
      <c r="V180" s="4" t="str">
        <f t="shared" si="33"/>
        <v/>
      </c>
      <c r="W180" s="4" t="str">
        <f t="shared" si="39"/>
        <v/>
      </c>
      <c r="X180" s="4" t="str">
        <f t="shared" si="39"/>
        <v/>
      </c>
      <c r="Y180" s="4" t="str">
        <f t="shared" si="39"/>
        <v/>
      </c>
      <c r="Z180" s="4" t="str">
        <f t="shared" si="39"/>
        <v/>
      </c>
      <c r="AA180" s="4" t="str">
        <f t="shared" si="39"/>
        <v/>
      </c>
      <c r="AB180" s="4" t="str">
        <f t="shared" si="39"/>
        <v/>
      </c>
      <c r="AC180" s="5" t="str">
        <f t="shared" si="39"/>
        <v/>
      </c>
      <c r="AD180" s="3" t="str">
        <f t="shared" si="43"/>
        <v/>
      </c>
      <c r="AE180" s="4" t="str">
        <f t="shared" si="43"/>
        <v/>
      </c>
      <c r="AF180" s="4" t="str">
        <f t="shared" si="43"/>
        <v/>
      </c>
      <c r="AG180" s="4" t="str">
        <f t="shared" si="43"/>
        <v/>
      </c>
      <c r="AH180" s="4" t="str">
        <f t="shared" si="43"/>
        <v/>
      </c>
      <c r="AI180" s="4" t="str">
        <f t="shared" si="43"/>
        <v/>
      </c>
      <c r="AJ180" s="4" t="str">
        <f t="shared" si="43"/>
        <v/>
      </c>
      <c r="AK180" s="4" t="str">
        <f t="shared" si="43"/>
        <v/>
      </c>
      <c r="AL180" s="4" t="str">
        <f t="shared" si="34"/>
        <v/>
      </c>
      <c r="AM180" s="4" t="str">
        <f t="shared" si="40"/>
        <v/>
      </c>
      <c r="AN180" s="4" t="str">
        <f t="shared" si="40"/>
        <v/>
      </c>
      <c r="AO180" s="4" t="str">
        <f t="shared" si="40"/>
        <v/>
      </c>
      <c r="AP180" s="4" t="str">
        <f t="shared" si="40"/>
        <v/>
      </c>
      <c r="AQ180" s="4" t="str">
        <f t="shared" si="40"/>
        <v/>
      </c>
      <c r="AR180" s="4" t="str">
        <f t="shared" si="40"/>
        <v/>
      </c>
      <c r="AS180" s="5" t="str">
        <f t="shared" si="40"/>
        <v/>
      </c>
      <c r="AT180" s="3" t="str">
        <f t="shared" si="44"/>
        <v/>
      </c>
      <c r="AU180" s="4" t="str">
        <f t="shared" si="44"/>
        <v/>
      </c>
      <c r="AV180" s="4" t="str">
        <f t="shared" si="44"/>
        <v/>
      </c>
      <c r="AW180" s="4" t="str">
        <f t="shared" si="44"/>
        <v/>
      </c>
      <c r="AX180" s="4">
        <f t="shared" si="44"/>
        <v>1</v>
      </c>
      <c r="AY180" s="4" t="str">
        <f t="shared" si="44"/>
        <v/>
      </c>
      <c r="AZ180" s="4" t="str">
        <f t="shared" si="44"/>
        <v/>
      </c>
      <c r="BA180" s="4" t="str">
        <f t="shared" si="44"/>
        <v/>
      </c>
      <c r="BB180" s="4" t="str">
        <f t="shared" si="35"/>
        <v/>
      </c>
      <c r="BC180" s="4" t="str">
        <f t="shared" si="41"/>
        <v/>
      </c>
      <c r="BD180" s="4" t="str">
        <f t="shared" si="41"/>
        <v/>
      </c>
      <c r="BE180" s="4" t="str">
        <f t="shared" si="41"/>
        <v/>
      </c>
      <c r="BF180" s="4" t="str">
        <f t="shared" si="41"/>
        <v/>
      </c>
      <c r="BG180" s="4" t="str">
        <f t="shared" si="41"/>
        <v/>
      </c>
      <c r="BH180" s="4" t="str">
        <f t="shared" si="41"/>
        <v/>
      </c>
      <c r="BI180" s="5" t="str">
        <f t="shared" si="41"/>
        <v/>
      </c>
    </row>
    <row r="181" spans="1:61" x14ac:dyDescent="0.25">
      <c r="A181">
        <v>686673</v>
      </c>
      <c r="B181" t="s">
        <v>15</v>
      </c>
      <c r="C181" t="s">
        <v>16</v>
      </c>
      <c r="D181">
        <v>47335</v>
      </c>
      <c r="E181">
        <v>894</v>
      </c>
      <c r="F181">
        <v>83</v>
      </c>
      <c r="G181">
        <v>20132</v>
      </c>
      <c r="H181" t="s">
        <v>0</v>
      </c>
      <c r="I181">
        <v>126535</v>
      </c>
      <c r="J181">
        <v>4055</v>
      </c>
      <c r="K181">
        <v>114276.77</v>
      </c>
      <c r="L181">
        <v>112894.34</v>
      </c>
      <c r="M181">
        <v>1382.43</v>
      </c>
      <c r="N181" s="3" t="str">
        <f t="shared" si="42"/>
        <v/>
      </c>
      <c r="O181" s="4" t="str">
        <f t="shared" si="42"/>
        <v/>
      </c>
      <c r="P181" s="4" t="str">
        <f t="shared" si="42"/>
        <v/>
      </c>
      <c r="Q181" s="4" t="str">
        <f t="shared" si="42"/>
        <v/>
      </c>
      <c r="R181" s="4" t="str">
        <f t="shared" si="42"/>
        <v/>
      </c>
      <c r="S181" s="4" t="str">
        <f t="shared" si="42"/>
        <v/>
      </c>
      <c r="T181" s="4" t="str">
        <f t="shared" si="42"/>
        <v/>
      </c>
      <c r="U181" s="4" t="str">
        <f t="shared" si="42"/>
        <v/>
      </c>
      <c r="V181" s="4" t="str">
        <f t="shared" si="33"/>
        <v/>
      </c>
      <c r="W181" s="4" t="str">
        <f t="shared" si="39"/>
        <v/>
      </c>
      <c r="X181" s="4" t="str">
        <f t="shared" si="39"/>
        <v/>
      </c>
      <c r="Y181" s="4" t="str">
        <f t="shared" si="39"/>
        <v/>
      </c>
      <c r="Z181" s="4" t="str">
        <f t="shared" si="39"/>
        <v/>
      </c>
      <c r="AA181" s="4" t="str">
        <f t="shared" si="39"/>
        <v/>
      </c>
      <c r="AB181" s="4" t="str">
        <f t="shared" si="39"/>
        <v/>
      </c>
      <c r="AC181" s="5" t="str">
        <f t="shared" si="39"/>
        <v/>
      </c>
      <c r="AD181" s="3" t="str">
        <f t="shared" si="43"/>
        <v/>
      </c>
      <c r="AE181" s="4" t="str">
        <f t="shared" si="43"/>
        <v/>
      </c>
      <c r="AF181" s="4" t="str">
        <f t="shared" si="43"/>
        <v/>
      </c>
      <c r="AG181" s="4" t="str">
        <f t="shared" si="43"/>
        <v/>
      </c>
      <c r="AH181" s="4" t="str">
        <f t="shared" si="43"/>
        <v/>
      </c>
      <c r="AI181" s="4" t="str">
        <f t="shared" si="43"/>
        <v/>
      </c>
      <c r="AJ181" s="4" t="str">
        <f t="shared" si="43"/>
        <v/>
      </c>
      <c r="AK181" s="4" t="str">
        <f t="shared" si="43"/>
        <v/>
      </c>
      <c r="AL181" s="4" t="str">
        <f t="shared" si="34"/>
        <v/>
      </c>
      <c r="AM181" s="4" t="str">
        <f t="shared" si="40"/>
        <v/>
      </c>
      <c r="AN181" s="4" t="str">
        <f t="shared" si="40"/>
        <v/>
      </c>
      <c r="AO181" s="4" t="str">
        <f t="shared" si="40"/>
        <v/>
      </c>
      <c r="AP181" s="4" t="str">
        <f t="shared" si="40"/>
        <v/>
      </c>
      <c r="AQ181" s="4" t="str">
        <f t="shared" si="40"/>
        <v/>
      </c>
      <c r="AR181" s="4" t="str">
        <f t="shared" si="40"/>
        <v/>
      </c>
      <c r="AS181" s="5" t="str">
        <f t="shared" si="40"/>
        <v/>
      </c>
      <c r="AT181" s="3" t="str">
        <f t="shared" si="44"/>
        <v/>
      </c>
      <c r="AU181" s="4" t="str">
        <f t="shared" si="44"/>
        <v/>
      </c>
      <c r="AV181" s="4" t="str">
        <f t="shared" si="44"/>
        <v/>
      </c>
      <c r="AW181" s="4" t="str">
        <f t="shared" si="44"/>
        <v/>
      </c>
      <c r="AX181" s="4" t="str">
        <f t="shared" si="44"/>
        <v/>
      </c>
      <c r="AY181" s="4">
        <f t="shared" si="44"/>
        <v>1</v>
      </c>
      <c r="AZ181" s="4" t="str">
        <f t="shared" si="44"/>
        <v/>
      </c>
      <c r="BA181" s="4" t="str">
        <f t="shared" si="44"/>
        <v/>
      </c>
      <c r="BB181" s="4" t="str">
        <f t="shared" si="35"/>
        <v/>
      </c>
      <c r="BC181" s="4" t="str">
        <f t="shared" si="41"/>
        <v/>
      </c>
      <c r="BD181" s="4" t="str">
        <f t="shared" si="41"/>
        <v/>
      </c>
      <c r="BE181" s="4" t="str">
        <f t="shared" si="41"/>
        <v/>
      </c>
      <c r="BF181" s="4" t="str">
        <f t="shared" si="41"/>
        <v/>
      </c>
      <c r="BG181" s="4" t="str">
        <f t="shared" si="41"/>
        <v/>
      </c>
      <c r="BH181" s="4" t="str">
        <f t="shared" si="41"/>
        <v/>
      </c>
      <c r="BI181" s="5" t="str">
        <f t="shared" si="41"/>
        <v/>
      </c>
    </row>
    <row r="182" spans="1:61" x14ac:dyDescent="0.25">
      <c r="A182">
        <v>686674</v>
      </c>
      <c r="B182" t="s">
        <v>15</v>
      </c>
      <c r="C182" t="s">
        <v>16</v>
      </c>
      <c r="D182">
        <v>47335</v>
      </c>
      <c r="E182">
        <v>894</v>
      </c>
      <c r="F182">
        <v>83</v>
      </c>
      <c r="G182">
        <v>20133</v>
      </c>
      <c r="H182" t="s">
        <v>0</v>
      </c>
      <c r="I182">
        <v>89990</v>
      </c>
      <c r="J182">
        <v>2965</v>
      </c>
      <c r="K182">
        <v>70687.64</v>
      </c>
      <c r="L182">
        <v>69923.05</v>
      </c>
      <c r="M182">
        <v>764.59</v>
      </c>
      <c r="N182" s="3" t="str">
        <f t="shared" si="42"/>
        <v/>
      </c>
      <c r="O182" s="4" t="str">
        <f t="shared" si="42"/>
        <v/>
      </c>
      <c r="P182" s="4" t="str">
        <f t="shared" si="42"/>
        <v/>
      </c>
      <c r="Q182" s="4" t="str">
        <f t="shared" si="42"/>
        <v/>
      </c>
      <c r="R182" s="4" t="str">
        <f t="shared" si="42"/>
        <v/>
      </c>
      <c r="S182" s="4" t="str">
        <f t="shared" si="42"/>
        <v/>
      </c>
      <c r="T182" s="4" t="str">
        <f t="shared" si="42"/>
        <v/>
      </c>
      <c r="U182" s="4" t="str">
        <f t="shared" si="42"/>
        <v/>
      </c>
      <c r="V182" s="4" t="str">
        <f t="shared" si="33"/>
        <v/>
      </c>
      <c r="W182" s="4" t="str">
        <f t="shared" si="39"/>
        <v/>
      </c>
      <c r="X182" s="4" t="str">
        <f t="shared" si="39"/>
        <v/>
      </c>
      <c r="Y182" s="4" t="str">
        <f t="shared" si="39"/>
        <v/>
      </c>
      <c r="Z182" s="4" t="str">
        <f t="shared" si="39"/>
        <v/>
      </c>
      <c r="AA182" s="4" t="str">
        <f t="shared" si="39"/>
        <v/>
      </c>
      <c r="AB182" s="4" t="str">
        <f t="shared" si="39"/>
        <v/>
      </c>
      <c r="AC182" s="5" t="str">
        <f t="shared" si="39"/>
        <v/>
      </c>
      <c r="AD182" s="3" t="str">
        <f t="shared" si="43"/>
        <v/>
      </c>
      <c r="AE182" s="4" t="str">
        <f t="shared" si="43"/>
        <v/>
      </c>
      <c r="AF182" s="4" t="str">
        <f t="shared" si="43"/>
        <v/>
      </c>
      <c r="AG182" s="4" t="str">
        <f t="shared" si="43"/>
        <v/>
      </c>
      <c r="AH182" s="4" t="str">
        <f t="shared" si="43"/>
        <v/>
      </c>
      <c r="AI182" s="4" t="str">
        <f t="shared" si="43"/>
        <v/>
      </c>
      <c r="AJ182" s="4" t="str">
        <f t="shared" si="43"/>
        <v/>
      </c>
      <c r="AK182" s="4" t="str">
        <f t="shared" si="43"/>
        <v/>
      </c>
      <c r="AL182" s="4" t="str">
        <f t="shared" si="34"/>
        <v/>
      </c>
      <c r="AM182" s="4" t="str">
        <f t="shared" si="40"/>
        <v/>
      </c>
      <c r="AN182" s="4" t="str">
        <f t="shared" si="40"/>
        <v/>
      </c>
      <c r="AO182" s="4" t="str">
        <f t="shared" si="40"/>
        <v/>
      </c>
      <c r="AP182" s="4" t="str">
        <f t="shared" si="40"/>
        <v/>
      </c>
      <c r="AQ182" s="4" t="str">
        <f t="shared" si="40"/>
        <v/>
      </c>
      <c r="AR182" s="4" t="str">
        <f t="shared" si="40"/>
        <v/>
      </c>
      <c r="AS182" s="5" t="str">
        <f t="shared" si="40"/>
        <v/>
      </c>
      <c r="AT182" s="3" t="str">
        <f t="shared" si="44"/>
        <v/>
      </c>
      <c r="AU182" s="4" t="str">
        <f t="shared" si="44"/>
        <v/>
      </c>
      <c r="AV182" s="4" t="str">
        <f t="shared" si="44"/>
        <v/>
      </c>
      <c r="AW182" s="4" t="str">
        <f t="shared" si="44"/>
        <v/>
      </c>
      <c r="AX182" s="4" t="str">
        <f t="shared" si="44"/>
        <v/>
      </c>
      <c r="AY182" s="4" t="str">
        <f t="shared" si="44"/>
        <v/>
      </c>
      <c r="AZ182" s="4">
        <f t="shared" si="44"/>
        <v>1</v>
      </c>
      <c r="BA182" s="4" t="str">
        <f t="shared" si="44"/>
        <v/>
      </c>
      <c r="BB182" s="4" t="str">
        <f t="shared" si="35"/>
        <v/>
      </c>
      <c r="BC182" s="4" t="str">
        <f t="shared" si="41"/>
        <v/>
      </c>
      <c r="BD182" s="4" t="str">
        <f t="shared" si="41"/>
        <v/>
      </c>
      <c r="BE182" s="4" t="str">
        <f t="shared" si="41"/>
        <v/>
      </c>
      <c r="BF182" s="4" t="str">
        <f t="shared" si="41"/>
        <v/>
      </c>
      <c r="BG182" s="4" t="str">
        <f t="shared" si="41"/>
        <v/>
      </c>
      <c r="BH182" s="4" t="str">
        <f t="shared" si="41"/>
        <v/>
      </c>
      <c r="BI182" s="5" t="str">
        <f t="shared" si="41"/>
        <v/>
      </c>
    </row>
    <row r="183" spans="1:61" x14ac:dyDescent="0.25">
      <c r="A183">
        <v>686675</v>
      </c>
      <c r="B183" t="s">
        <v>15</v>
      </c>
      <c r="C183" t="s">
        <v>16</v>
      </c>
      <c r="D183">
        <v>47335</v>
      </c>
      <c r="E183">
        <v>894</v>
      </c>
      <c r="F183">
        <v>83</v>
      </c>
      <c r="G183">
        <v>20134</v>
      </c>
      <c r="H183" t="s">
        <v>0</v>
      </c>
      <c r="I183">
        <v>135485</v>
      </c>
      <c r="J183">
        <v>4476</v>
      </c>
      <c r="K183">
        <v>95311.48</v>
      </c>
      <c r="L183">
        <v>94502.26</v>
      </c>
      <c r="M183">
        <v>809.22</v>
      </c>
      <c r="N183" s="3" t="str">
        <f t="shared" si="42"/>
        <v/>
      </c>
      <c r="O183" s="4" t="str">
        <f t="shared" si="42"/>
        <v/>
      </c>
      <c r="P183" s="4" t="str">
        <f t="shared" si="42"/>
        <v/>
      </c>
      <c r="Q183" s="4" t="str">
        <f t="shared" si="42"/>
        <v/>
      </c>
      <c r="R183" s="4" t="str">
        <f t="shared" si="42"/>
        <v/>
      </c>
      <c r="S183" s="4" t="str">
        <f t="shared" si="42"/>
        <v/>
      </c>
      <c r="T183" s="4" t="str">
        <f t="shared" si="42"/>
        <v/>
      </c>
      <c r="U183" s="4" t="str">
        <f t="shared" si="42"/>
        <v/>
      </c>
      <c r="V183" s="4" t="str">
        <f t="shared" si="33"/>
        <v/>
      </c>
      <c r="W183" s="4" t="str">
        <f t="shared" si="39"/>
        <v/>
      </c>
      <c r="X183" s="4" t="str">
        <f t="shared" si="39"/>
        <v/>
      </c>
      <c r="Y183" s="4" t="str">
        <f t="shared" si="39"/>
        <v/>
      </c>
      <c r="Z183" s="4" t="str">
        <f t="shared" si="39"/>
        <v/>
      </c>
      <c r="AA183" s="4" t="str">
        <f t="shared" si="39"/>
        <v/>
      </c>
      <c r="AB183" s="4" t="str">
        <f t="shared" si="39"/>
        <v/>
      </c>
      <c r="AC183" s="5" t="str">
        <f t="shared" si="39"/>
        <v/>
      </c>
      <c r="AD183" s="3" t="str">
        <f t="shared" si="43"/>
        <v/>
      </c>
      <c r="AE183" s="4" t="str">
        <f t="shared" si="43"/>
        <v/>
      </c>
      <c r="AF183" s="4" t="str">
        <f t="shared" si="43"/>
        <v/>
      </c>
      <c r="AG183" s="4" t="str">
        <f t="shared" si="43"/>
        <v/>
      </c>
      <c r="AH183" s="4" t="str">
        <f t="shared" si="43"/>
        <v/>
      </c>
      <c r="AI183" s="4" t="str">
        <f t="shared" si="43"/>
        <v/>
      </c>
      <c r="AJ183" s="4" t="str">
        <f t="shared" si="43"/>
        <v/>
      </c>
      <c r="AK183" s="4" t="str">
        <f t="shared" si="43"/>
        <v/>
      </c>
      <c r="AL183" s="4" t="str">
        <f t="shared" si="34"/>
        <v/>
      </c>
      <c r="AM183" s="4" t="str">
        <f t="shared" si="40"/>
        <v/>
      </c>
      <c r="AN183" s="4" t="str">
        <f t="shared" si="40"/>
        <v/>
      </c>
      <c r="AO183" s="4" t="str">
        <f t="shared" si="40"/>
        <v/>
      </c>
      <c r="AP183" s="4" t="str">
        <f t="shared" si="40"/>
        <v/>
      </c>
      <c r="AQ183" s="4" t="str">
        <f t="shared" si="40"/>
        <v/>
      </c>
      <c r="AR183" s="4" t="str">
        <f t="shared" si="40"/>
        <v/>
      </c>
      <c r="AS183" s="5" t="str">
        <f t="shared" si="40"/>
        <v/>
      </c>
      <c r="AT183" s="3" t="str">
        <f t="shared" si="44"/>
        <v/>
      </c>
      <c r="AU183" s="4" t="str">
        <f t="shared" si="44"/>
        <v/>
      </c>
      <c r="AV183" s="4" t="str">
        <f t="shared" si="44"/>
        <v/>
      </c>
      <c r="AW183" s="4" t="str">
        <f t="shared" si="44"/>
        <v/>
      </c>
      <c r="AX183" s="4" t="str">
        <f t="shared" si="44"/>
        <v/>
      </c>
      <c r="AY183" s="4" t="str">
        <f t="shared" si="44"/>
        <v/>
      </c>
      <c r="AZ183" s="4" t="str">
        <f t="shared" si="44"/>
        <v/>
      </c>
      <c r="BA183" s="4">
        <f t="shared" si="44"/>
        <v>1</v>
      </c>
      <c r="BB183" s="4" t="str">
        <f t="shared" si="35"/>
        <v/>
      </c>
      <c r="BC183" s="4" t="str">
        <f t="shared" si="41"/>
        <v/>
      </c>
      <c r="BD183" s="4" t="str">
        <f t="shared" si="41"/>
        <v/>
      </c>
      <c r="BE183" s="4" t="str">
        <f t="shared" si="41"/>
        <v/>
      </c>
      <c r="BF183" s="4" t="str">
        <f t="shared" si="41"/>
        <v/>
      </c>
      <c r="BG183" s="4" t="str">
        <f t="shared" si="41"/>
        <v/>
      </c>
      <c r="BH183" s="4" t="str">
        <f t="shared" si="41"/>
        <v/>
      </c>
      <c r="BI183" s="5" t="str">
        <f t="shared" si="41"/>
        <v/>
      </c>
    </row>
    <row r="184" spans="1:61" x14ac:dyDescent="0.25">
      <c r="A184">
        <v>319713</v>
      </c>
      <c r="B184" t="s">
        <v>14</v>
      </c>
      <c r="C184" t="s">
        <v>16</v>
      </c>
      <c r="D184">
        <v>51079</v>
      </c>
      <c r="E184">
        <v>557</v>
      </c>
      <c r="F184">
        <v>1</v>
      </c>
      <c r="G184">
        <v>20123</v>
      </c>
      <c r="H184" t="s">
        <v>0</v>
      </c>
      <c r="I184">
        <v>68</v>
      </c>
      <c r="J184">
        <v>5</v>
      </c>
      <c r="K184">
        <v>30.49</v>
      </c>
      <c r="L184">
        <v>30.49</v>
      </c>
      <c r="M184">
        <v>0</v>
      </c>
      <c r="N184" s="3" t="str">
        <f t="shared" si="42"/>
        <v/>
      </c>
      <c r="O184" s="4" t="str">
        <f t="shared" si="42"/>
        <v/>
      </c>
      <c r="P184" s="4" t="str">
        <f t="shared" si="42"/>
        <v/>
      </c>
      <c r="Q184" s="4" t="str">
        <f t="shared" si="42"/>
        <v/>
      </c>
      <c r="R184" s="4" t="str">
        <f t="shared" si="42"/>
        <v/>
      </c>
      <c r="S184" s="4" t="str">
        <f t="shared" si="42"/>
        <v/>
      </c>
      <c r="T184" s="4" t="str">
        <f t="shared" si="42"/>
        <v/>
      </c>
      <c r="U184" s="4" t="str">
        <f t="shared" si="42"/>
        <v/>
      </c>
      <c r="V184" s="4" t="str">
        <f t="shared" si="33"/>
        <v/>
      </c>
      <c r="W184" s="4" t="str">
        <f t="shared" si="39"/>
        <v/>
      </c>
      <c r="X184" s="4" t="str">
        <f t="shared" si="39"/>
        <v/>
      </c>
      <c r="Y184" s="4" t="str">
        <f t="shared" si="39"/>
        <v/>
      </c>
      <c r="Z184" s="4" t="str">
        <f t="shared" si="39"/>
        <v/>
      </c>
      <c r="AA184" s="4" t="str">
        <f t="shared" si="39"/>
        <v/>
      </c>
      <c r="AB184" s="4" t="str">
        <f t="shared" si="39"/>
        <v/>
      </c>
      <c r="AC184" s="5" t="str">
        <f t="shared" si="39"/>
        <v/>
      </c>
      <c r="AD184" s="3" t="str">
        <f t="shared" si="43"/>
        <v/>
      </c>
      <c r="AE184" s="4" t="str">
        <f t="shared" si="43"/>
        <v/>
      </c>
      <c r="AF184" s="4">
        <f t="shared" si="43"/>
        <v>1</v>
      </c>
      <c r="AG184" s="4" t="str">
        <f t="shared" si="43"/>
        <v/>
      </c>
      <c r="AH184" s="4" t="str">
        <f t="shared" si="43"/>
        <v/>
      </c>
      <c r="AI184" s="4" t="str">
        <f t="shared" si="43"/>
        <v/>
      </c>
      <c r="AJ184" s="4" t="str">
        <f t="shared" si="43"/>
        <v/>
      </c>
      <c r="AK184" s="4" t="str">
        <f t="shared" si="43"/>
        <v/>
      </c>
      <c r="AL184" s="4" t="str">
        <f t="shared" si="34"/>
        <v/>
      </c>
      <c r="AM184" s="4" t="str">
        <f t="shared" si="40"/>
        <v/>
      </c>
      <c r="AN184" s="4" t="str">
        <f t="shared" si="40"/>
        <v/>
      </c>
      <c r="AO184" s="4" t="str">
        <f t="shared" si="40"/>
        <v/>
      </c>
      <c r="AP184" s="4" t="str">
        <f t="shared" si="40"/>
        <v/>
      </c>
      <c r="AQ184" s="4" t="str">
        <f t="shared" si="40"/>
        <v/>
      </c>
      <c r="AR184" s="4" t="str">
        <f t="shared" si="40"/>
        <v/>
      </c>
      <c r="AS184" s="5" t="str">
        <f t="shared" si="40"/>
        <v/>
      </c>
      <c r="AT184" s="3" t="str">
        <f t="shared" si="44"/>
        <v/>
      </c>
      <c r="AU184" s="4" t="str">
        <f t="shared" si="44"/>
        <v/>
      </c>
      <c r="AV184" s="4" t="str">
        <f t="shared" si="44"/>
        <v/>
      </c>
      <c r="AW184" s="4" t="str">
        <f t="shared" si="44"/>
        <v/>
      </c>
      <c r="AX184" s="4" t="str">
        <f t="shared" si="44"/>
        <v/>
      </c>
      <c r="AY184" s="4" t="str">
        <f t="shared" si="44"/>
        <v/>
      </c>
      <c r="AZ184" s="4" t="str">
        <f t="shared" si="44"/>
        <v/>
      </c>
      <c r="BA184" s="4" t="str">
        <f t="shared" si="44"/>
        <v/>
      </c>
      <c r="BB184" s="4" t="str">
        <f t="shared" si="35"/>
        <v/>
      </c>
      <c r="BC184" s="4" t="str">
        <f t="shared" si="41"/>
        <v/>
      </c>
      <c r="BD184" s="4" t="str">
        <f t="shared" si="41"/>
        <v/>
      </c>
      <c r="BE184" s="4" t="str">
        <f t="shared" si="41"/>
        <v/>
      </c>
      <c r="BF184" s="4" t="str">
        <f t="shared" si="41"/>
        <v/>
      </c>
      <c r="BG184" s="4" t="str">
        <f t="shared" si="41"/>
        <v/>
      </c>
      <c r="BH184" s="4" t="str">
        <f t="shared" si="41"/>
        <v/>
      </c>
      <c r="BI184" s="5" t="str">
        <f t="shared" si="41"/>
        <v/>
      </c>
    </row>
    <row r="185" spans="1:61" x14ac:dyDescent="0.25">
      <c r="A185">
        <v>319714</v>
      </c>
      <c r="B185" t="s">
        <v>14</v>
      </c>
      <c r="C185" t="s">
        <v>16</v>
      </c>
      <c r="D185">
        <v>51079</v>
      </c>
      <c r="E185">
        <v>557</v>
      </c>
      <c r="F185">
        <v>1</v>
      </c>
      <c r="G185">
        <v>20124</v>
      </c>
      <c r="H185" t="s">
        <v>0</v>
      </c>
      <c r="I185">
        <v>424</v>
      </c>
      <c r="J185">
        <v>15</v>
      </c>
      <c r="K185">
        <v>98.38</v>
      </c>
      <c r="L185">
        <v>98.38</v>
      </c>
      <c r="M185">
        <v>0</v>
      </c>
      <c r="N185" s="3" t="str">
        <f t="shared" si="42"/>
        <v/>
      </c>
      <c r="O185" s="4" t="str">
        <f t="shared" si="42"/>
        <v/>
      </c>
      <c r="P185" s="4" t="str">
        <f t="shared" si="42"/>
        <v/>
      </c>
      <c r="Q185" s="4" t="str">
        <f t="shared" si="42"/>
        <v/>
      </c>
      <c r="R185" s="4" t="str">
        <f t="shared" si="42"/>
        <v/>
      </c>
      <c r="S185" s="4" t="str">
        <f t="shared" si="42"/>
        <v/>
      </c>
      <c r="T185" s="4" t="str">
        <f t="shared" si="42"/>
        <v/>
      </c>
      <c r="U185" s="4" t="str">
        <f t="shared" si="42"/>
        <v/>
      </c>
      <c r="V185" s="4" t="str">
        <f t="shared" si="33"/>
        <v/>
      </c>
      <c r="W185" s="4" t="str">
        <f t="shared" si="39"/>
        <v/>
      </c>
      <c r="X185" s="4" t="str">
        <f t="shared" si="39"/>
        <v/>
      </c>
      <c r="Y185" s="4" t="str">
        <f t="shared" si="39"/>
        <v/>
      </c>
      <c r="Z185" s="4" t="str">
        <f t="shared" si="39"/>
        <v/>
      </c>
      <c r="AA185" s="4" t="str">
        <f t="shared" si="39"/>
        <v/>
      </c>
      <c r="AB185" s="4" t="str">
        <f t="shared" si="39"/>
        <v/>
      </c>
      <c r="AC185" s="5" t="str">
        <f t="shared" si="39"/>
        <v/>
      </c>
      <c r="AD185" s="3" t="str">
        <f t="shared" si="43"/>
        <v/>
      </c>
      <c r="AE185" s="4" t="str">
        <f t="shared" si="43"/>
        <v/>
      </c>
      <c r="AF185" s="4" t="str">
        <f t="shared" si="43"/>
        <v/>
      </c>
      <c r="AG185" s="4">
        <f t="shared" si="43"/>
        <v>1</v>
      </c>
      <c r="AH185" s="4" t="str">
        <f t="shared" si="43"/>
        <v/>
      </c>
      <c r="AI185" s="4" t="str">
        <f t="shared" si="43"/>
        <v/>
      </c>
      <c r="AJ185" s="4" t="str">
        <f t="shared" si="43"/>
        <v/>
      </c>
      <c r="AK185" s="4" t="str">
        <f t="shared" si="43"/>
        <v/>
      </c>
      <c r="AL185" s="4" t="str">
        <f t="shared" si="34"/>
        <v/>
      </c>
      <c r="AM185" s="4" t="str">
        <f t="shared" si="40"/>
        <v/>
      </c>
      <c r="AN185" s="4" t="str">
        <f t="shared" si="40"/>
        <v/>
      </c>
      <c r="AO185" s="4" t="str">
        <f t="shared" si="40"/>
        <v/>
      </c>
      <c r="AP185" s="4" t="str">
        <f t="shared" si="40"/>
        <v/>
      </c>
      <c r="AQ185" s="4" t="str">
        <f t="shared" si="40"/>
        <v/>
      </c>
      <c r="AR185" s="4" t="str">
        <f t="shared" si="40"/>
        <v/>
      </c>
      <c r="AS185" s="5" t="str">
        <f t="shared" si="40"/>
        <v/>
      </c>
      <c r="AT185" s="3" t="str">
        <f t="shared" si="44"/>
        <v/>
      </c>
      <c r="AU185" s="4" t="str">
        <f t="shared" si="44"/>
        <v/>
      </c>
      <c r="AV185" s="4" t="str">
        <f t="shared" si="44"/>
        <v/>
      </c>
      <c r="AW185" s="4" t="str">
        <f t="shared" si="44"/>
        <v/>
      </c>
      <c r="AX185" s="4" t="str">
        <f t="shared" si="44"/>
        <v/>
      </c>
      <c r="AY185" s="4" t="str">
        <f t="shared" si="44"/>
        <v/>
      </c>
      <c r="AZ185" s="4" t="str">
        <f t="shared" si="44"/>
        <v/>
      </c>
      <c r="BA185" s="4" t="str">
        <f t="shared" si="44"/>
        <v/>
      </c>
      <c r="BB185" s="4" t="str">
        <f t="shared" si="35"/>
        <v/>
      </c>
      <c r="BC185" s="4" t="str">
        <f t="shared" si="41"/>
        <v/>
      </c>
      <c r="BD185" s="4" t="str">
        <f t="shared" si="41"/>
        <v/>
      </c>
      <c r="BE185" s="4" t="str">
        <f t="shared" si="41"/>
        <v/>
      </c>
      <c r="BF185" s="4" t="str">
        <f t="shared" si="41"/>
        <v/>
      </c>
      <c r="BG185" s="4" t="str">
        <f t="shared" si="41"/>
        <v/>
      </c>
      <c r="BH185" s="4" t="str">
        <f t="shared" si="41"/>
        <v/>
      </c>
      <c r="BI185" s="5" t="str">
        <f t="shared" si="41"/>
        <v/>
      </c>
    </row>
    <row r="186" spans="1:61" x14ac:dyDescent="0.25">
      <c r="A186">
        <v>319715</v>
      </c>
      <c r="B186" t="s">
        <v>14</v>
      </c>
      <c r="C186" t="s">
        <v>16</v>
      </c>
      <c r="D186">
        <v>51079</v>
      </c>
      <c r="E186">
        <v>557</v>
      </c>
      <c r="F186">
        <v>20</v>
      </c>
      <c r="G186">
        <v>20122</v>
      </c>
      <c r="H186" t="s">
        <v>0</v>
      </c>
      <c r="I186">
        <v>458</v>
      </c>
      <c r="J186">
        <v>18</v>
      </c>
      <c r="K186">
        <v>194.13</v>
      </c>
      <c r="L186">
        <v>192.13</v>
      </c>
      <c r="M186">
        <v>2</v>
      </c>
      <c r="N186" s="3" t="str">
        <f t="shared" si="42"/>
        <v/>
      </c>
      <c r="O186" s="4" t="str">
        <f t="shared" si="42"/>
        <v/>
      </c>
      <c r="P186" s="4" t="str">
        <f t="shared" si="42"/>
        <v/>
      </c>
      <c r="Q186" s="4" t="str">
        <f t="shared" si="42"/>
        <v/>
      </c>
      <c r="R186" s="4" t="str">
        <f t="shared" si="42"/>
        <v/>
      </c>
      <c r="S186" s="4" t="str">
        <f t="shared" si="42"/>
        <v/>
      </c>
      <c r="T186" s="4" t="str">
        <f t="shared" si="42"/>
        <v/>
      </c>
      <c r="U186" s="4" t="str">
        <f t="shared" si="42"/>
        <v/>
      </c>
      <c r="V186" s="4" t="str">
        <f t="shared" si="33"/>
        <v/>
      </c>
      <c r="W186" s="4" t="str">
        <f t="shared" si="39"/>
        <v/>
      </c>
      <c r="X186" s="4" t="str">
        <f t="shared" si="39"/>
        <v/>
      </c>
      <c r="Y186" s="4" t="str">
        <f t="shared" si="39"/>
        <v/>
      </c>
      <c r="Z186" s="4" t="str">
        <f t="shared" si="39"/>
        <v/>
      </c>
      <c r="AA186" s="4" t="str">
        <f t="shared" si="39"/>
        <v/>
      </c>
      <c r="AB186" s="4" t="str">
        <f t="shared" si="39"/>
        <v/>
      </c>
      <c r="AC186" s="5" t="str">
        <f t="shared" si="39"/>
        <v/>
      </c>
      <c r="AD186" s="3" t="str">
        <f t="shared" si="43"/>
        <v/>
      </c>
      <c r="AE186" s="4">
        <f t="shared" si="43"/>
        <v>1</v>
      </c>
      <c r="AF186" s="4" t="str">
        <f t="shared" si="43"/>
        <v/>
      </c>
      <c r="AG186" s="4" t="str">
        <f t="shared" si="43"/>
        <v/>
      </c>
      <c r="AH186" s="4" t="str">
        <f t="shared" si="43"/>
        <v/>
      </c>
      <c r="AI186" s="4" t="str">
        <f t="shared" si="43"/>
        <v/>
      </c>
      <c r="AJ186" s="4" t="str">
        <f t="shared" si="43"/>
        <v/>
      </c>
      <c r="AK186" s="4" t="str">
        <f t="shared" si="43"/>
        <v/>
      </c>
      <c r="AL186" s="4" t="str">
        <f t="shared" si="34"/>
        <v/>
      </c>
      <c r="AM186" s="4" t="str">
        <f t="shared" si="40"/>
        <v/>
      </c>
      <c r="AN186" s="4" t="str">
        <f t="shared" si="40"/>
        <v/>
      </c>
      <c r="AO186" s="4" t="str">
        <f t="shared" si="40"/>
        <v/>
      </c>
      <c r="AP186" s="4" t="str">
        <f t="shared" si="40"/>
        <v/>
      </c>
      <c r="AQ186" s="4" t="str">
        <f t="shared" si="40"/>
        <v/>
      </c>
      <c r="AR186" s="4" t="str">
        <f t="shared" si="40"/>
        <v/>
      </c>
      <c r="AS186" s="5" t="str">
        <f t="shared" si="40"/>
        <v/>
      </c>
      <c r="AT186" s="3" t="str">
        <f t="shared" si="44"/>
        <v/>
      </c>
      <c r="AU186" s="4" t="str">
        <f t="shared" si="44"/>
        <v/>
      </c>
      <c r="AV186" s="4" t="str">
        <f t="shared" si="44"/>
        <v/>
      </c>
      <c r="AW186" s="4" t="str">
        <f t="shared" si="44"/>
        <v/>
      </c>
      <c r="AX186" s="4" t="str">
        <f t="shared" si="44"/>
        <v/>
      </c>
      <c r="AY186" s="4" t="str">
        <f t="shared" si="44"/>
        <v/>
      </c>
      <c r="AZ186" s="4" t="str">
        <f t="shared" si="44"/>
        <v/>
      </c>
      <c r="BA186" s="4" t="str">
        <f t="shared" si="44"/>
        <v/>
      </c>
      <c r="BB186" s="4" t="str">
        <f t="shared" si="35"/>
        <v/>
      </c>
      <c r="BC186" s="4" t="str">
        <f t="shared" si="41"/>
        <v/>
      </c>
      <c r="BD186" s="4" t="str">
        <f t="shared" si="41"/>
        <v/>
      </c>
      <c r="BE186" s="4" t="str">
        <f t="shared" si="41"/>
        <v/>
      </c>
      <c r="BF186" s="4" t="str">
        <f t="shared" si="41"/>
        <v/>
      </c>
      <c r="BG186" s="4" t="str">
        <f t="shared" si="41"/>
        <v/>
      </c>
      <c r="BH186" s="4" t="str">
        <f t="shared" si="41"/>
        <v/>
      </c>
      <c r="BI186" s="5" t="str">
        <f t="shared" si="41"/>
        <v/>
      </c>
    </row>
    <row r="187" spans="1:61" x14ac:dyDescent="0.25">
      <c r="A187">
        <v>319716</v>
      </c>
      <c r="B187" t="s">
        <v>14</v>
      </c>
      <c r="C187" t="s">
        <v>16</v>
      </c>
      <c r="D187">
        <v>51079</v>
      </c>
      <c r="E187">
        <v>557</v>
      </c>
      <c r="F187">
        <v>20</v>
      </c>
      <c r="G187">
        <v>20123</v>
      </c>
      <c r="H187" t="s">
        <v>0</v>
      </c>
      <c r="I187">
        <v>2882</v>
      </c>
      <c r="J187">
        <v>156</v>
      </c>
      <c r="K187">
        <v>1251.94</v>
      </c>
      <c r="L187">
        <v>1244.94</v>
      </c>
      <c r="M187">
        <v>7</v>
      </c>
      <c r="N187" s="3" t="str">
        <f t="shared" si="42"/>
        <v/>
      </c>
      <c r="O187" s="4" t="str">
        <f t="shared" si="42"/>
        <v/>
      </c>
      <c r="P187" s="4" t="str">
        <f t="shared" si="42"/>
        <v/>
      </c>
      <c r="Q187" s="4" t="str">
        <f t="shared" si="42"/>
        <v/>
      </c>
      <c r="R187" s="4" t="str">
        <f t="shared" si="42"/>
        <v/>
      </c>
      <c r="S187" s="4" t="str">
        <f t="shared" si="42"/>
        <v/>
      </c>
      <c r="T187" s="4" t="str">
        <f t="shared" si="42"/>
        <v/>
      </c>
      <c r="U187" s="4" t="str">
        <f t="shared" si="42"/>
        <v/>
      </c>
      <c r="V187" s="4" t="str">
        <f t="shared" si="33"/>
        <v/>
      </c>
      <c r="W187" s="4" t="str">
        <f t="shared" si="39"/>
        <v/>
      </c>
      <c r="X187" s="4" t="str">
        <f t="shared" si="39"/>
        <v/>
      </c>
      <c r="Y187" s="4" t="str">
        <f t="shared" si="39"/>
        <v/>
      </c>
      <c r="Z187" s="4" t="str">
        <f t="shared" si="39"/>
        <v/>
      </c>
      <c r="AA187" s="4" t="str">
        <f t="shared" si="39"/>
        <v/>
      </c>
      <c r="AB187" s="4" t="str">
        <f t="shared" si="39"/>
        <v/>
      </c>
      <c r="AC187" s="5" t="str">
        <f t="shared" si="39"/>
        <v/>
      </c>
      <c r="AD187" s="3" t="str">
        <f t="shared" si="43"/>
        <v/>
      </c>
      <c r="AE187" s="4" t="str">
        <f t="shared" si="43"/>
        <v/>
      </c>
      <c r="AF187" s="4">
        <f t="shared" si="43"/>
        <v>1</v>
      </c>
      <c r="AG187" s="4" t="str">
        <f t="shared" si="43"/>
        <v/>
      </c>
      <c r="AH187" s="4" t="str">
        <f t="shared" si="43"/>
        <v/>
      </c>
      <c r="AI187" s="4" t="str">
        <f t="shared" si="43"/>
        <v/>
      </c>
      <c r="AJ187" s="4" t="str">
        <f t="shared" si="43"/>
        <v/>
      </c>
      <c r="AK187" s="4" t="str">
        <f t="shared" si="43"/>
        <v/>
      </c>
      <c r="AL187" s="4" t="str">
        <f t="shared" si="34"/>
        <v/>
      </c>
      <c r="AM187" s="4" t="str">
        <f t="shared" si="40"/>
        <v/>
      </c>
      <c r="AN187" s="4" t="str">
        <f t="shared" si="40"/>
        <v/>
      </c>
      <c r="AO187" s="4" t="str">
        <f t="shared" si="40"/>
        <v/>
      </c>
      <c r="AP187" s="4" t="str">
        <f t="shared" si="40"/>
        <v/>
      </c>
      <c r="AQ187" s="4" t="str">
        <f t="shared" si="40"/>
        <v/>
      </c>
      <c r="AR187" s="4" t="str">
        <f t="shared" si="40"/>
        <v/>
      </c>
      <c r="AS187" s="5" t="str">
        <f t="shared" si="40"/>
        <v/>
      </c>
      <c r="AT187" s="3" t="str">
        <f t="shared" si="44"/>
        <v/>
      </c>
      <c r="AU187" s="4" t="str">
        <f t="shared" si="44"/>
        <v/>
      </c>
      <c r="AV187" s="4" t="str">
        <f t="shared" si="44"/>
        <v/>
      </c>
      <c r="AW187" s="4" t="str">
        <f t="shared" si="44"/>
        <v/>
      </c>
      <c r="AX187" s="4" t="str">
        <f t="shared" si="44"/>
        <v/>
      </c>
      <c r="AY187" s="4" t="str">
        <f t="shared" si="44"/>
        <v/>
      </c>
      <c r="AZ187" s="4" t="str">
        <f t="shared" si="44"/>
        <v/>
      </c>
      <c r="BA187" s="4" t="str">
        <f t="shared" si="44"/>
        <v/>
      </c>
      <c r="BB187" s="4" t="str">
        <f t="shared" si="35"/>
        <v/>
      </c>
      <c r="BC187" s="4" t="str">
        <f t="shared" si="41"/>
        <v/>
      </c>
      <c r="BD187" s="4" t="str">
        <f t="shared" si="41"/>
        <v/>
      </c>
      <c r="BE187" s="4" t="str">
        <f t="shared" si="41"/>
        <v/>
      </c>
      <c r="BF187" s="4" t="str">
        <f t="shared" si="41"/>
        <v/>
      </c>
      <c r="BG187" s="4" t="str">
        <f t="shared" si="41"/>
        <v/>
      </c>
      <c r="BH187" s="4" t="str">
        <f t="shared" si="41"/>
        <v/>
      </c>
      <c r="BI187" s="5" t="str">
        <f t="shared" si="41"/>
        <v/>
      </c>
    </row>
    <row r="188" spans="1:61" x14ac:dyDescent="0.25">
      <c r="A188">
        <v>319717</v>
      </c>
      <c r="B188" t="s">
        <v>14</v>
      </c>
      <c r="C188" t="s">
        <v>16</v>
      </c>
      <c r="D188">
        <v>51079</v>
      </c>
      <c r="E188">
        <v>557</v>
      </c>
      <c r="F188">
        <v>20</v>
      </c>
      <c r="G188">
        <v>20124</v>
      </c>
      <c r="H188" t="s">
        <v>0</v>
      </c>
      <c r="I188">
        <v>4099.2299999999996</v>
      </c>
      <c r="J188">
        <v>233</v>
      </c>
      <c r="K188">
        <v>1969.63</v>
      </c>
      <c r="L188">
        <v>1923.73</v>
      </c>
      <c r="M188">
        <v>45.9</v>
      </c>
      <c r="N188" s="3" t="str">
        <f t="shared" si="42"/>
        <v/>
      </c>
      <c r="O188" s="4" t="str">
        <f t="shared" si="42"/>
        <v/>
      </c>
      <c r="P188" s="4" t="str">
        <f t="shared" si="42"/>
        <v/>
      </c>
      <c r="Q188" s="4" t="str">
        <f t="shared" si="42"/>
        <v/>
      </c>
      <c r="R188" s="4" t="str">
        <f t="shared" si="42"/>
        <v/>
      </c>
      <c r="S188" s="4" t="str">
        <f t="shared" si="42"/>
        <v/>
      </c>
      <c r="T188" s="4" t="str">
        <f t="shared" si="42"/>
        <v/>
      </c>
      <c r="U188" s="4" t="str">
        <f t="shared" si="42"/>
        <v/>
      </c>
      <c r="V188" s="4" t="str">
        <f t="shared" si="33"/>
        <v/>
      </c>
      <c r="W188" s="4" t="str">
        <f t="shared" si="39"/>
        <v/>
      </c>
      <c r="X188" s="4" t="str">
        <f t="shared" si="39"/>
        <v/>
      </c>
      <c r="Y188" s="4" t="str">
        <f t="shared" si="39"/>
        <v/>
      </c>
      <c r="Z188" s="4" t="str">
        <f t="shared" si="39"/>
        <v/>
      </c>
      <c r="AA188" s="4" t="str">
        <f t="shared" si="39"/>
        <v/>
      </c>
      <c r="AB188" s="4" t="str">
        <f t="shared" si="39"/>
        <v/>
      </c>
      <c r="AC188" s="5" t="str">
        <f t="shared" si="39"/>
        <v/>
      </c>
      <c r="AD188" s="3" t="str">
        <f t="shared" si="43"/>
        <v/>
      </c>
      <c r="AE188" s="4" t="str">
        <f t="shared" si="43"/>
        <v/>
      </c>
      <c r="AF188" s="4" t="str">
        <f t="shared" si="43"/>
        <v/>
      </c>
      <c r="AG188" s="4">
        <f t="shared" si="43"/>
        <v>1</v>
      </c>
      <c r="AH188" s="4" t="str">
        <f t="shared" si="43"/>
        <v/>
      </c>
      <c r="AI188" s="4" t="str">
        <f t="shared" si="43"/>
        <v/>
      </c>
      <c r="AJ188" s="4" t="str">
        <f t="shared" si="43"/>
        <v/>
      </c>
      <c r="AK188" s="4" t="str">
        <f t="shared" si="43"/>
        <v/>
      </c>
      <c r="AL188" s="4" t="str">
        <f t="shared" si="34"/>
        <v/>
      </c>
      <c r="AM188" s="4" t="str">
        <f t="shared" si="40"/>
        <v/>
      </c>
      <c r="AN188" s="4" t="str">
        <f t="shared" si="40"/>
        <v/>
      </c>
      <c r="AO188" s="4" t="str">
        <f t="shared" si="40"/>
        <v/>
      </c>
      <c r="AP188" s="4" t="str">
        <f t="shared" si="40"/>
        <v/>
      </c>
      <c r="AQ188" s="4" t="str">
        <f t="shared" si="40"/>
        <v/>
      </c>
      <c r="AR188" s="4" t="str">
        <f t="shared" si="40"/>
        <v/>
      </c>
      <c r="AS188" s="5" t="str">
        <f t="shared" si="40"/>
        <v/>
      </c>
      <c r="AT188" s="3" t="str">
        <f t="shared" si="44"/>
        <v/>
      </c>
      <c r="AU188" s="4" t="str">
        <f t="shared" si="44"/>
        <v/>
      </c>
      <c r="AV188" s="4" t="str">
        <f t="shared" si="44"/>
        <v/>
      </c>
      <c r="AW188" s="4" t="str">
        <f t="shared" si="44"/>
        <v/>
      </c>
      <c r="AX188" s="4" t="str">
        <f t="shared" si="44"/>
        <v/>
      </c>
      <c r="AY188" s="4" t="str">
        <f t="shared" si="44"/>
        <v/>
      </c>
      <c r="AZ188" s="4" t="str">
        <f t="shared" si="44"/>
        <v/>
      </c>
      <c r="BA188" s="4" t="str">
        <f t="shared" si="44"/>
        <v/>
      </c>
      <c r="BB188" s="4" t="str">
        <f t="shared" si="35"/>
        <v/>
      </c>
      <c r="BC188" s="4" t="str">
        <f t="shared" si="41"/>
        <v/>
      </c>
      <c r="BD188" s="4" t="str">
        <f t="shared" si="41"/>
        <v/>
      </c>
      <c r="BE188" s="4" t="str">
        <f t="shared" si="41"/>
        <v/>
      </c>
      <c r="BF188" s="4" t="str">
        <f t="shared" si="41"/>
        <v/>
      </c>
      <c r="BG188" s="4" t="str">
        <f t="shared" si="41"/>
        <v/>
      </c>
      <c r="BH188" s="4" t="str">
        <f t="shared" si="41"/>
        <v/>
      </c>
      <c r="BI188" s="5" t="str">
        <f t="shared" si="41"/>
        <v/>
      </c>
    </row>
    <row r="189" spans="1:61" x14ac:dyDescent="0.25">
      <c r="A189">
        <v>442633</v>
      </c>
      <c r="B189" t="s">
        <v>15</v>
      </c>
      <c r="C189" t="s">
        <v>16</v>
      </c>
      <c r="D189">
        <v>51079</v>
      </c>
      <c r="E189">
        <v>557</v>
      </c>
      <c r="F189">
        <v>1</v>
      </c>
      <c r="G189">
        <v>20122</v>
      </c>
      <c r="H189" t="s">
        <v>0</v>
      </c>
      <c r="I189">
        <v>29</v>
      </c>
      <c r="J189">
        <v>1</v>
      </c>
      <c r="K189">
        <v>8.81</v>
      </c>
      <c r="L189">
        <v>8.81</v>
      </c>
      <c r="M189">
        <v>0</v>
      </c>
      <c r="N189" s="3" t="str">
        <f t="shared" si="42"/>
        <v/>
      </c>
      <c r="O189" s="4" t="str">
        <f t="shared" si="42"/>
        <v/>
      </c>
      <c r="P189" s="4" t="str">
        <f t="shared" si="42"/>
        <v/>
      </c>
      <c r="Q189" s="4" t="str">
        <f t="shared" si="42"/>
        <v/>
      </c>
      <c r="R189" s="4" t="str">
        <f t="shared" si="42"/>
        <v/>
      </c>
      <c r="S189" s="4" t="str">
        <f t="shared" si="42"/>
        <v/>
      </c>
      <c r="T189" s="4" t="str">
        <f t="shared" si="42"/>
        <v/>
      </c>
      <c r="U189" s="4" t="str">
        <f t="shared" si="42"/>
        <v/>
      </c>
      <c r="V189" s="4" t="str">
        <f t="shared" si="33"/>
        <v/>
      </c>
      <c r="W189" s="4" t="str">
        <f t="shared" si="39"/>
        <v/>
      </c>
      <c r="X189" s="4" t="str">
        <f t="shared" si="39"/>
        <v/>
      </c>
      <c r="Y189" s="4" t="str">
        <f t="shared" si="39"/>
        <v/>
      </c>
      <c r="Z189" s="4" t="str">
        <f t="shared" si="39"/>
        <v/>
      </c>
      <c r="AA189" s="4" t="str">
        <f t="shared" si="39"/>
        <v/>
      </c>
      <c r="AB189" s="4" t="str">
        <f t="shared" si="39"/>
        <v/>
      </c>
      <c r="AC189" s="5" t="str">
        <f t="shared" si="39"/>
        <v/>
      </c>
      <c r="AD189" s="3" t="str">
        <f t="shared" si="43"/>
        <v/>
      </c>
      <c r="AE189" s="4" t="str">
        <f t="shared" si="43"/>
        <v/>
      </c>
      <c r="AF189" s="4" t="str">
        <f t="shared" si="43"/>
        <v/>
      </c>
      <c r="AG189" s="4" t="str">
        <f t="shared" si="43"/>
        <v/>
      </c>
      <c r="AH189" s="4" t="str">
        <f t="shared" si="43"/>
        <v/>
      </c>
      <c r="AI189" s="4">
        <f t="shared" si="43"/>
        <v>1</v>
      </c>
      <c r="AJ189" s="4" t="str">
        <f t="shared" si="43"/>
        <v/>
      </c>
      <c r="AK189" s="4" t="str">
        <f t="shared" si="43"/>
        <v/>
      </c>
      <c r="AL189" s="4" t="str">
        <f t="shared" si="34"/>
        <v/>
      </c>
      <c r="AM189" s="4" t="str">
        <f t="shared" si="40"/>
        <v/>
      </c>
      <c r="AN189" s="4" t="str">
        <f t="shared" si="40"/>
        <v/>
      </c>
      <c r="AO189" s="4" t="str">
        <f t="shared" si="40"/>
        <v/>
      </c>
      <c r="AP189" s="4" t="str">
        <f t="shared" si="40"/>
        <v/>
      </c>
      <c r="AQ189" s="4" t="str">
        <f t="shared" si="40"/>
        <v/>
      </c>
      <c r="AR189" s="4" t="str">
        <f t="shared" si="40"/>
        <v/>
      </c>
      <c r="AS189" s="5" t="str">
        <f t="shared" si="40"/>
        <v/>
      </c>
      <c r="AT189" s="3" t="str">
        <f t="shared" si="44"/>
        <v/>
      </c>
      <c r="AU189" s="4" t="str">
        <f t="shared" si="44"/>
        <v/>
      </c>
      <c r="AV189" s="4" t="str">
        <f t="shared" si="44"/>
        <v/>
      </c>
      <c r="AW189" s="4" t="str">
        <f t="shared" si="44"/>
        <v/>
      </c>
      <c r="AX189" s="4" t="str">
        <f t="shared" si="44"/>
        <v/>
      </c>
      <c r="AY189" s="4" t="str">
        <f t="shared" si="44"/>
        <v/>
      </c>
      <c r="AZ189" s="4" t="str">
        <f t="shared" si="44"/>
        <v/>
      </c>
      <c r="BA189" s="4" t="str">
        <f t="shared" si="44"/>
        <v/>
      </c>
      <c r="BB189" s="4" t="str">
        <f t="shared" si="35"/>
        <v/>
      </c>
      <c r="BC189" s="4" t="str">
        <f t="shared" si="41"/>
        <v/>
      </c>
      <c r="BD189" s="4" t="str">
        <f t="shared" si="41"/>
        <v/>
      </c>
      <c r="BE189" s="4" t="str">
        <f t="shared" si="41"/>
        <v/>
      </c>
      <c r="BF189" s="4" t="str">
        <f t="shared" si="41"/>
        <v/>
      </c>
      <c r="BG189" s="4" t="str">
        <f t="shared" si="41"/>
        <v/>
      </c>
      <c r="BH189" s="4" t="str">
        <f t="shared" si="41"/>
        <v/>
      </c>
      <c r="BI189" s="5" t="str">
        <f t="shared" si="41"/>
        <v/>
      </c>
    </row>
    <row r="190" spans="1:61" x14ac:dyDescent="0.25">
      <c r="A190">
        <v>442634</v>
      </c>
      <c r="B190" t="s">
        <v>15</v>
      </c>
      <c r="C190" t="s">
        <v>16</v>
      </c>
      <c r="D190">
        <v>51079</v>
      </c>
      <c r="E190">
        <v>557</v>
      </c>
      <c r="F190">
        <v>1</v>
      </c>
      <c r="G190">
        <v>20123</v>
      </c>
      <c r="H190" t="s">
        <v>0</v>
      </c>
      <c r="I190">
        <v>101</v>
      </c>
      <c r="J190">
        <v>4</v>
      </c>
      <c r="K190">
        <v>1139.21</v>
      </c>
      <c r="L190">
        <v>1139.21</v>
      </c>
      <c r="M190">
        <v>0</v>
      </c>
      <c r="N190" s="3" t="str">
        <f t="shared" si="42"/>
        <v/>
      </c>
      <c r="O190" s="4" t="str">
        <f t="shared" si="42"/>
        <v/>
      </c>
      <c r="P190" s="4" t="str">
        <f t="shared" si="42"/>
        <v/>
      </c>
      <c r="Q190" s="4" t="str">
        <f t="shared" si="42"/>
        <v/>
      </c>
      <c r="R190" s="4" t="str">
        <f t="shared" si="42"/>
        <v/>
      </c>
      <c r="S190" s="4" t="str">
        <f t="shared" si="42"/>
        <v/>
      </c>
      <c r="T190" s="4" t="str">
        <f t="shared" si="42"/>
        <v/>
      </c>
      <c r="U190" s="4" t="str">
        <f t="shared" si="42"/>
        <v/>
      </c>
      <c r="V190" s="4" t="str">
        <f t="shared" si="33"/>
        <v/>
      </c>
      <c r="W190" s="4" t="str">
        <f t="shared" si="39"/>
        <v/>
      </c>
      <c r="X190" s="4" t="str">
        <f t="shared" si="39"/>
        <v/>
      </c>
      <c r="Y190" s="4" t="str">
        <f t="shared" si="39"/>
        <v/>
      </c>
      <c r="Z190" s="4" t="str">
        <f t="shared" si="39"/>
        <v/>
      </c>
      <c r="AA190" s="4" t="str">
        <f t="shared" si="39"/>
        <v/>
      </c>
      <c r="AB190" s="4" t="str">
        <f t="shared" si="39"/>
        <v/>
      </c>
      <c r="AC190" s="5" t="str">
        <f t="shared" si="39"/>
        <v/>
      </c>
      <c r="AD190" s="3" t="str">
        <f t="shared" si="43"/>
        <v/>
      </c>
      <c r="AE190" s="4" t="str">
        <f t="shared" si="43"/>
        <v/>
      </c>
      <c r="AF190" s="4" t="str">
        <f t="shared" si="43"/>
        <v/>
      </c>
      <c r="AG190" s="4" t="str">
        <f t="shared" si="43"/>
        <v/>
      </c>
      <c r="AH190" s="4" t="str">
        <f t="shared" si="43"/>
        <v/>
      </c>
      <c r="AI190" s="4" t="str">
        <f t="shared" si="43"/>
        <v/>
      </c>
      <c r="AJ190" s="4">
        <f t="shared" si="43"/>
        <v>1</v>
      </c>
      <c r="AK190" s="4" t="str">
        <f t="shared" si="43"/>
        <v/>
      </c>
      <c r="AL190" s="4" t="str">
        <f t="shared" si="34"/>
        <v/>
      </c>
      <c r="AM190" s="4" t="str">
        <f t="shared" si="40"/>
        <v/>
      </c>
      <c r="AN190" s="4" t="str">
        <f t="shared" si="40"/>
        <v/>
      </c>
      <c r="AO190" s="4" t="str">
        <f t="shared" si="40"/>
        <v/>
      </c>
      <c r="AP190" s="4" t="str">
        <f t="shared" si="40"/>
        <v/>
      </c>
      <c r="AQ190" s="4" t="str">
        <f t="shared" si="40"/>
        <v/>
      </c>
      <c r="AR190" s="4" t="str">
        <f t="shared" si="40"/>
        <v/>
      </c>
      <c r="AS190" s="5" t="str">
        <f t="shared" si="40"/>
        <v/>
      </c>
      <c r="AT190" s="3" t="str">
        <f t="shared" si="44"/>
        <v/>
      </c>
      <c r="AU190" s="4" t="str">
        <f t="shared" si="44"/>
        <v/>
      </c>
      <c r="AV190" s="4" t="str">
        <f t="shared" si="44"/>
        <v/>
      </c>
      <c r="AW190" s="4" t="str">
        <f t="shared" si="44"/>
        <v/>
      </c>
      <c r="AX190" s="4" t="str">
        <f t="shared" si="44"/>
        <v/>
      </c>
      <c r="AY190" s="4" t="str">
        <f t="shared" si="44"/>
        <v/>
      </c>
      <c r="AZ190" s="4" t="str">
        <f t="shared" si="44"/>
        <v/>
      </c>
      <c r="BA190" s="4" t="str">
        <f t="shared" si="44"/>
        <v/>
      </c>
      <c r="BB190" s="4" t="str">
        <f t="shared" si="35"/>
        <v/>
      </c>
      <c r="BC190" s="4" t="str">
        <f t="shared" si="41"/>
        <v/>
      </c>
      <c r="BD190" s="4" t="str">
        <f t="shared" si="41"/>
        <v/>
      </c>
      <c r="BE190" s="4" t="str">
        <f t="shared" si="41"/>
        <v/>
      </c>
      <c r="BF190" s="4" t="str">
        <f t="shared" si="41"/>
        <v/>
      </c>
      <c r="BG190" s="4" t="str">
        <f t="shared" si="41"/>
        <v/>
      </c>
      <c r="BH190" s="4" t="str">
        <f t="shared" si="41"/>
        <v/>
      </c>
      <c r="BI190" s="5" t="str">
        <f t="shared" si="41"/>
        <v/>
      </c>
    </row>
    <row r="191" spans="1:61" x14ac:dyDescent="0.25">
      <c r="A191">
        <v>442635</v>
      </c>
      <c r="B191" t="s">
        <v>15</v>
      </c>
      <c r="C191" t="s">
        <v>16</v>
      </c>
      <c r="D191">
        <v>51079</v>
      </c>
      <c r="E191">
        <v>557</v>
      </c>
      <c r="F191">
        <v>1</v>
      </c>
      <c r="G191">
        <v>20124</v>
      </c>
      <c r="H191" t="s">
        <v>0</v>
      </c>
      <c r="I191">
        <v>2</v>
      </c>
      <c r="J191">
        <v>2</v>
      </c>
      <c r="K191">
        <v>19.61</v>
      </c>
      <c r="L191">
        <v>19.61</v>
      </c>
      <c r="M191">
        <v>0</v>
      </c>
      <c r="N191" s="3" t="str">
        <f t="shared" si="42"/>
        <v/>
      </c>
      <c r="O191" s="4" t="str">
        <f t="shared" si="42"/>
        <v/>
      </c>
      <c r="P191" s="4" t="str">
        <f t="shared" si="42"/>
        <v/>
      </c>
      <c r="Q191" s="4" t="str">
        <f t="shared" si="42"/>
        <v/>
      </c>
      <c r="R191" s="4" t="str">
        <f t="shared" si="42"/>
        <v/>
      </c>
      <c r="S191" s="4" t="str">
        <f t="shared" si="42"/>
        <v/>
      </c>
      <c r="T191" s="4" t="str">
        <f t="shared" si="42"/>
        <v/>
      </c>
      <c r="U191" s="4" t="str">
        <f t="shared" si="42"/>
        <v/>
      </c>
      <c r="V191" s="4" t="str">
        <f t="shared" si="33"/>
        <v/>
      </c>
      <c r="W191" s="4" t="str">
        <f t="shared" si="39"/>
        <v/>
      </c>
      <c r="X191" s="4" t="str">
        <f t="shared" ref="W191:AC227" si="45">IF(AND($B191=X$3, $G191=X$2, LEFT($H191, 6)=X$1), 1, "")</f>
        <v/>
      </c>
      <c r="Y191" s="4" t="str">
        <f t="shared" si="45"/>
        <v/>
      </c>
      <c r="Z191" s="4" t="str">
        <f t="shared" si="45"/>
        <v/>
      </c>
      <c r="AA191" s="4" t="str">
        <f t="shared" si="45"/>
        <v/>
      </c>
      <c r="AB191" s="4" t="str">
        <f t="shared" si="45"/>
        <v/>
      </c>
      <c r="AC191" s="5" t="str">
        <f t="shared" si="45"/>
        <v/>
      </c>
      <c r="AD191" s="3" t="str">
        <f t="shared" si="43"/>
        <v/>
      </c>
      <c r="AE191" s="4" t="str">
        <f t="shared" si="43"/>
        <v/>
      </c>
      <c r="AF191" s="4" t="str">
        <f t="shared" si="43"/>
        <v/>
      </c>
      <c r="AG191" s="4" t="str">
        <f t="shared" si="43"/>
        <v/>
      </c>
      <c r="AH191" s="4" t="str">
        <f t="shared" si="43"/>
        <v/>
      </c>
      <c r="AI191" s="4" t="str">
        <f t="shared" si="43"/>
        <v/>
      </c>
      <c r="AJ191" s="4" t="str">
        <f t="shared" si="43"/>
        <v/>
      </c>
      <c r="AK191" s="4">
        <f t="shared" si="43"/>
        <v>1</v>
      </c>
      <c r="AL191" s="4" t="str">
        <f t="shared" si="34"/>
        <v/>
      </c>
      <c r="AM191" s="4" t="str">
        <f t="shared" si="40"/>
        <v/>
      </c>
      <c r="AN191" s="4" t="str">
        <f t="shared" ref="AM191:AS227" si="46">IF(AND($B191=AN$3, $G191=AN$2, LEFT($H191, 6)=AN$1), 1, "")</f>
        <v/>
      </c>
      <c r="AO191" s="4" t="str">
        <f t="shared" si="46"/>
        <v/>
      </c>
      <c r="AP191" s="4" t="str">
        <f t="shared" si="46"/>
        <v/>
      </c>
      <c r="AQ191" s="4" t="str">
        <f t="shared" si="46"/>
        <v/>
      </c>
      <c r="AR191" s="4" t="str">
        <f t="shared" si="46"/>
        <v/>
      </c>
      <c r="AS191" s="5" t="str">
        <f t="shared" si="46"/>
        <v/>
      </c>
      <c r="AT191" s="3" t="str">
        <f t="shared" si="44"/>
        <v/>
      </c>
      <c r="AU191" s="4" t="str">
        <f t="shared" si="44"/>
        <v/>
      </c>
      <c r="AV191" s="4" t="str">
        <f t="shared" si="44"/>
        <v/>
      </c>
      <c r="AW191" s="4" t="str">
        <f t="shared" si="44"/>
        <v/>
      </c>
      <c r="AX191" s="4" t="str">
        <f t="shared" si="44"/>
        <v/>
      </c>
      <c r="AY191" s="4" t="str">
        <f t="shared" si="44"/>
        <v/>
      </c>
      <c r="AZ191" s="4" t="str">
        <f t="shared" si="44"/>
        <v/>
      </c>
      <c r="BA191" s="4" t="str">
        <f t="shared" si="44"/>
        <v/>
      </c>
      <c r="BB191" s="4" t="str">
        <f t="shared" si="35"/>
        <v/>
      </c>
      <c r="BC191" s="4" t="str">
        <f t="shared" si="41"/>
        <v/>
      </c>
      <c r="BD191" s="4" t="str">
        <f t="shared" ref="BC191:BI227" si="47">IF(AND($B191=BD$3, $G191=BD$2, LEFT($H191, 6)=BD$1), 1, "")</f>
        <v/>
      </c>
      <c r="BE191" s="4" t="str">
        <f t="shared" si="47"/>
        <v/>
      </c>
      <c r="BF191" s="4" t="str">
        <f t="shared" si="47"/>
        <v/>
      </c>
      <c r="BG191" s="4" t="str">
        <f t="shared" si="47"/>
        <v/>
      </c>
      <c r="BH191" s="4" t="str">
        <f t="shared" si="47"/>
        <v/>
      </c>
      <c r="BI191" s="5" t="str">
        <f t="shared" si="47"/>
        <v/>
      </c>
    </row>
    <row r="192" spans="1:61" x14ac:dyDescent="0.25">
      <c r="A192">
        <v>442636</v>
      </c>
      <c r="B192" t="s">
        <v>15</v>
      </c>
      <c r="C192" t="s">
        <v>16</v>
      </c>
      <c r="D192">
        <v>51079</v>
      </c>
      <c r="E192">
        <v>557</v>
      </c>
      <c r="F192">
        <v>20</v>
      </c>
      <c r="G192">
        <v>20122</v>
      </c>
      <c r="H192" t="s">
        <v>0</v>
      </c>
      <c r="I192">
        <v>1170</v>
      </c>
      <c r="J192">
        <v>39</v>
      </c>
      <c r="K192">
        <v>381.32</v>
      </c>
      <c r="L192">
        <v>381.32</v>
      </c>
      <c r="M192">
        <v>0</v>
      </c>
      <c r="N192" s="3" t="str">
        <f t="shared" si="42"/>
        <v/>
      </c>
      <c r="O192" s="4" t="str">
        <f t="shared" si="42"/>
        <v/>
      </c>
      <c r="P192" s="4" t="str">
        <f t="shared" si="42"/>
        <v/>
      </c>
      <c r="Q192" s="4" t="str">
        <f t="shared" si="42"/>
        <v/>
      </c>
      <c r="R192" s="4" t="str">
        <f t="shared" si="42"/>
        <v/>
      </c>
      <c r="S192" s="4" t="str">
        <f t="shared" si="42"/>
        <v/>
      </c>
      <c r="T192" s="4" t="str">
        <f t="shared" si="42"/>
        <v/>
      </c>
      <c r="U192" s="4" t="str">
        <f t="shared" si="42"/>
        <v/>
      </c>
      <c r="V192" s="4" t="str">
        <f t="shared" si="33"/>
        <v/>
      </c>
      <c r="W192" s="4" t="str">
        <f t="shared" si="45"/>
        <v/>
      </c>
      <c r="X192" s="4" t="str">
        <f t="shared" si="45"/>
        <v/>
      </c>
      <c r="Y192" s="4" t="str">
        <f t="shared" si="45"/>
        <v/>
      </c>
      <c r="Z192" s="4" t="str">
        <f t="shared" si="45"/>
        <v/>
      </c>
      <c r="AA192" s="4" t="str">
        <f t="shared" si="45"/>
        <v/>
      </c>
      <c r="AB192" s="4" t="str">
        <f t="shared" si="45"/>
        <v/>
      </c>
      <c r="AC192" s="5" t="str">
        <f t="shared" si="45"/>
        <v/>
      </c>
      <c r="AD192" s="3" t="str">
        <f t="shared" si="43"/>
        <v/>
      </c>
      <c r="AE192" s="4" t="str">
        <f t="shared" si="43"/>
        <v/>
      </c>
      <c r="AF192" s="4" t="str">
        <f t="shared" si="43"/>
        <v/>
      </c>
      <c r="AG192" s="4" t="str">
        <f t="shared" si="43"/>
        <v/>
      </c>
      <c r="AH192" s="4" t="str">
        <f t="shared" si="43"/>
        <v/>
      </c>
      <c r="AI192" s="4">
        <f t="shared" si="43"/>
        <v>1</v>
      </c>
      <c r="AJ192" s="4" t="str">
        <f t="shared" si="43"/>
        <v/>
      </c>
      <c r="AK192" s="4" t="str">
        <f t="shared" si="43"/>
        <v/>
      </c>
      <c r="AL192" s="4" t="str">
        <f t="shared" si="34"/>
        <v/>
      </c>
      <c r="AM192" s="4" t="str">
        <f t="shared" si="46"/>
        <v/>
      </c>
      <c r="AN192" s="4" t="str">
        <f t="shared" si="46"/>
        <v/>
      </c>
      <c r="AO192" s="4" t="str">
        <f t="shared" si="46"/>
        <v/>
      </c>
      <c r="AP192" s="4" t="str">
        <f t="shared" si="46"/>
        <v/>
      </c>
      <c r="AQ192" s="4" t="str">
        <f t="shared" si="46"/>
        <v/>
      </c>
      <c r="AR192" s="4" t="str">
        <f t="shared" si="46"/>
        <v/>
      </c>
      <c r="AS192" s="5" t="str">
        <f t="shared" si="46"/>
        <v/>
      </c>
      <c r="AT192" s="3" t="str">
        <f t="shared" si="44"/>
        <v/>
      </c>
      <c r="AU192" s="4" t="str">
        <f t="shared" si="44"/>
        <v/>
      </c>
      <c r="AV192" s="4" t="str">
        <f t="shared" si="44"/>
        <v/>
      </c>
      <c r="AW192" s="4" t="str">
        <f t="shared" si="44"/>
        <v/>
      </c>
      <c r="AX192" s="4" t="str">
        <f t="shared" si="44"/>
        <v/>
      </c>
      <c r="AY192" s="4" t="str">
        <f t="shared" si="44"/>
        <v/>
      </c>
      <c r="AZ192" s="4" t="str">
        <f t="shared" si="44"/>
        <v/>
      </c>
      <c r="BA192" s="4" t="str">
        <f t="shared" si="44"/>
        <v/>
      </c>
      <c r="BB192" s="4" t="str">
        <f t="shared" si="35"/>
        <v/>
      </c>
      <c r="BC192" s="4" t="str">
        <f t="shared" si="47"/>
        <v/>
      </c>
      <c r="BD192" s="4" t="str">
        <f t="shared" si="47"/>
        <v/>
      </c>
      <c r="BE192" s="4" t="str">
        <f t="shared" si="47"/>
        <v/>
      </c>
      <c r="BF192" s="4" t="str">
        <f t="shared" si="47"/>
        <v/>
      </c>
      <c r="BG192" s="4" t="str">
        <f t="shared" si="47"/>
        <v/>
      </c>
      <c r="BH192" s="4" t="str">
        <f t="shared" si="47"/>
        <v/>
      </c>
      <c r="BI192" s="5" t="str">
        <f t="shared" si="47"/>
        <v/>
      </c>
    </row>
    <row r="193" spans="1:61" x14ac:dyDescent="0.25">
      <c r="A193">
        <v>442637</v>
      </c>
      <c r="B193" t="s">
        <v>15</v>
      </c>
      <c r="C193" t="s">
        <v>16</v>
      </c>
      <c r="D193">
        <v>51079</v>
      </c>
      <c r="E193">
        <v>557</v>
      </c>
      <c r="F193">
        <v>20</v>
      </c>
      <c r="G193">
        <v>20123</v>
      </c>
      <c r="H193" t="s">
        <v>0</v>
      </c>
      <c r="I193">
        <v>2327</v>
      </c>
      <c r="J193">
        <v>98</v>
      </c>
      <c r="K193">
        <v>851.93</v>
      </c>
      <c r="L193">
        <v>851.93</v>
      </c>
      <c r="M193">
        <v>0</v>
      </c>
      <c r="N193" s="3" t="str">
        <f t="shared" si="42"/>
        <v/>
      </c>
      <c r="O193" s="4" t="str">
        <f t="shared" si="42"/>
        <v/>
      </c>
      <c r="P193" s="4" t="str">
        <f t="shared" si="42"/>
        <v/>
      </c>
      <c r="Q193" s="4" t="str">
        <f t="shared" si="42"/>
        <v/>
      </c>
      <c r="R193" s="4" t="str">
        <f t="shared" si="42"/>
        <v/>
      </c>
      <c r="S193" s="4" t="str">
        <f t="shared" si="42"/>
        <v/>
      </c>
      <c r="T193" s="4" t="str">
        <f t="shared" si="42"/>
        <v/>
      </c>
      <c r="U193" s="4" t="str">
        <f t="shared" si="42"/>
        <v/>
      </c>
      <c r="V193" s="4" t="str">
        <f t="shared" si="33"/>
        <v/>
      </c>
      <c r="W193" s="4" t="str">
        <f t="shared" si="45"/>
        <v/>
      </c>
      <c r="X193" s="4" t="str">
        <f t="shared" si="45"/>
        <v/>
      </c>
      <c r="Y193" s="4" t="str">
        <f t="shared" si="45"/>
        <v/>
      </c>
      <c r="Z193" s="4" t="str">
        <f t="shared" si="45"/>
        <v/>
      </c>
      <c r="AA193" s="4" t="str">
        <f t="shared" si="45"/>
        <v/>
      </c>
      <c r="AB193" s="4" t="str">
        <f t="shared" si="45"/>
        <v/>
      </c>
      <c r="AC193" s="5" t="str">
        <f t="shared" si="45"/>
        <v/>
      </c>
      <c r="AD193" s="3" t="str">
        <f t="shared" si="43"/>
        <v/>
      </c>
      <c r="AE193" s="4" t="str">
        <f t="shared" si="43"/>
        <v/>
      </c>
      <c r="AF193" s="4" t="str">
        <f t="shared" si="43"/>
        <v/>
      </c>
      <c r="AG193" s="4" t="str">
        <f t="shared" si="43"/>
        <v/>
      </c>
      <c r="AH193" s="4" t="str">
        <f t="shared" si="43"/>
        <v/>
      </c>
      <c r="AI193" s="4" t="str">
        <f t="shared" si="43"/>
        <v/>
      </c>
      <c r="AJ193" s="4">
        <f t="shared" si="43"/>
        <v>1</v>
      </c>
      <c r="AK193" s="4" t="str">
        <f t="shared" si="43"/>
        <v/>
      </c>
      <c r="AL193" s="4" t="str">
        <f t="shared" si="34"/>
        <v/>
      </c>
      <c r="AM193" s="4" t="str">
        <f t="shared" si="46"/>
        <v/>
      </c>
      <c r="AN193" s="4" t="str">
        <f t="shared" si="46"/>
        <v/>
      </c>
      <c r="AO193" s="4" t="str">
        <f t="shared" si="46"/>
        <v/>
      </c>
      <c r="AP193" s="4" t="str">
        <f t="shared" si="46"/>
        <v/>
      </c>
      <c r="AQ193" s="4" t="str">
        <f t="shared" si="46"/>
        <v/>
      </c>
      <c r="AR193" s="4" t="str">
        <f t="shared" si="46"/>
        <v/>
      </c>
      <c r="AS193" s="5" t="str">
        <f t="shared" si="46"/>
        <v/>
      </c>
      <c r="AT193" s="3" t="str">
        <f t="shared" si="44"/>
        <v/>
      </c>
      <c r="AU193" s="4" t="str">
        <f t="shared" si="44"/>
        <v/>
      </c>
      <c r="AV193" s="4" t="str">
        <f t="shared" si="44"/>
        <v/>
      </c>
      <c r="AW193" s="4" t="str">
        <f t="shared" si="44"/>
        <v/>
      </c>
      <c r="AX193" s="4" t="str">
        <f t="shared" si="44"/>
        <v/>
      </c>
      <c r="AY193" s="4" t="str">
        <f t="shared" si="44"/>
        <v/>
      </c>
      <c r="AZ193" s="4" t="str">
        <f t="shared" si="44"/>
        <v/>
      </c>
      <c r="BA193" s="4" t="str">
        <f t="shared" si="44"/>
        <v/>
      </c>
      <c r="BB193" s="4" t="str">
        <f t="shared" si="35"/>
        <v/>
      </c>
      <c r="BC193" s="4" t="str">
        <f t="shared" si="47"/>
        <v/>
      </c>
      <c r="BD193" s="4" t="str">
        <f t="shared" si="47"/>
        <v/>
      </c>
      <c r="BE193" s="4" t="str">
        <f t="shared" si="47"/>
        <v/>
      </c>
      <c r="BF193" s="4" t="str">
        <f t="shared" si="47"/>
        <v/>
      </c>
      <c r="BG193" s="4" t="str">
        <f t="shared" si="47"/>
        <v/>
      </c>
      <c r="BH193" s="4" t="str">
        <f t="shared" si="47"/>
        <v/>
      </c>
      <c r="BI193" s="5" t="str">
        <f t="shared" si="47"/>
        <v/>
      </c>
    </row>
    <row r="194" spans="1:61" x14ac:dyDescent="0.25">
      <c r="A194">
        <v>442638</v>
      </c>
      <c r="B194" t="s">
        <v>15</v>
      </c>
      <c r="C194" t="s">
        <v>16</v>
      </c>
      <c r="D194">
        <v>51079</v>
      </c>
      <c r="E194">
        <v>557</v>
      </c>
      <c r="F194">
        <v>20</v>
      </c>
      <c r="G194">
        <v>20124</v>
      </c>
      <c r="H194" t="s">
        <v>0</v>
      </c>
      <c r="I194">
        <v>1359</v>
      </c>
      <c r="J194">
        <v>67</v>
      </c>
      <c r="K194">
        <v>2930.96</v>
      </c>
      <c r="L194">
        <v>2927.31</v>
      </c>
      <c r="M194">
        <v>3.65</v>
      </c>
      <c r="N194" s="3" t="str">
        <f t="shared" si="42"/>
        <v/>
      </c>
      <c r="O194" s="4" t="str">
        <f t="shared" si="42"/>
        <v/>
      </c>
      <c r="P194" s="4" t="str">
        <f t="shared" si="42"/>
        <v/>
      </c>
      <c r="Q194" s="4" t="str">
        <f t="shared" si="42"/>
        <v/>
      </c>
      <c r="R194" s="4" t="str">
        <f t="shared" si="42"/>
        <v/>
      </c>
      <c r="S194" s="4" t="str">
        <f t="shared" si="42"/>
        <v/>
      </c>
      <c r="T194" s="4" t="str">
        <f t="shared" si="42"/>
        <v/>
      </c>
      <c r="U194" s="4" t="str">
        <f t="shared" si="42"/>
        <v/>
      </c>
      <c r="V194" s="4" t="str">
        <f t="shared" si="33"/>
        <v/>
      </c>
      <c r="W194" s="4" t="str">
        <f t="shared" si="45"/>
        <v/>
      </c>
      <c r="X194" s="4" t="str">
        <f t="shared" si="45"/>
        <v/>
      </c>
      <c r="Y194" s="4" t="str">
        <f t="shared" si="45"/>
        <v/>
      </c>
      <c r="Z194" s="4" t="str">
        <f t="shared" si="45"/>
        <v/>
      </c>
      <c r="AA194" s="4" t="str">
        <f t="shared" si="45"/>
        <v/>
      </c>
      <c r="AB194" s="4" t="str">
        <f t="shared" si="45"/>
        <v/>
      </c>
      <c r="AC194" s="5" t="str">
        <f t="shared" si="45"/>
        <v/>
      </c>
      <c r="AD194" s="3" t="str">
        <f t="shared" si="43"/>
        <v/>
      </c>
      <c r="AE194" s="4" t="str">
        <f t="shared" si="43"/>
        <v/>
      </c>
      <c r="AF194" s="4" t="str">
        <f t="shared" si="43"/>
        <v/>
      </c>
      <c r="AG194" s="4" t="str">
        <f t="shared" si="43"/>
        <v/>
      </c>
      <c r="AH194" s="4" t="str">
        <f t="shared" si="43"/>
        <v/>
      </c>
      <c r="AI194" s="4" t="str">
        <f t="shared" si="43"/>
        <v/>
      </c>
      <c r="AJ194" s="4" t="str">
        <f t="shared" si="43"/>
        <v/>
      </c>
      <c r="AK194" s="4">
        <f t="shared" si="43"/>
        <v>1</v>
      </c>
      <c r="AL194" s="4" t="str">
        <f t="shared" si="34"/>
        <v/>
      </c>
      <c r="AM194" s="4" t="str">
        <f t="shared" si="46"/>
        <v/>
      </c>
      <c r="AN194" s="4" t="str">
        <f t="shared" si="46"/>
        <v/>
      </c>
      <c r="AO194" s="4" t="str">
        <f t="shared" si="46"/>
        <v/>
      </c>
      <c r="AP194" s="4" t="str">
        <f t="shared" si="46"/>
        <v/>
      </c>
      <c r="AQ194" s="4" t="str">
        <f t="shared" si="46"/>
        <v/>
      </c>
      <c r="AR194" s="4" t="str">
        <f t="shared" si="46"/>
        <v/>
      </c>
      <c r="AS194" s="5" t="str">
        <f t="shared" si="46"/>
        <v/>
      </c>
      <c r="AT194" s="3" t="str">
        <f t="shared" si="44"/>
        <v/>
      </c>
      <c r="AU194" s="4" t="str">
        <f t="shared" si="44"/>
        <v/>
      </c>
      <c r="AV194" s="4" t="str">
        <f t="shared" si="44"/>
        <v/>
      </c>
      <c r="AW194" s="4" t="str">
        <f t="shared" si="44"/>
        <v/>
      </c>
      <c r="AX194" s="4" t="str">
        <f t="shared" si="44"/>
        <v/>
      </c>
      <c r="AY194" s="4" t="str">
        <f t="shared" si="44"/>
        <v/>
      </c>
      <c r="AZ194" s="4" t="str">
        <f t="shared" si="44"/>
        <v/>
      </c>
      <c r="BA194" s="4" t="str">
        <f t="shared" si="44"/>
        <v/>
      </c>
      <c r="BB194" s="4" t="str">
        <f t="shared" si="35"/>
        <v/>
      </c>
      <c r="BC194" s="4" t="str">
        <f t="shared" si="47"/>
        <v/>
      </c>
      <c r="BD194" s="4" t="str">
        <f t="shared" si="47"/>
        <v/>
      </c>
      <c r="BE194" s="4" t="str">
        <f t="shared" si="47"/>
        <v/>
      </c>
      <c r="BF194" s="4" t="str">
        <f t="shared" si="47"/>
        <v/>
      </c>
      <c r="BG194" s="4" t="str">
        <f t="shared" si="47"/>
        <v/>
      </c>
      <c r="BH194" s="4" t="str">
        <f t="shared" si="47"/>
        <v/>
      </c>
      <c r="BI194" s="5" t="str">
        <f t="shared" si="47"/>
        <v/>
      </c>
    </row>
    <row r="195" spans="1:61" x14ac:dyDescent="0.25">
      <c r="A195">
        <v>567585</v>
      </c>
      <c r="B195" t="s">
        <v>14</v>
      </c>
      <c r="C195" t="s">
        <v>16</v>
      </c>
      <c r="D195">
        <v>51079</v>
      </c>
      <c r="E195">
        <v>557</v>
      </c>
      <c r="F195">
        <v>1</v>
      </c>
      <c r="G195">
        <v>20131</v>
      </c>
      <c r="H195" t="s">
        <v>0</v>
      </c>
      <c r="I195">
        <v>8</v>
      </c>
      <c r="J195">
        <v>5</v>
      </c>
      <c r="K195">
        <v>60.07</v>
      </c>
      <c r="L195">
        <v>60.07</v>
      </c>
      <c r="M195">
        <v>0</v>
      </c>
      <c r="N195" s="3" t="str">
        <f t="shared" si="42"/>
        <v/>
      </c>
      <c r="O195" s="4" t="str">
        <f t="shared" si="42"/>
        <v/>
      </c>
      <c r="P195" s="4" t="str">
        <f t="shared" si="42"/>
        <v/>
      </c>
      <c r="Q195" s="4" t="str">
        <f t="shared" si="42"/>
        <v/>
      </c>
      <c r="R195" s="4" t="str">
        <f t="shared" si="42"/>
        <v/>
      </c>
      <c r="S195" s="4" t="str">
        <f t="shared" si="42"/>
        <v/>
      </c>
      <c r="T195" s="4" t="str">
        <f t="shared" si="42"/>
        <v/>
      </c>
      <c r="U195" s="4" t="str">
        <f t="shared" si="42"/>
        <v/>
      </c>
      <c r="V195" s="4" t="str">
        <f t="shared" si="33"/>
        <v/>
      </c>
      <c r="W195" s="4" t="str">
        <f t="shared" si="45"/>
        <v/>
      </c>
      <c r="X195" s="4" t="str">
        <f t="shared" si="45"/>
        <v/>
      </c>
      <c r="Y195" s="4" t="str">
        <f t="shared" si="45"/>
        <v/>
      </c>
      <c r="Z195" s="4" t="str">
        <f t="shared" si="45"/>
        <v/>
      </c>
      <c r="AA195" s="4" t="str">
        <f t="shared" si="45"/>
        <v/>
      </c>
      <c r="AB195" s="4" t="str">
        <f t="shared" si="45"/>
        <v/>
      </c>
      <c r="AC195" s="5" t="str">
        <f t="shared" si="45"/>
        <v/>
      </c>
      <c r="AD195" s="3" t="str">
        <f t="shared" si="43"/>
        <v/>
      </c>
      <c r="AE195" s="4" t="str">
        <f t="shared" si="43"/>
        <v/>
      </c>
      <c r="AF195" s="4" t="str">
        <f t="shared" si="43"/>
        <v/>
      </c>
      <c r="AG195" s="4" t="str">
        <f t="shared" si="43"/>
        <v/>
      </c>
      <c r="AH195" s="4" t="str">
        <f t="shared" si="43"/>
        <v/>
      </c>
      <c r="AI195" s="4" t="str">
        <f t="shared" si="43"/>
        <v/>
      </c>
      <c r="AJ195" s="4" t="str">
        <f t="shared" si="43"/>
        <v/>
      </c>
      <c r="AK195" s="4" t="str">
        <f t="shared" si="43"/>
        <v/>
      </c>
      <c r="AL195" s="4" t="str">
        <f t="shared" si="34"/>
        <v/>
      </c>
      <c r="AM195" s="4" t="str">
        <f t="shared" si="46"/>
        <v/>
      </c>
      <c r="AN195" s="4" t="str">
        <f t="shared" si="46"/>
        <v/>
      </c>
      <c r="AO195" s="4" t="str">
        <f t="shared" si="46"/>
        <v/>
      </c>
      <c r="AP195" s="4" t="str">
        <f t="shared" si="46"/>
        <v/>
      </c>
      <c r="AQ195" s="4" t="str">
        <f t="shared" si="46"/>
        <v/>
      </c>
      <c r="AR195" s="4" t="str">
        <f t="shared" si="46"/>
        <v/>
      </c>
      <c r="AS195" s="5" t="str">
        <f t="shared" si="46"/>
        <v/>
      </c>
      <c r="AT195" s="3">
        <f t="shared" si="44"/>
        <v>1</v>
      </c>
      <c r="AU195" s="4" t="str">
        <f t="shared" si="44"/>
        <v/>
      </c>
      <c r="AV195" s="4" t="str">
        <f t="shared" si="44"/>
        <v/>
      </c>
      <c r="AW195" s="4" t="str">
        <f t="shared" si="44"/>
        <v/>
      </c>
      <c r="AX195" s="4" t="str">
        <f t="shared" si="44"/>
        <v/>
      </c>
      <c r="AY195" s="4" t="str">
        <f t="shared" si="44"/>
        <v/>
      </c>
      <c r="AZ195" s="4" t="str">
        <f t="shared" si="44"/>
        <v/>
      </c>
      <c r="BA195" s="4" t="str">
        <f t="shared" si="44"/>
        <v/>
      </c>
      <c r="BB195" s="4" t="str">
        <f t="shared" si="35"/>
        <v/>
      </c>
      <c r="BC195" s="4" t="str">
        <f t="shared" si="47"/>
        <v/>
      </c>
      <c r="BD195" s="4" t="str">
        <f t="shared" si="47"/>
        <v/>
      </c>
      <c r="BE195" s="4" t="str">
        <f t="shared" si="47"/>
        <v/>
      </c>
      <c r="BF195" s="4" t="str">
        <f t="shared" si="47"/>
        <v/>
      </c>
      <c r="BG195" s="4" t="str">
        <f t="shared" si="47"/>
        <v/>
      </c>
      <c r="BH195" s="4" t="str">
        <f t="shared" si="47"/>
        <v/>
      </c>
      <c r="BI195" s="5" t="str">
        <f t="shared" si="47"/>
        <v/>
      </c>
    </row>
    <row r="196" spans="1:61" x14ac:dyDescent="0.25">
      <c r="A196">
        <v>567586</v>
      </c>
      <c r="B196" t="s">
        <v>14</v>
      </c>
      <c r="C196" t="s">
        <v>16</v>
      </c>
      <c r="D196">
        <v>51079</v>
      </c>
      <c r="E196">
        <v>557</v>
      </c>
      <c r="F196">
        <v>1</v>
      </c>
      <c r="G196">
        <v>20132</v>
      </c>
      <c r="H196" t="s">
        <v>0</v>
      </c>
      <c r="I196">
        <v>5</v>
      </c>
      <c r="J196">
        <v>5</v>
      </c>
      <c r="K196">
        <v>38.549999999999997</v>
      </c>
      <c r="L196">
        <v>38.549999999999997</v>
      </c>
      <c r="M196">
        <v>0</v>
      </c>
      <c r="N196" s="3" t="str">
        <f t="shared" si="42"/>
        <v/>
      </c>
      <c r="O196" s="4" t="str">
        <f t="shared" si="42"/>
        <v/>
      </c>
      <c r="P196" s="4" t="str">
        <f t="shared" si="42"/>
        <v/>
      </c>
      <c r="Q196" s="4" t="str">
        <f t="shared" si="42"/>
        <v/>
      </c>
      <c r="R196" s="4" t="str">
        <f t="shared" si="42"/>
        <v/>
      </c>
      <c r="S196" s="4" t="str">
        <f t="shared" si="42"/>
        <v/>
      </c>
      <c r="T196" s="4" t="str">
        <f t="shared" si="42"/>
        <v/>
      </c>
      <c r="U196" s="4" t="str">
        <f t="shared" si="42"/>
        <v/>
      </c>
      <c r="V196" s="4" t="str">
        <f t="shared" si="33"/>
        <v/>
      </c>
      <c r="W196" s="4" t="str">
        <f t="shared" si="45"/>
        <v/>
      </c>
      <c r="X196" s="4" t="str">
        <f t="shared" si="45"/>
        <v/>
      </c>
      <c r="Y196" s="4" t="str">
        <f t="shared" si="45"/>
        <v/>
      </c>
      <c r="Z196" s="4" t="str">
        <f t="shared" si="45"/>
        <v/>
      </c>
      <c r="AA196" s="4" t="str">
        <f t="shared" si="45"/>
        <v/>
      </c>
      <c r="AB196" s="4" t="str">
        <f t="shared" si="45"/>
        <v/>
      </c>
      <c r="AC196" s="5" t="str">
        <f t="shared" si="45"/>
        <v/>
      </c>
      <c r="AD196" s="3" t="str">
        <f t="shared" si="43"/>
        <v/>
      </c>
      <c r="AE196" s="4" t="str">
        <f t="shared" si="43"/>
        <v/>
      </c>
      <c r="AF196" s="4" t="str">
        <f t="shared" si="43"/>
        <v/>
      </c>
      <c r="AG196" s="4" t="str">
        <f t="shared" si="43"/>
        <v/>
      </c>
      <c r="AH196" s="4" t="str">
        <f t="shared" si="43"/>
        <v/>
      </c>
      <c r="AI196" s="4" t="str">
        <f t="shared" si="43"/>
        <v/>
      </c>
      <c r="AJ196" s="4" t="str">
        <f t="shared" si="43"/>
        <v/>
      </c>
      <c r="AK196" s="4" t="str">
        <f t="shared" si="43"/>
        <v/>
      </c>
      <c r="AL196" s="4" t="str">
        <f t="shared" si="34"/>
        <v/>
      </c>
      <c r="AM196" s="4" t="str">
        <f t="shared" si="46"/>
        <v/>
      </c>
      <c r="AN196" s="4" t="str">
        <f t="shared" si="46"/>
        <v/>
      </c>
      <c r="AO196" s="4" t="str">
        <f t="shared" si="46"/>
        <v/>
      </c>
      <c r="AP196" s="4" t="str">
        <f t="shared" si="46"/>
        <v/>
      </c>
      <c r="AQ196" s="4" t="str">
        <f t="shared" si="46"/>
        <v/>
      </c>
      <c r="AR196" s="4" t="str">
        <f t="shared" si="46"/>
        <v/>
      </c>
      <c r="AS196" s="5" t="str">
        <f t="shared" si="46"/>
        <v/>
      </c>
      <c r="AT196" s="3" t="str">
        <f t="shared" si="44"/>
        <v/>
      </c>
      <c r="AU196" s="4">
        <f t="shared" si="44"/>
        <v>1</v>
      </c>
      <c r="AV196" s="4" t="str">
        <f t="shared" si="44"/>
        <v/>
      </c>
      <c r="AW196" s="4" t="str">
        <f t="shared" si="44"/>
        <v/>
      </c>
      <c r="AX196" s="4" t="str">
        <f t="shared" si="44"/>
        <v/>
      </c>
      <c r="AY196" s="4" t="str">
        <f t="shared" si="44"/>
        <v/>
      </c>
      <c r="AZ196" s="4" t="str">
        <f t="shared" si="44"/>
        <v/>
      </c>
      <c r="BA196" s="4" t="str">
        <f t="shared" si="44"/>
        <v/>
      </c>
      <c r="BB196" s="4" t="str">
        <f t="shared" si="35"/>
        <v/>
      </c>
      <c r="BC196" s="4" t="str">
        <f t="shared" si="47"/>
        <v/>
      </c>
      <c r="BD196" s="4" t="str">
        <f t="shared" si="47"/>
        <v/>
      </c>
      <c r="BE196" s="4" t="str">
        <f t="shared" si="47"/>
        <v/>
      </c>
      <c r="BF196" s="4" t="str">
        <f t="shared" si="47"/>
        <v/>
      </c>
      <c r="BG196" s="4" t="str">
        <f t="shared" si="47"/>
        <v/>
      </c>
      <c r="BH196" s="4" t="str">
        <f t="shared" si="47"/>
        <v/>
      </c>
      <c r="BI196" s="5" t="str">
        <f t="shared" si="47"/>
        <v/>
      </c>
    </row>
    <row r="197" spans="1:61" x14ac:dyDescent="0.25">
      <c r="A197">
        <v>567587</v>
      </c>
      <c r="B197" t="s">
        <v>14</v>
      </c>
      <c r="C197" t="s">
        <v>16</v>
      </c>
      <c r="D197">
        <v>51079</v>
      </c>
      <c r="E197">
        <v>557</v>
      </c>
      <c r="F197">
        <v>1</v>
      </c>
      <c r="G197">
        <v>20133</v>
      </c>
      <c r="H197" t="s">
        <v>0</v>
      </c>
      <c r="I197">
        <v>3</v>
      </c>
      <c r="J197">
        <v>2</v>
      </c>
      <c r="K197">
        <v>10.039999999999999</v>
      </c>
      <c r="L197">
        <v>10.039999999999999</v>
      </c>
      <c r="M197">
        <v>0</v>
      </c>
      <c r="N197" s="3" t="str">
        <f t="shared" si="42"/>
        <v/>
      </c>
      <c r="O197" s="4" t="str">
        <f t="shared" si="42"/>
        <v/>
      </c>
      <c r="P197" s="4" t="str">
        <f t="shared" si="42"/>
        <v/>
      </c>
      <c r="Q197" s="4" t="str">
        <f t="shared" si="42"/>
        <v/>
      </c>
      <c r="R197" s="4" t="str">
        <f t="shared" si="42"/>
        <v/>
      </c>
      <c r="S197" s="4" t="str">
        <f t="shared" si="42"/>
        <v/>
      </c>
      <c r="T197" s="4" t="str">
        <f t="shared" si="42"/>
        <v/>
      </c>
      <c r="U197" s="4" t="str">
        <f t="shared" si="42"/>
        <v/>
      </c>
      <c r="V197" s="4" t="str">
        <f t="shared" si="33"/>
        <v/>
      </c>
      <c r="W197" s="4" t="str">
        <f t="shared" si="45"/>
        <v/>
      </c>
      <c r="X197" s="4" t="str">
        <f t="shared" si="45"/>
        <v/>
      </c>
      <c r="Y197" s="4" t="str">
        <f t="shared" si="45"/>
        <v/>
      </c>
      <c r="Z197" s="4" t="str">
        <f t="shared" si="45"/>
        <v/>
      </c>
      <c r="AA197" s="4" t="str">
        <f t="shared" si="45"/>
        <v/>
      </c>
      <c r="AB197" s="4" t="str">
        <f t="shared" si="45"/>
        <v/>
      </c>
      <c r="AC197" s="5" t="str">
        <f t="shared" si="45"/>
        <v/>
      </c>
      <c r="AD197" s="3" t="str">
        <f t="shared" si="43"/>
        <v/>
      </c>
      <c r="AE197" s="4" t="str">
        <f t="shared" si="43"/>
        <v/>
      </c>
      <c r="AF197" s="4" t="str">
        <f t="shared" si="43"/>
        <v/>
      </c>
      <c r="AG197" s="4" t="str">
        <f t="shared" si="43"/>
        <v/>
      </c>
      <c r="AH197" s="4" t="str">
        <f t="shared" si="43"/>
        <v/>
      </c>
      <c r="AI197" s="4" t="str">
        <f t="shared" si="43"/>
        <v/>
      </c>
      <c r="AJ197" s="4" t="str">
        <f t="shared" si="43"/>
        <v/>
      </c>
      <c r="AK197" s="4" t="str">
        <f t="shared" si="43"/>
        <v/>
      </c>
      <c r="AL197" s="4" t="str">
        <f t="shared" si="34"/>
        <v/>
      </c>
      <c r="AM197" s="4" t="str">
        <f t="shared" si="46"/>
        <v/>
      </c>
      <c r="AN197" s="4" t="str">
        <f t="shared" si="46"/>
        <v/>
      </c>
      <c r="AO197" s="4" t="str">
        <f t="shared" si="46"/>
        <v/>
      </c>
      <c r="AP197" s="4" t="str">
        <f t="shared" si="46"/>
        <v/>
      </c>
      <c r="AQ197" s="4" t="str">
        <f t="shared" si="46"/>
        <v/>
      </c>
      <c r="AR197" s="4" t="str">
        <f t="shared" si="46"/>
        <v/>
      </c>
      <c r="AS197" s="5" t="str">
        <f t="shared" si="46"/>
        <v/>
      </c>
      <c r="AT197" s="3" t="str">
        <f t="shared" si="44"/>
        <v/>
      </c>
      <c r="AU197" s="4" t="str">
        <f t="shared" si="44"/>
        <v/>
      </c>
      <c r="AV197" s="4">
        <f t="shared" si="44"/>
        <v>1</v>
      </c>
      <c r="AW197" s="4" t="str">
        <f t="shared" si="44"/>
        <v/>
      </c>
      <c r="AX197" s="4" t="str">
        <f t="shared" si="44"/>
        <v/>
      </c>
      <c r="AY197" s="4" t="str">
        <f t="shared" si="44"/>
        <v/>
      </c>
      <c r="AZ197" s="4" t="str">
        <f t="shared" si="44"/>
        <v/>
      </c>
      <c r="BA197" s="4" t="str">
        <f t="shared" si="44"/>
        <v/>
      </c>
      <c r="BB197" s="4" t="str">
        <f t="shared" si="35"/>
        <v/>
      </c>
      <c r="BC197" s="4" t="str">
        <f t="shared" si="47"/>
        <v/>
      </c>
      <c r="BD197" s="4" t="str">
        <f t="shared" si="47"/>
        <v/>
      </c>
      <c r="BE197" s="4" t="str">
        <f t="shared" si="47"/>
        <v/>
      </c>
      <c r="BF197" s="4" t="str">
        <f t="shared" si="47"/>
        <v/>
      </c>
      <c r="BG197" s="4" t="str">
        <f t="shared" si="47"/>
        <v/>
      </c>
      <c r="BH197" s="4" t="str">
        <f t="shared" si="47"/>
        <v/>
      </c>
      <c r="BI197" s="5" t="str">
        <f t="shared" si="47"/>
        <v/>
      </c>
    </row>
    <row r="198" spans="1:61" x14ac:dyDescent="0.25">
      <c r="A198">
        <v>567588</v>
      </c>
      <c r="B198" t="s">
        <v>14</v>
      </c>
      <c r="C198" t="s">
        <v>16</v>
      </c>
      <c r="D198">
        <v>51079</v>
      </c>
      <c r="E198">
        <v>557</v>
      </c>
      <c r="F198">
        <v>1</v>
      </c>
      <c r="G198">
        <v>20134</v>
      </c>
      <c r="H198" t="s">
        <v>0</v>
      </c>
      <c r="I198">
        <v>13</v>
      </c>
      <c r="J198">
        <v>9</v>
      </c>
      <c r="K198">
        <v>82.08</v>
      </c>
      <c r="L198">
        <v>82.08</v>
      </c>
      <c r="M198">
        <v>0</v>
      </c>
      <c r="N198" s="3" t="str">
        <f t="shared" si="42"/>
        <v/>
      </c>
      <c r="O198" s="4" t="str">
        <f t="shared" si="42"/>
        <v/>
      </c>
      <c r="P198" s="4" t="str">
        <f t="shared" si="42"/>
        <v/>
      </c>
      <c r="Q198" s="4" t="str">
        <f t="shared" si="42"/>
        <v/>
      </c>
      <c r="R198" s="4" t="str">
        <f t="shared" si="42"/>
        <v/>
      </c>
      <c r="S198" s="4" t="str">
        <f t="shared" si="42"/>
        <v/>
      </c>
      <c r="T198" s="4" t="str">
        <f t="shared" si="42"/>
        <v/>
      </c>
      <c r="U198" s="4" t="str">
        <f t="shared" si="42"/>
        <v/>
      </c>
      <c r="V198" s="4" t="str">
        <f t="shared" si="33"/>
        <v/>
      </c>
      <c r="W198" s="4" t="str">
        <f t="shared" si="45"/>
        <v/>
      </c>
      <c r="X198" s="4" t="str">
        <f t="shared" si="45"/>
        <v/>
      </c>
      <c r="Y198" s="4" t="str">
        <f t="shared" si="45"/>
        <v/>
      </c>
      <c r="Z198" s="4" t="str">
        <f t="shared" si="45"/>
        <v/>
      </c>
      <c r="AA198" s="4" t="str">
        <f t="shared" si="45"/>
        <v/>
      </c>
      <c r="AB198" s="4" t="str">
        <f t="shared" si="45"/>
        <v/>
      </c>
      <c r="AC198" s="5" t="str">
        <f t="shared" si="45"/>
        <v/>
      </c>
      <c r="AD198" s="3" t="str">
        <f t="shared" si="43"/>
        <v/>
      </c>
      <c r="AE198" s="4" t="str">
        <f t="shared" si="43"/>
        <v/>
      </c>
      <c r="AF198" s="4" t="str">
        <f t="shared" si="43"/>
        <v/>
      </c>
      <c r="AG198" s="4" t="str">
        <f t="shared" si="43"/>
        <v/>
      </c>
      <c r="AH198" s="4" t="str">
        <f t="shared" si="43"/>
        <v/>
      </c>
      <c r="AI198" s="4" t="str">
        <f t="shared" si="43"/>
        <v/>
      </c>
      <c r="AJ198" s="4" t="str">
        <f t="shared" si="43"/>
        <v/>
      </c>
      <c r="AK198" s="4" t="str">
        <f t="shared" si="43"/>
        <v/>
      </c>
      <c r="AL198" s="4" t="str">
        <f t="shared" si="34"/>
        <v/>
      </c>
      <c r="AM198" s="4" t="str">
        <f t="shared" si="46"/>
        <v/>
      </c>
      <c r="AN198" s="4" t="str">
        <f t="shared" si="46"/>
        <v/>
      </c>
      <c r="AO198" s="4" t="str">
        <f t="shared" si="46"/>
        <v/>
      </c>
      <c r="AP198" s="4" t="str">
        <f t="shared" si="46"/>
        <v/>
      </c>
      <c r="AQ198" s="4" t="str">
        <f t="shared" si="46"/>
        <v/>
      </c>
      <c r="AR198" s="4" t="str">
        <f t="shared" si="46"/>
        <v/>
      </c>
      <c r="AS198" s="5" t="str">
        <f t="shared" si="46"/>
        <v/>
      </c>
      <c r="AT198" s="3" t="str">
        <f t="shared" si="44"/>
        <v/>
      </c>
      <c r="AU198" s="4" t="str">
        <f t="shared" si="44"/>
        <v/>
      </c>
      <c r="AV198" s="4" t="str">
        <f t="shared" si="44"/>
        <v/>
      </c>
      <c r="AW198" s="4">
        <f t="shared" si="44"/>
        <v>1</v>
      </c>
      <c r="AX198" s="4" t="str">
        <f t="shared" si="44"/>
        <v/>
      </c>
      <c r="AY198" s="4" t="str">
        <f t="shared" si="44"/>
        <v/>
      </c>
      <c r="AZ198" s="4" t="str">
        <f t="shared" si="44"/>
        <v/>
      </c>
      <c r="BA198" s="4" t="str">
        <f t="shared" si="44"/>
        <v/>
      </c>
      <c r="BB198" s="4" t="str">
        <f t="shared" si="35"/>
        <v/>
      </c>
      <c r="BC198" s="4" t="str">
        <f t="shared" si="47"/>
        <v/>
      </c>
      <c r="BD198" s="4" t="str">
        <f t="shared" si="47"/>
        <v/>
      </c>
      <c r="BE198" s="4" t="str">
        <f t="shared" si="47"/>
        <v/>
      </c>
      <c r="BF198" s="4" t="str">
        <f t="shared" si="47"/>
        <v/>
      </c>
      <c r="BG198" s="4" t="str">
        <f t="shared" si="47"/>
        <v/>
      </c>
      <c r="BH198" s="4" t="str">
        <f t="shared" si="47"/>
        <v/>
      </c>
      <c r="BI198" s="5" t="str">
        <f t="shared" si="47"/>
        <v/>
      </c>
    </row>
    <row r="199" spans="1:61" x14ac:dyDescent="0.25">
      <c r="A199">
        <v>567589</v>
      </c>
      <c r="B199" t="s">
        <v>14</v>
      </c>
      <c r="C199" t="s">
        <v>16</v>
      </c>
      <c r="D199">
        <v>51079</v>
      </c>
      <c r="E199">
        <v>557</v>
      </c>
      <c r="F199">
        <v>20</v>
      </c>
      <c r="G199">
        <v>20131</v>
      </c>
      <c r="H199" t="s">
        <v>0</v>
      </c>
      <c r="I199">
        <v>4729.38</v>
      </c>
      <c r="J199">
        <v>255</v>
      </c>
      <c r="K199">
        <v>2187.08</v>
      </c>
      <c r="L199">
        <v>2158.08</v>
      </c>
      <c r="M199">
        <v>29</v>
      </c>
      <c r="N199" s="3" t="str">
        <f t="shared" si="42"/>
        <v/>
      </c>
      <c r="O199" s="4" t="str">
        <f t="shared" si="42"/>
        <v/>
      </c>
      <c r="P199" s="4" t="str">
        <f t="shared" si="42"/>
        <v/>
      </c>
      <c r="Q199" s="4" t="str">
        <f t="shared" si="42"/>
        <v/>
      </c>
      <c r="R199" s="4" t="str">
        <f t="shared" si="42"/>
        <v/>
      </c>
      <c r="S199" s="4" t="str">
        <f t="shared" si="42"/>
        <v/>
      </c>
      <c r="T199" s="4" t="str">
        <f t="shared" si="42"/>
        <v/>
      </c>
      <c r="U199" s="4" t="str">
        <f t="shared" si="42"/>
        <v/>
      </c>
      <c r="V199" s="4" t="str">
        <f t="shared" si="33"/>
        <v/>
      </c>
      <c r="W199" s="4" t="str">
        <f t="shared" si="45"/>
        <v/>
      </c>
      <c r="X199" s="4" t="str">
        <f t="shared" si="45"/>
        <v/>
      </c>
      <c r="Y199" s="4" t="str">
        <f t="shared" si="45"/>
        <v/>
      </c>
      <c r="Z199" s="4" t="str">
        <f t="shared" si="45"/>
        <v/>
      </c>
      <c r="AA199" s="4" t="str">
        <f t="shared" si="45"/>
        <v/>
      </c>
      <c r="AB199" s="4" t="str">
        <f t="shared" si="45"/>
        <v/>
      </c>
      <c r="AC199" s="5" t="str">
        <f t="shared" si="45"/>
        <v/>
      </c>
      <c r="AD199" s="3" t="str">
        <f t="shared" si="43"/>
        <v/>
      </c>
      <c r="AE199" s="4" t="str">
        <f t="shared" si="43"/>
        <v/>
      </c>
      <c r="AF199" s="4" t="str">
        <f t="shared" si="43"/>
        <v/>
      </c>
      <c r="AG199" s="4" t="str">
        <f t="shared" si="43"/>
        <v/>
      </c>
      <c r="AH199" s="4" t="str">
        <f t="shared" si="43"/>
        <v/>
      </c>
      <c r="AI199" s="4" t="str">
        <f t="shared" si="43"/>
        <v/>
      </c>
      <c r="AJ199" s="4" t="str">
        <f t="shared" si="43"/>
        <v/>
      </c>
      <c r="AK199" s="4" t="str">
        <f t="shared" si="43"/>
        <v/>
      </c>
      <c r="AL199" s="4" t="str">
        <f t="shared" si="34"/>
        <v/>
      </c>
      <c r="AM199" s="4" t="str">
        <f t="shared" si="46"/>
        <v/>
      </c>
      <c r="AN199" s="4" t="str">
        <f t="shared" si="46"/>
        <v/>
      </c>
      <c r="AO199" s="4" t="str">
        <f t="shared" si="46"/>
        <v/>
      </c>
      <c r="AP199" s="4" t="str">
        <f t="shared" si="46"/>
        <v/>
      </c>
      <c r="AQ199" s="4" t="str">
        <f t="shared" si="46"/>
        <v/>
      </c>
      <c r="AR199" s="4" t="str">
        <f t="shared" si="46"/>
        <v/>
      </c>
      <c r="AS199" s="5" t="str">
        <f t="shared" si="46"/>
        <v/>
      </c>
      <c r="AT199" s="3">
        <f t="shared" si="44"/>
        <v>1</v>
      </c>
      <c r="AU199" s="4" t="str">
        <f t="shared" si="44"/>
        <v/>
      </c>
      <c r="AV199" s="4" t="str">
        <f t="shared" si="44"/>
        <v/>
      </c>
      <c r="AW199" s="4" t="str">
        <f t="shared" si="44"/>
        <v/>
      </c>
      <c r="AX199" s="4" t="str">
        <f t="shared" si="44"/>
        <v/>
      </c>
      <c r="AY199" s="4" t="str">
        <f t="shared" si="44"/>
        <v/>
      </c>
      <c r="AZ199" s="4" t="str">
        <f t="shared" si="44"/>
        <v/>
      </c>
      <c r="BA199" s="4" t="str">
        <f t="shared" si="44"/>
        <v/>
      </c>
      <c r="BB199" s="4" t="str">
        <f t="shared" si="35"/>
        <v/>
      </c>
      <c r="BC199" s="4" t="str">
        <f t="shared" si="47"/>
        <v/>
      </c>
      <c r="BD199" s="4" t="str">
        <f t="shared" si="47"/>
        <v/>
      </c>
      <c r="BE199" s="4" t="str">
        <f t="shared" si="47"/>
        <v/>
      </c>
      <c r="BF199" s="4" t="str">
        <f t="shared" si="47"/>
        <v/>
      </c>
      <c r="BG199" s="4" t="str">
        <f t="shared" si="47"/>
        <v/>
      </c>
      <c r="BH199" s="4" t="str">
        <f t="shared" si="47"/>
        <v/>
      </c>
      <c r="BI199" s="5" t="str">
        <f t="shared" si="47"/>
        <v/>
      </c>
    </row>
    <row r="200" spans="1:61" x14ac:dyDescent="0.25">
      <c r="A200">
        <v>567590</v>
      </c>
      <c r="B200" t="s">
        <v>14</v>
      </c>
      <c r="C200" t="s">
        <v>16</v>
      </c>
      <c r="D200">
        <v>51079</v>
      </c>
      <c r="E200">
        <v>557</v>
      </c>
      <c r="F200">
        <v>20</v>
      </c>
      <c r="G200">
        <v>20132</v>
      </c>
      <c r="H200" t="s">
        <v>0</v>
      </c>
      <c r="I200">
        <v>5063.28</v>
      </c>
      <c r="J200">
        <v>254</v>
      </c>
      <c r="K200">
        <v>2467.3000000000002</v>
      </c>
      <c r="L200">
        <v>2434.3000000000002</v>
      </c>
      <c r="M200">
        <v>33</v>
      </c>
      <c r="N200" s="3" t="str">
        <f t="shared" si="42"/>
        <v/>
      </c>
      <c r="O200" s="4" t="str">
        <f t="shared" si="42"/>
        <v/>
      </c>
      <c r="P200" s="4" t="str">
        <f t="shared" si="42"/>
        <v/>
      </c>
      <c r="Q200" s="4" t="str">
        <f t="shared" si="42"/>
        <v/>
      </c>
      <c r="R200" s="4" t="str">
        <f t="shared" si="42"/>
        <v/>
      </c>
      <c r="S200" s="4" t="str">
        <f t="shared" si="42"/>
        <v/>
      </c>
      <c r="T200" s="4" t="str">
        <f t="shared" si="42"/>
        <v/>
      </c>
      <c r="U200" s="4" t="str">
        <f t="shared" si="42"/>
        <v/>
      </c>
      <c r="V200" s="4" t="str">
        <f t="shared" si="33"/>
        <v/>
      </c>
      <c r="W200" s="4" t="str">
        <f t="shared" si="45"/>
        <v/>
      </c>
      <c r="X200" s="4" t="str">
        <f t="shared" si="45"/>
        <v/>
      </c>
      <c r="Y200" s="4" t="str">
        <f t="shared" si="45"/>
        <v/>
      </c>
      <c r="Z200" s="4" t="str">
        <f t="shared" si="45"/>
        <v/>
      </c>
      <c r="AA200" s="4" t="str">
        <f t="shared" si="45"/>
        <v/>
      </c>
      <c r="AB200" s="4" t="str">
        <f t="shared" si="45"/>
        <v/>
      </c>
      <c r="AC200" s="5" t="str">
        <f t="shared" si="45"/>
        <v/>
      </c>
      <c r="AD200" s="3" t="str">
        <f t="shared" si="43"/>
        <v/>
      </c>
      <c r="AE200" s="4" t="str">
        <f t="shared" si="43"/>
        <v/>
      </c>
      <c r="AF200" s="4" t="str">
        <f t="shared" si="43"/>
        <v/>
      </c>
      <c r="AG200" s="4" t="str">
        <f t="shared" si="43"/>
        <v/>
      </c>
      <c r="AH200" s="4" t="str">
        <f t="shared" si="43"/>
        <v/>
      </c>
      <c r="AI200" s="4" t="str">
        <f t="shared" si="43"/>
        <v/>
      </c>
      <c r="AJ200" s="4" t="str">
        <f t="shared" si="43"/>
        <v/>
      </c>
      <c r="AK200" s="4" t="str">
        <f t="shared" si="43"/>
        <v/>
      </c>
      <c r="AL200" s="4" t="str">
        <f t="shared" si="34"/>
        <v/>
      </c>
      <c r="AM200" s="4" t="str">
        <f t="shared" si="46"/>
        <v/>
      </c>
      <c r="AN200" s="4" t="str">
        <f t="shared" si="46"/>
        <v/>
      </c>
      <c r="AO200" s="4" t="str">
        <f t="shared" si="46"/>
        <v/>
      </c>
      <c r="AP200" s="4" t="str">
        <f t="shared" si="46"/>
        <v/>
      </c>
      <c r="AQ200" s="4" t="str">
        <f t="shared" si="46"/>
        <v/>
      </c>
      <c r="AR200" s="4" t="str">
        <f t="shared" si="46"/>
        <v/>
      </c>
      <c r="AS200" s="5" t="str">
        <f t="shared" si="46"/>
        <v/>
      </c>
      <c r="AT200" s="3" t="str">
        <f t="shared" si="44"/>
        <v/>
      </c>
      <c r="AU200" s="4">
        <f t="shared" si="44"/>
        <v>1</v>
      </c>
      <c r="AV200" s="4" t="str">
        <f t="shared" si="44"/>
        <v/>
      </c>
      <c r="AW200" s="4" t="str">
        <f t="shared" si="44"/>
        <v/>
      </c>
      <c r="AX200" s="4" t="str">
        <f t="shared" si="44"/>
        <v/>
      </c>
      <c r="AY200" s="4" t="str">
        <f t="shared" si="44"/>
        <v/>
      </c>
      <c r="AZ200" s="4" t="str">
        <f t="shared" si="44"/>
        <v/>
      </c>
      <c r="BA200" s="4" t="str">
        <f t="shared" si="44"/>
        <v/>
      </c>
      <c r="BB200" s="4" t="str">
        <f t="shared" si="35"/>
        <v/>
      </c>
      <c r="BC200" s="4" t="str">
        <f t="shared" si="47"/>
        <v/>
      </c>
      <c r="BD200" s="4" t="str">
        <f t="shared" si="47"/>
        <v/>
      </c>
      <c r="BE200" s="4" t="str">
        <f t="shared" si="47"/>
        <v/>
      </c>
      <c r="BF200" s="4" t="str">
        <f t="shared" si="47"/>
        <v/>
      </c>
      <c r="BG200" s="4" t="str">
        <f t="shared" si="47"/>
        <v/>
      </c>
      <c r="BH200" s="4" t="str">
        <f t="shared" si="47"/>
        <v/>
      </c>
      <c r="BI200" s="5" t="str">
        <f t="shared" si="47"/>
        <v/>
      </c>
    </row>
    <row r="201" spans="1:61" x14ac:dyDescent="0.25">
      <c r="A201">
        <v>567591</v>
      </c>
      <c r="B201" t="s">
        <v>14</v>
      </c>
      <c r="C201" t="s">
        <v>16</v>
      </c>
      <c r="D201">
        <v>51079</v>
      </c>
      <c r="E201">
        <v>557</v>
      </c>
      <c r="F201">
        <v>20</v>
      </c>
      <c r="G201">
        <v>20133</v>
      </c>
      <c r="H201" t="s">
        <v>0</v>
      </c>
      <c r="I201">
        <v>4914.1499999999996</v>
      </c>
      <c r="J201">
        <v>269</v>
      </c>
      <c r="K201">
        <v>2647.89</v>
      </c>
      <c r="L201">
        <v>2621.45</v>
      </c>
      <c r="M201">
        <v>26.44</v>
      </c>
      <c r="N201" s="3" t="str">
        <f t="shared" si="42"/>
        <v/>
      </c>
      <c r="O201" s="4" t="str">
        <f t="shared" si="42"/>
        <v/>
      </c>
      <c r="P201" s="4" t="str">
        <f t="shared" si="42"/>
        <v/>
      </c>
      <c r="Q201" s="4" t="str">
        <f t="shared" si="42"/>
        <v/>
      </c>
      <c r="R201" s="4" t="str">
        <f t="shared" si="42"/>
        <v/>
      </c>
      <c r="S201" s="4" t="str">
        <f t="shared" si="42"/>
        <v/>
      </c>
      <c r="T201" s="4" t="str">
        <f t="shared" si="42"/>
        <v/>
      </c>
      <c r="U201" s="4" t="str">
        <f t="shared" si="42"/>
        <v/>
      </c>
      <c r="V201" s="4" t="str">
        <f t="shared" si="33"/>
        <v/>
      </c>
      <c r="W201" s="4" t="str">
        <f t="shared" si="45"/>
        <v/>
      </c>
      <c r="X201" s="4" t="str">
        <f t="shared" si="45"/>
        <v/>
      </c>
      <c r="Y201" s="4" t="str">
        <f t="shared" si="45"/>
        <v/>
      </c>
      <c r="Z201" s="4" t="str">
        <f t="shared" si="45"/>
        <v/>
      </c>
      <c r="AA201" s="4" t="str">
        <f t="shared" si="45"/>
        <v/>
      </c>
      <c r="AB201" s="4" t="str">
        <f t="shared" si="45"/>
        <v/>
      </c>
      <c r="AC201" s="5" t="str">
        <f t="shared" si="45"/>
        <v/>
      </c>
      <c r="AD201" s="3" t="str">
        <f t="shared" si="43"/>
        <v/>
      </c>
      <c r="AE201" s="4" t="str">
        <f t="shared" si="43"/>
        <v/>
      </c>
      <c r="AF201" s="4" t="str">
        <f t="shared" si="43"/>
        <v/>
      </c>
      <c r="AG201" s="4" t="str">
        <f t="shared" si="43"/>
        <v/>
      </c>
      <c r="AH201" s="4" t="str">
        <f t="shared" si="43"/>
        <v/>
      </c>
      <c r="AI201" s="4" t="str">
        <f t="shared" si="43"/>
        <v/>
      </c>
      <c r="AJ201" s="4" t="str">
        <f t="shared" si="43"/>
        <v/>
      </c>
      <c r="AK201" s="4" t="str">
        <f t="shared" si="43"/>
        <v/>
      </c>
      <c r="AL201" s="4" t="str">
        <f t="shared" si="34"/>
        <v/>
      </c>
      <c r="AM201" s="4" t="str">
        <f t="shared" si="46"/>
        <v/>
      </c>
      <c r="AN201" s="4" t="str">
        <f t="shared" si="46"/>
        <v/>
      </c>
      <c r="AO201" s="4" t="str">
        <f t="shared" si="46"/>
        <v/>
      </c>
      <c r="AP201" s="4" t="str">
        <f t="shared" si="46"/>
        <v/>
      </c>
      <c r="AQ201" s="4" t="str">
        <f t="shared" si="46"/>
        <v/>
      </c>
      <c r="AR201" s="4" t="str">
        <f t="shared" si="46"/>
        <v/>
      </c>
      <c r="AS201" s="5" t="str">
        <f t="shared" si="46"/>
        <v/>
      </c>
      <c r="AT201" s="3" t="str">
        <f t="shared" si="44"/>
        <v/>
      </c>
      <c r="AU201" s="4" t="str">
        <f t="shared" si="44"/>
        <v/>
      </c>
      <c r="AV201" s="4">
        <f t="shared" si="44"/>
        <v>1</v>
      </c>
      <c r="AW201" s="4" t="str">
        <f t="shared" si="44"/>
        <v/>
      </c>
      <c r="AX201" s="4" t="str">
        <f t="shared" si="44"/>
        <v/>
      </c>
      <c r="AY201" s="4" t="str">
        <f t="shared" si="44"/>
        <v/>
      </c>
      <c r="AZ201" s="4" t="str">
        <f t="shared" si="44"/>
        <v/>
      </c>
      <c r="BA201" s="4" t="str">
        <f t="shared" si="44"/>
        <v/>
      </c>
      <c r="BB201" s="4" t="str">
        <f t="shared" si="35"/>
        <v/>
      </c>
      <c r="BC201" s="4" t="str">
        <f t="shared" si="47"/>
        <v/>
      </c>
      <c r="BD201" s="4" t="str">
        <f t="shared" si="47"/>
        <v/>
      </c>
      <c r="BE201" s="4" t="str">
        <f t="shared" si="47"/>
        <v/>
      </c>
      <c r="BF201" s="4" t="str">
        <f t="shared" si="47"/>
        <v/>
      </c>
      <c r="BG201" s="4" t="str">
        <f t="shared" si="47"/>
        <v/>
      </c>
      <c r="BH201" s="4" t="str">
        <f t="shared" si="47"/>
        <v/>
      </c>
      <c r="BI201" s="5" t="str">
        <f t="shared" si="47"/>
        <v/>
      </c>
    </row>
    <row r="202" spans="1:61" x14ac:dyDescent="0.25">
      <c r="A202">
        <v>567592</v>
      </c>
      <c r="B202" t="s">
        <v>14</v>
      </c>
      <c r="C202" t="s">
        <v>16</v>
      </c>
      <c r="D202">
        <v>51079</v>
      </c>
      <c r="E202">
        <v>557</v>
      </c>
      <c r="F202">
        <v>20</v>
      </c>
      <c r="G202">
        <v>20134</v>
      </c>
      <c r="H202" t="s">
        <v>0</v>
      </c>
      <c r="I202">
        <v>5028.49</v>
      </c>
      <c r="J202">
        <v>279</v>
      </c>
      <c r="K202">
        <v>2250.84</v>
      </c>
      <c r="L202">
        <v>2219.7800000000002</v>
      </c>
      <c r="M202">
        <v>31.06</v>
      </c>
      <c r="N202" s="3" t="str">
        <f t="shared" si="42"/>
        <v/>
      </c>
      <c r="O202" s="4" t="str">
        <f t="shared" si="42"/>
        <v/>
      </c>
      <c r="P202" s="4" t="str">
        <f t="shared" si="42"/>
        <v/>
      </c>
      <c r="Q202" s="4" t="str">
        <f t="shared" si="42"/>
        <v/>
      </c>
      <c r="R202" s="4" t="str">
        <f t="shared" si="42"/>
        <v/>
      </c>
      <c r="S202" s="4" t="str">
        <f t="shared" si="42"/>
        <v/>
      </c>
      <c r="T202" s="4" t="str">
        <f t="shared" si="42"/>
        <v/>
      </c>
      <c r="U202" s="4" t="str">
        <f t="shared" si="42"/>
        <v/>
      </c>
      <c r="V202" s="4" t="str">
        <f t="shared" si="33"/>
        <v/>
      </c>
      <c r="W202" s="4" t="str">
        <f t="shared" si="45"/>
        <v/>
      </c>
      <c r="X202" s="4" t="str">
        <f t="shared" si="45"/>
        <v/>
      </c>
      <c r="Y202" s="4" t="str">
        <f t="shared" si="45"/>
        <v/>
      </c>
      <c r="Z202" s="4" t="str">
        <f t="shared" si="45"/>
        <v/>
      </c>
      <c r="AA202" s="4" t="str">
        <f t="shared" si="45"/>
        <v/>
      </c>
      <c r="AB202" s="4" t="str">
        <f t="shared" si="45"/>
        <v/>
      </c>
      <c r="AC202" s="5" t="str">
        <f t="shared" si="45"/>
        <v/>
      </c>
      <c r="AD202" s="3" t="str">
        <f t="shared" si="43"/>
        <v/>
      </c>
      <c r="AE202" s="4" t="str">
        <f t="shared" si="43"/>
        <v/>
      </c>
      <c r="AF202" s="4" t="str">
        <f t="shared" si="43"/>
        <v/>
      </c>
      <c r="AG202" s="4" t="str">
        <f t="shared" si="43"/>
        <v/>
      </c>
      <c r="AH202" s="4" t="str">
        <f t="shared" si="43"/>
        <v/>
      </c>
      <c r="AI202" s="4" t="str">
        <f t="shared" si="43"/>
        <v/>
      </c>
      <c r="AJ202" s="4" t="str">
        <f t="shared" si="43"/>
        <v/>
      </c>
      <c r="AK202" s="4" t="str">
        <f t="shared" si="43"/>
        <v/>
      </c>
      <c r="AL202" s="4" t="str">
        <f t="shared" si="34"/>
        <v/>
      </c>
      <c r="AM202" s="4" t="str">
        <f t="shared" si="46"/>
        <v/>
      </c>
      <c r="AN202" s="4" t="str">
        <f t="shared" si="46"/>
        <v/>
      </c>
      <c r="AO202" s="4" t="str">
        <f t="shared" si="46"/>
        <v/>
      </c>
      <c r="AP202" s="4" t="str">
        <f t="shared" si="46"/>
        <v/>
      </c>
      <c r="AQ202" s="4" t="str">
        <f t="shared" si="46"/>
        <v/>
      </c>
      <c r="AR202" s="4" t="str">
        <f t="shared" si="46"/>
        <v/>
      </c>
      <c r="AS202" s="5" t="str">
        <f t="shared" si="46"/>
        <v/>
      </c>
      <c r="AT202" s="3" t="str">
        <f t="shared" si="44"/>
        <v/>
      </c>
      <c r="AU202" s="4" t="str">
        <f t="shared" si="44"/>
        <v/>
      </c>
      <c r="AV202" s="4" t="str">
        <f t="shared" si="44"/>
        <v/>
      </c>
      <c r="AW202" s="4">
        <f t="shared" si="44"/>
        <v>1</v>
      </c>
      <c r="AX202" s="4" t="str">
        <f t="shared" si="44"/>
        <v/>
      </c>
      <c r="AY202" s="4" t="str">
        <f t="shared" si="44"/>
        <v/>
      </c>
      <c r="AZ202" s="4" t="str">
        <f t="shared" si="44"/>
        <v/>
      </c>
      <c r="BA202" s="4" t="str">
        <f t="shared" si="44"/>
        <v/>
      </c>
      <c r="BB202" s="4" t="str">
        <f t="shared" si="35"/>
        <v/>
      </c>
      <c r="BC202" s="4" t="str">
        <f t="shared" si="47"/>
        <v/>
      </c>
      <c r="BD202" s="4" t="str">
        <f t="shared" si="47"/>
        <v/>
      </c>
      <c r="BE202" s="4" t="str">
        <f t="shared" si="47"/>
        <v/>
      </c>
      <c r="BF202" s="4" t="str">
        <f t="shared" si="47"/>
        <v/>
      </c>
      <c r="BG202" s="4" t="str">
        <f t="shared" si="47"/>
        <v/>
      </c>
      <c r="BH202" s="4" t="str">
        <f t="shared" si="47"/>
        <v/>
      </c>
      <c r="BI202" s="5" t="str">
        <f t="shared" si="47"/>
        <v/>
      </c>
    </row>
    <row r="203" spans="1:61" x14ac:dyDescent="0.25">
      <c r="A203">
        <v>694484</v>
      </c>
      <c r="B203" t="s">
        <v>15</v>
      </c>
      <c r="C203" t="s">
        <v>16</v>
      </c>
      <c r="D203">
        <v>51079</v>
      </c>
      <c r="E203">
        <v>557</v>
      </c>
      <c r="F203">
        <v>1</v>
      </c>
      <c r="G203">
        <v>20131</v>
      </c>
      <c r="H203" t="s">
        <v>0</v>
      </c>
      <c r="I203">
        <v>3</v>
      </c>
      <c r="J203">
        <v>2</v>
      </c>
      <c r="K203">
        <v>11.05</v>
      </c>
      <c r="L203">
        <v>11.05</v>
      </c>
      <c r="M203">
        <v>0</v>
      </c>
      <c r="N203" s="3" t="str">
        <f t="shared" si="42"/>
        <v/>
      </c>
      <c r="O203" s="4" t="str">
        <f t="shared" si="42"/>
        <v/>
      </c>
      <c r="P203" s="4" t="str">
        <f t="shared" si="42"/>
        <v/>
      </c>
      <c r="Q203" s="4" t="str">
        <f t="shared" si="42"/>
        <v/>
      </c>
      <c r="R203" s="4" t="str">
        <f t="shared" si="42"/>
        <v/>
      </c>
      <c r="S203" s="4" t="str">
        <f t="shared" si="42"/>
        <v/>
      </c>
      <c r="T203" s="4" t="str">
        <f t="shared" si="42"/>
        <v/>
      </c>
      <c r="U203" s="4" t="str">
        <f t="shared" si="42"/>
        <v/>
      </c>
      <c r="V203" s="4" t="str">
        <f t="shared" si="33"/>
        <v/>
      </c>
      <c r="W203" s="4" t="str">
        <f t="shared" si="45"/>
        <v/>
      </c>
      <c r="X203" s="4" t="str">
        <f t="shared" si="45"/>
        <v/>
      </c>
      <c r="Y203" s="4" t="str">
        <f t="shared" si="45"/>
        <v/>
      </c>
      <c r="Z203" s="4" t="str">
        <f t="shared" si="45"/>
        <v/>
      </c>
      <c r="AA203" s="4" t="str">
        <f t="shared" si="45"/>
        <v/>
      </c>
      <c r="AB203" s="4" t="str">
        <f t="shared" si="45"/>
        <v/>
      </c>
      <c r="AC203" s="5" t="str">
        <f t="shared" si="45"/>
        <v/>
      </c>
      <c r="AD203" s="3" t="str">
        <f t="shared" si="43"/>
        <v/>
      </c>
      <c r="AE203" s="4" t="str">
        <f t="shared" si="43"/>
        <v/>
      </c>
      <c r="AF203" s="4" t="str">
        <f t="shared" si="43"/>
        <v/>
      </c>
      <c r="AG203" s="4" t="str">
        <f t="shared" si="43"/>
        <v/>
      </c>
      <c r="AH203" s="4" t="str">
        <f t="shared" si="43"/>
        <v/>
      </c>
      <c r="AI203" s="4" t="str">
        <f t="shared" si="43"/>
        <v/>
      </c>
      <c r="AJ203" s="4" t="str">
        <f t="shared" si="43"/>
        <v/>
      </c>
      <c r="AK203" s="4" t="str">
        <f t="shared" si="43"/>
        <v/>
      </c>
      <c r="AL203" s="4" t="str">
        <f t="shared" si="34"/>
        <v/>
      </c>
      <c r="AM203" s="4" t="str">
        <f t="shared" si="46"/>
        <v/>
      </c>
      <c r="AN203" s="4" t="str">
        <f t="shared" si="46"/>
        <v/>
      </c>
      <c r="AO203" s="4" t="str">
        <f t="shared" si="46"/>
        <v/>
      </c>
      <c r="AP203" s="4" t="str">
        <f t="shared" si="46"/>
        <v/>
      </c>
      <c r="AQ203" s="4" t="str">
        <f t="shared" si="46"/>
        <v/>
      </c>
      <c r="AR203" s="4" t="str">
        <f t="shared" si="46"/>
        <v/>
      </c>
      <c r="AS203" s="5" t="str">
        <f t="shared" si="46"/>
        <v/>
      </c>
      <c r="AT203" s="3" t="str">
        <f t="shared" si="44"/>
        <v/>
      </c>
      <c r="AU203" s="4" t="str">
        <f t="shared" si="44"/>
        <v/>
      </c>
      <c r="AV203" s="4" t="str">
        <f t="shared" si="44"/>
        <v/>
      </c>
      <c r="AW203" s="4" t="str">
        <f t="shared" si="44"/>
        <v/>
      </c>
      <c r="AX203" s="4">
        <f t="shared" si="44"/>
        <v>1</v>
      </c>
      <c r="AY203" s="4" t="str">
        <f t="shared" si="44"/>
        <v/>
      </c>
      <c r="AZ203" s="4" t="str">
        <f t="shared" si="44"/>
        <v/>
      </c>
      <c r="BA203" s="4" t="str">
        <f t="shared" si="44"/>
        <v/>
      </c>
      <c r="BB203" s="4" t="str">
        <f t="shared" si="35"/>
        <v/>
      </c>
      <c r="BC203" s="4" t="str">
        <f t="shared" si="47"/>
        <v/>
      </c>
      <c r="BD203" s="4" t="str">
        <f t="shared" si="47"/>
        <v/>
      </c>
      <c r="BE203" s="4" t="str">
        <f t="shared" si="47"/>
        <v/>
      </c>
      <c r="BF203" s="4" t="str">
        <f t="shared" si="47"/>
        <v/>
      </c>
      <c r="BG203" s="4" t="str">
        <f t="shared" si="47"/>
        <v/>
      </c>
      <c r="BH203" s="4" t="str">
        <f t="shared" si="47"/>
        <v/>
      </c>
      <c r="BI203" s="5" t="str">
        <f t="shared" si="47"/>
        <v/>
      </c>
    </row>
    <row r="204" spans="1:61" x14ac:dyDescent="0.25">
      <c r="A204">
        <v>694485</v>
      </c>
      <c r="B204" t="s">
        <v>15</v>
      </c>
      <c r="C204" t="s">
        <v>16</v>
      </c>
      <c r="D204">
        <v>51079</v>
      </c>
      <c r="E204">
        <v>557</v>
      </c>
      <c r="F204">
        <v>1</v>
      </c>
      <c r="G204">
        <v>20132</v>
      </c>
      <c r="H204" t="s">
        <v>0</v>
      </c>
      <c r="I204">
        <v>7</v>
      </c>
      <c r="J204">
        <v>7</v>
      </c>
      <c r="K204">
        <v>85.86</v>
      </c>
      <c r="L204">
        <v>85.86</v>
      </c>
      <c r="M204">
        <v>0</v>
      </c>
      <c r="N204" s="3" t="str">
        <f t="shared" si="42"/>
        <v/>
      </c>
      <c r="O204" s="4" t="str">
        <f t="shared" si="42"/>
        <v/>
      </c>
      <c r="P204" s="4" t="str">
        <f t="shared" si="42"/>
        <v/>
      </c>
      <c r="Q204" s="4" t="str">
        <f t="shared" si="42"/>
        <v/>
      </c>
      <c r="R204" s="4" t="str">
        <f t="shared" si="42"/>
        <v/>
      </c>
      <c r="S204" s="4" t="str">
        <f t="shared" si="42"/>
        <v/>
      </c>
      <c r="T204" s="4" t="str">
        <f t="shared" si="42"/>
        <v/>
      </c>
      <c r="U204" s="4" t="str">
        <f t="shared" si="42"/>
        <v/>
      </c>
      <c r="V204" s="4" t="str">
        <f t="shared" si="33"/>
        <v/>
      </c>
      <c r="W204" s="4" t="str">
        <f t="shared" si="45"/>
        <v/>
      </c>
      <c r="X204" s="4" t="str">
        <f t="shared" si="45"/>
        <v/>
      </c>
      <c r="Y204" s="4" t="str">
        <f t="shared" si="45"/>
        <v/>
      </c>
      <c r="Z204" s="4" t="str">
        <f t="shared" si="45"/>
        <v/>
      </c>
      <c r="AA204" s="4" t="str">
        <f t="shared" si="45"/>
        <v/>
      </c>
      <c r="AB204" s="4" t="str">
        <f t="shared" si="45"/>
        <v/>
      </c>
      <c r="AC204" s="5" t="str">
        <f t="shared" si="45"/>
        <v/>
      </c>
      <c r="AD204" s="3" t="str">
        <f t="shared" si="43"/>
        <v/>
      </c>
      <c r="AE204" s="4" t="str">
        <f t="shared" si="43"/>
        <v/>
      </c>
      <c r="AF204" s="4" t="str">
        <f t="shared" si="43"/>
        <v/>
      </c>
      <c r="AG204" s="4" t="str">
        <f t="shared" si="43"/>
        <v/>
      </c>
      <c r="AH204" s="4" t="str">
        <f t="shared" si="43"/>
        <v/>
      </c>
      <c r="AI204" s="4" t="str">
        <f t="shared" si="43"/>
        <v/>
      </c>
      <c r="AJ204" s="4" t="str">
        <f t="shared" si="43"/>
        <v/>
      </c>
      <c r="AK204" s="4" t="str">
        <f t="shared" si="43"/>
        <v/>
      </c>
      <c r="AL204" s="4" t="str">
        <f t="shared" si="34"/>
        <v/>
      </c>
      <c r="AM204" s="4" t="str">
        <f t="shared" si="46"/>
        <v/>
      </c>
      <c r="AN204" s="4" t="str">
        <f t="shared" si="46"/>
        <v/>
      </c>
      <c r="AO204" s="4" t="str">
        <f t="shared" si="46"/>
        <v/>
      </c>
      <c r="AP204" s="4" t="str">
        <f t="shared" si="46"/>
        <v/>
      </c>
      <c r="AQ204" s="4" t="str">
        <f t="shared" si="46"/>
        <v/>
      </c>
      <c r="AR204" s="4" t="str">
        <f t="shared" si="46"/>
        <v/>
      </c>
      <c r="AS204" s="5" t="str">
        <f t="shared" si="46"/>
        <v/>
      </c>
      <c r="AT204" s="3" t="str">
        <f t="shared" si="44"/>
        <v/>
      </c>
      <c r="AU204" s="4" t="str">
        <f t="shared" si="44"/>
        <v/>
      </c>
      <c r="AV204" s="4" t="str">
        <f t="shared" si="44"/>
        <v/>
      </c>
      <c r="AW204" s="4" t="str">
        <f t="shared" si="44"/>
        <v/>
      </c>
      <c r="AX204" s="4" t="str">
        <f t="shared" si="44"/>
        <v/>
      </c>
      <c r="AY204" s="4">
        <f t="shared" si="44"/>
        <v>1</v>
      </c>
      <c r="AZ204" s="4" t="str">
        <f t="shared" si="44"/>
        <v/>
      </c>
      <c r="BA204" s="4" t="str">
        <f t="shared" si="44"/>
        <v/>
      </c>
      <c r="BB204" s="4" t="str">
        <f t="shared" si="35"/>
        <v/>
      </c>
      <c r="BC204" s="4" t="str">
        <f t="shared" si="47"/>
        <v/>
      </c>
      <c r="BD204" s="4" t="str">
        <f t="shared" si="47"/>
        <v/>
      </c>
      <c r="BE204" s="4" t="str">
        <f t="shared" si="47"/>
        <v/>
      </c>
      <c r="BF204" s="4" t="str">
        <f t="shared" si="47"/>
        <v/>
      </c>
      <c r="BG204" s="4" t="str">
        <f t="shared" si="47"/>
        <v/>
      </c>
      <c r="BH204" s="4" t="str">
        <f t="shared" si="47"/>
        <v/>
      </c>
      <c r="BI204" s="5" t="str">
        <f t="shared" si="47"/>
        <v/>
      </c>
    </row>
    <row r="205" spans="1:61" x14ac:dyDescent="0.25">
      <c r="A205">
        <v>694486</v>
      </c>
      <c r="B205" t="s">
        <v>15</v>
      </c>
      <c r="C205" t="s">
        <v>16</v>
      </c>
      <c r="D205">
        <v>51079</v>
      </c>
      <c r="E205">
        <v>557</v>
      </c>
      <c r="F205">
        <v>1</v>
      </c>
      <c r="G205">
        <v>20133</v>
      </c>
      <c r="H205" t="s">
        <v>0</v>
      </c>
      <c r="I205">
        <v>10</v>
      </c>
      <c r="J205">
        <v>10</v>
      </c>
      <c r="K205">
        <v>8540.94</v>
      </c>
      <c r="L205">
        <v>8540.94</v>
      </c>
      <c r="M205">
        <v>0</v>
      </c>
      <c r="N205" s="3" t="str">
        <f t="shared" si="42"/>
        <v/>
      </c>
      <c r="O205" s="4" t="str">
        <f t="shared" si="42"/>
        <v/>
      </c>
      <c r="P205" s="4" t="str">
        <f t="shared" si="42"/>
        <v/>
      </c>
      <c r="Q205" s="4" t="str">
        <f t="shared" si="42"/>
        <v/>
      </c>
      <c r="R205" s="4" t="str">
        <f t="shared" si="42"/>
        <v/>
      </c>
      <c r="S205" s="4" t="str">
        <f t="shared" si="42"/>
        <v/>
      </c>
      <c r="T205" s="4" t="str">
        <f t="shared" si="42"/>
        <v/>
      </c>
      <c r="U205" s="4" t="str">
        <f t="shared" si="42"/>
        <v/>
      </c>
      <c r="V205" s="4" t="str">
        <f t="shared" si="33"/>
        <v/>
      </c>
      <c r="W205" s="4" t="str">
        <f t="shared" si="45"/>
        <v/>
      </c>
      <c r="X205" s="4" t="str">
        <f t="shared" si="45"/>
        <v/>
      </c>
      <c r="Y205" s="4" t="str">
        <f t="shared" si="45"/>
        <v/>
      </c>
      <c r="Z205" s="4" t="str">
        <f t="shared" si="45"/>
        <v/>
      </c>
      <c r="AA205" s="4" t="str">
        <f t="shared" si="45"/>
        <v/>
      </c>
      <c r="AB205" s="4" t="str">
        <f t="shared" si="45"/>
        <v/>
      </c>
      <c r="AC205" s="5" t="str">
        <f t="shared" si="45"/>
        <v/>
      </c>
      <c r="AD205" s="3" t="str">
        <f t="shared" si="43"/>
        <v/>
      </c>
      <c r="AE205" s="4" t="str">
        <f t="shared" si="43"/>
        <v/>
      </c>
      <c r="AF205" s="4" t="str">
        <f t="shared" si="43"/>
        <v/>
      </c>
      <c r="AG205" s="4" t="str">
        <f t="shared" si="43"/>
        <v/>
      </c>
      <c r="AH205" s="4" t="str">
        <f t="shared" si="43"/>
        <v/>
      </c>
      <c r="AI205" s="4" t="str">
        <f t="shared" si="43"/>
        <v/>
      </c>
      <c r="AJ205" s="4" t="str">
        <f t="shared" si="43"/>
        <v/>
      </c>
      <c r="AK205" s="4" t="str">
        <f t="shared" si="43"/>
        <v/>
      </c>
      <c r="AL205" s="4" t="str">
        <f t="shared" si="34"/>
        <v/>
      </c>
      <c r="AM205" s="4" t="str">
        <f t="shared" si="46"/>
        <v/>
      </c>
      <c r="AN205" s="4" t="str">
        <f t="shared" si="46"/>
        <v/>
      </c>
      <c r="AO205" s="4" t="str">
        <f t="shared" si="46"/>
        <v/>
      </c>
      <c r="AP205" s="4" t="str">
        <f t="shared" si="46"/>
        <v/>
      </c>
      <c r="AQ205" s="4" t="str">
        <f t="shared" si="46"/>
        <v/>
      </c>
      <c r="AR205" s="4" t="str">
        <f t="shared" si="46"/>
        <v/>
      </c>
      <c r="AS205" s="5" t="str">
        <f t="shared" si="46"/>
        <v/>
      </c>
      <c r="AT205" s="3" t="str">
        <f t="shared" si="44"/>
        <v/>
      </c>
      <c r="AU205" s="4" t="str">
        <f t="shared" si="44"/>
        <v/>
      </c>
      <c r="AV205" s="4" t="str">
        <f t="shared" si="44"/>
        <v/>
      </c>
      <c r="AW205" s="4" t="str">
        <f t="shared" si="44"/>
        <v/>
      </c>
      <c r="AX205" s="4" t="str">
        <f t="shared" si="44"/>
        <v/>
      </c>
      <c r="AY205" s="4" t="str">
        <f t="shared" si="44"/>
        <v/>
      </c>
      <c r="AZ205" s="4">
        <f t="shared" si="44"/>
        <v>1</v>
      </c>
      <c r="BA205" s="4" t="str">
        <f t="shared" si="44"/>
        <v/>
      </c>
      <c r="BB205" s="4" t="str">
        <f t="shared" si="35"/>
        <v/>
      </c>
      <c r="BC205" s="4" t="str">
        <f t="shared" si="47"/>
        <v/>
      </c>
      <c r="BD205" s="4" t="str">
        <f t="shared" si="47"/>
        <v/>
      </c>
      <c r="BE205" s="4" t="str">
        <f t="shared" si="47"/>
        <v/>
      </c>
      <c r="BF205" s="4" t="str">
        <f t="shared" si="47"/>
        <v/>
      </c>
      <c r="BG205" s="4" t="str">
        <f t="shared" si="47"/>
        <v/>
      </c>
      <c r="BH205" s="4" t="str">
        <f t="shared" si="47"/>
        <v/>
      </c>
      <c r="BI205" s="5" t="str">
        <f t="shared" si="47"/>
        <v/>
      </c>
    </row>
    <row r="206" spans="1:61" x14ac:dyDescent="0.25">
      <c r="A206">
        <v>694487</v>
      </c>
      <c r="B206" t="s">
        <v>15</v>
      </c>
      <c r="C206" t="s">
        <v>16</v>
      </c>
      <c r="D206">
        <v>51079</v>
      </c>
      <c r="E206">
        <v>557</v>
      </c>
      <c r="F206">
        <v>1</v>
      </c>
      <c r="G206">
        <v>20134</v>
      </c>
      <c r="H206" t="s">
        <v>0</v>
      </c>
      <c r="I206">
        <v>8</v>
      </c>
      <c r="J206">
        <v>5</v>
      </c>
      <c r="K206">
        <v>28.94</v>
      </c>
      <c r="L206">
        <v>28.94</v>
      </c>
      <c r="M206">
        <v>0</v>
      </c>
      <c r="N206" s="3" t="str">
        <f t="shared" si="42"/>
        <v/>
      </c>
      <c r="O206" s="4" t="str">
        <f t="shared" si="42"/>
        <v/>
      </c>
      <c r="P206" s="4" t="str">
        <f t="shared" si="42"/>
        <v/>
      </c>
      <c r="Q206" s="4" t="str">
        <f t="shared" si="42"/>
        <v/>
      </c>
      <c r="R206" s="4" t="str">
        <f t="shared" si="42"/>
        <v/>
      </c>
      <c r="S206" s="4" t="str">
        <f t="shared" si="42"/>
        <v/>
      </c>
      <c r="T206" s="4" t="str">
        <f t="shared" si="42"/>
        <v/>
      </c>
      <c r="U206" s="4" t="str">
        <f t="shared" si="42"/>
        <v/>
      </c>
      <c r="V206" s="4" t="str">
        <f t="shared" si="33"/>
        <v/>
      </c>
      <c r="W206" s="4" t="str">
        <f t="shared" si="45"/>
        <v/>
      </c>
      <c r="X206" s="4" t="str">
        <f t="shared" si="45"/>
        <v/>
      </c>
      <c r="Y206" s="4" t="str">
        <f t="shared" si="45"/>
        <v/>
      </c>
      <c r="Z206" s="4" t="str">
        <f t="shared" si="45"/>
        <v/>
      </c>
      <c r="AA206" s="4" t="str">
        <f t="shared" si="45"/>
        <v/>
      </c>
      <c r="AB206" s="4" t="str">
        <f t="shared" si="45"/>
        <v/>
      </c>
      <c r="AC206" s="5" t="str">
        <f t="shared" si="45"/>
        <v/>
      </c>
      <c r="AD206" s="3" t="str">
        <f t="shared" si="43"/>
        <v/>
      </c>
      <c r="AE206" s="4" t="str">
        <f t="shared" si="43"/>
        <v/>
      </c>
      <c r="AF206" s="4" t="str">
        <f t="shared" si="43"/>
        <v/>
      </c>
      <c r="AG206" s="4" t="str">
        <f t="shared" si="43"/>
        <v/>
      </c>
      <c r="AH206" s="4" t="str">
        <f t="shared" si="43"/>
        <v/>
      </c>
      <c r="AI206" s="4" t="str">
        <f t="shared" si="43"/>
        <v/>
      </c>
      <c r="AJ206" s="4" t="str">
        <f t="shared" si="43"/>
        <v/>
      </c>
      <c r="AK206" s="4" t="str">
        <f t="shared" si="43"/>
        <v/>
      </c>
      <c r="AL206" s="4" t="str">
        <f t="shared" si="34"/>
        <v/>
      </c>
      <c r="AM206" s="4" t="str">
        <f t="shared" si="46"/>
        <v/>
      </c>
      <c r="AN206" s="4" t="str">
        <f t="shared" si="46"/>
        <v/>
      </c>
      <c r="AO206" s="4" t="str">
        <f t="shared" si="46"/>
        <v/>
      </c>
      <c r="AP206" s="4" t="str">
        <f t="shared" si="46"/>
        <v/>
      </c>
      <c r="AQ206" s="4" t="str">
        <f t="shared" si="46"/>
        <v/>
      </c>
      <c r="AR206" s="4" t="str">
        <f t="shared" si="46"/>
        <v/>
      </c>
      <c r="AS206" s="5" t="str">
        <f t="shared" si="46"/>
        <v/>
      </c>
      <c r="AT206" s="3" t="str">
        <f t="shared" si="44"/>
        <v/>
      </c>
      <c r="AU206" s="4" t="str">
        <f t="shared" si="44"/>
        <v/>
      </c>
      <c r="AV206" s="4" t="str">
        <f t="shared" si="44"/>
        <v/>
      </c>
      <c r="AW206" s="4" t="str">
        <f t="shared" si="44"/>
        <v/>
      </c>
      <c r="AX206" s="4" t="str">
        <f t="shared" si="44"/>
        <v/>
      </c>
      <c r="AY206" s="4" t="str">
        <f t="shared" si="44"/>
        <v/>
      </c>
      <c r="AZ206" s="4" t="str">
        <f t="shared" si="44"/>
        <v/>
      </c>
      <c r="BA206" s="4">
        <f t="shared" si="44"/>
        <v>1</v>
      </c>
      <c r="BB206" s="4" t="str">
        <f t="shared" si="35"/>
        <v/>
      </c>
      <c r="BC206" s="4" t="str">
        <f t="shared" si="47"/>
        <v/>
      </c>
      <c r="BD206" s="4" t="str">
        <f t="shared" si="47"/>
        <v/>
      </c>
      <c r="BE206" s="4" t="str">
        <f t="shared" si="47"/>
        <v/>
      </c>
      <c r="BF206" s="4" t="str">
        <f t="shared" si="47"/>
        <v/>
      </c>
      <c r="BG206" s="4" t="str">
        <f t="shared" si="47"/>
        <v/>
      </c>
      <c r="BH206" s="4" t="str">
        <f t="shared" si="47"/>
        <v/>
      </c>
      <c r="BI206" s="5" t="str">
        <f t="shared" si="47"/>
        <v/>
      </c>
    </row>
    <row r="207" spans="1:61" x14ac:dyDescent="0.25">
      <c r="A207">
        <v>694488</v>
      </c>
      <c r="B207" t="s">
        <v>15</v>
      </c>
      <c r="C207" t="s">
        <v>16</v>
      </c>
      <c r="D207">
        <v>51079</v>
      </c>
      <c r="E207">
        <v>557</v>
      </c>
      <c r="F207">
        <v>20</v>
      </c>
      <c r="G207">
        <v>20131</v>
      </c>
      <c r="H207" t="s">
        <v>0</v>
      </c>
      <c r="I207">
        <v>912</v>
      </c>
      <c r="J207">
        <v>57</v>
      </c>
      <c r="K207">
        <v>7605.11</v>
      </c>
      <c r="L207">
        <v>7605.11</v>
      </c>
      <c r="M207">
        <v>0</v>
      </c>
      <c r="N207" s="3" t="str">
        <f t="shared" si="42"/>
        <v/>
      </c>
      <c r="O207" s="4" t="str">
        <f t="shared" si="42"/>
        <v/>
      </c>
      <c r="P207" s="4" t="str">
        <f t="shared" si="42"/>
        <v/>
      </c>
      <c r="Q207" s="4" t="str">
        <f t="shared" si="42"/>
        <v/>
      </c>
      <c r="R207" s="4" t="str">
        <f t="shared" si="42"/>
        <v/>
      </c>
      <c r="S207" s="4" t="str">
        <f t="shared" si="42"/>
        <v/>
      </c>
      <c r="T207" s="4" t="str">
        <f t="shared" si="42"/>
        <v/>
      </c>
      <c r="U207" s="4" t="str">
        <f t="shared" si="42"/>
        <v/>
      </c>
      <c r="V207" s="4" t="str">
        <f t="shared" si="33"/>
        <v/>
      </c>
      <c r="W207" s="4" t="str">
        <f t="shared" si="45"/>
        <v/>
      </c>
      <c r="X207" s="4" t="str">
        <f t="shared" si="45"/>
        <v/>
      </c>
      <c r="Y207" s="4" t="str">
        <f t="shared" si="45"/>
        <v/>
      </c>
      <c r="Z207" s="4" t="str">
        <f t="shared" si="45"/>
        <v/>
      </c>
      <c r="AA207" s="4" t="str">
        <f t="shared" si="45"/>
        <v/>
      </c>
      <c r="AB207" s="4" t="str">
        <f t="shared" si="45"/>
        <v/>
      </c>
      <c r="AC207" s="5" t="str">
        <f t="shared" si="45"/>
        <v/>
      </c>
      <c r="AD207" s="3" t="str">
        <f t="shared" si="43"/>
        <v/>
      </c>
      <c r="AE207" s="4" t="str">
        <f t="shared" si="43"/>
        <v/>
      </c>
      <c r="AF207" s="4" t="str">
        <f t="shared" si="43"/>
        <v/>
      </c>
      <c r="AG207" s="4" t="str">
        <f t="shared" si="43"/>
        <v/>
      </c>
      <c r="AH207" s="4" t="str">
        <f t="shared" si="43"/>
        <v/>
      </c>
      <c r="AI207" s="4" t="str">
        <f t="shared" si="43"/>
        <v/>
      </c>
      <c r="AJ207" s="4" t="str">
        <f t="shared" si="43"/>
        <v/>
      </c>
      <c r="AK207" s="4" t="str">
        <f t="shared" si="43"/>
        <v/>
      </c>
      <c r="AL207" s="4" t="str">
        <f t="shared" si="34"/>
        <v/>
      </c>
      <c r="AM207" s="4" t="str">
        <f t="shared" si="46"/>
        <v/>
      </c>
      <c r="AN207" s="4" t="str">
        <f t="shared" si="46"/>
        <v/>
      </c>
      <c r="AO207" s="4" t="str">
        <f t="shared" si="46"/>
        <v/>
      </c>
      <c r="AP207" s="4" t="str">
        <f t="shared" si="46"/>
        <v/>
      </c>
      <c r="AQ207" s="4" t="str">
        <f t="shared" si="46"/>
        <v/>
      </c>
      <c r="AR207" s="4" t="str">
        <f t="shared" si="46"/>
        <v/>
      </c>
      <c r="AS207" s="5" t="str">
        <f t="shared" si="46"/>
        <v/>
      </c>
      <c r="AT207" s="3" t="str">
        <f t="shared" si="44"/>
        <v/>
      </c>
      <c r="AU207" s="4" t="str">
        <f t="shared" si="44"/>
        <v/>
      </c>
      <c r="AV207" s="4" t="str">
        <f t="shared" si="44"/>
        <v/>
      </c>
      <c r="AW207" s="4" t="str">
        <f t="shared" si="44"/>
        <v/>
      </c>
      <c r="AX207" s="4">
        <f t="shared" si="44"/>
        <v>1</v>
      </c>
      <c r="AY207" s="4" t="str">
        <f t="shared" si="44"/>
        <v/>
      </c>
      <c r="AZ207" s="4" t="str">
        <f t="shared" si="44"/>
        <v/>
      </c>
      <c r="BA207" s="4" t="str">
        <f t="shared" si="44"/>
        <v/>
      </c>
      <c r="BB207" s="4" t="str">
        <f t="shared" si="35"/>
        <v/>
      </c>
      <c r="BC207" s="4" t="str">
        <f t="shared" si="47"/>
        <v/>
      </c>
      <c r="BD207" s="4" t="str">
        <f t="shared" si="47"/>
        <v/>
      </c>
      <c r="BE207" s="4" t="str">
        <f t="shared" si="47"/>
        <v/>
      </c>
      <c r="BF207" s="4" t="str">
        <f t="shared" si="47"/>
        <v/>
      </c>
      <c r="BG207" s="4" t="str">
        <f t="shared" si="47"/>
        <v/>
      </c>
      <c r="BH207" s="4" t="str">
        <f t="shared" si="47"/>
        <v/>
      </c>
      <c r="BI207" s="5" t="str">
        <f t="shared" si="47"/>
        <v/>
      </c>
    </row>
    <row r="208" spans="1:61" x14ac:dyDescent="0.25">
      <c r="A208">
        <v>694489</v>
      </c>
      <c r="B208" t="s">
        <v>15</v>
      </c>
      <c r="C208" t="s">
        <v>16</v>
      </c>
      <c r="D208">
        <v>51079</v>
      </c>
      <c r="E208">
        <v>557</v>
      </c>
      <c r="F208">
        <v>20</v>
      </c>
      <c r="G208">
        <v>20132</v>
      </c>
      <c r="H208" t="s">
        <v>0</v>
      </c>
      <c r="I208">
        <v>895</v>
      </c>
      <c r="J208">
        <v>86</v>
      </c>
      <c r="K208">
        <v>4744.1499999999996</v>
      </c>
      <c r="L208">
        <v>4744.1499999999996</v>
      </c>
      <c r="M208">
        <v>0</v>
      </c>
      <c r="N208" s="3" t="str">
        <f t="shared" si="42"/>
        <v/>
      </c>
      <c r="O208" s="4" t="str">
        <f t="shared" si="42"/>
        <v/>
      </c>
      <c r="P208" s="4" t="str">
        <f t="shared" si="42"/>
        <v/>
      </c>
      <c r="Q208" s="4" t="str">
        <f t="shared" si="42"/>
        <v/>
      </c>
      <c r="R208" s="4" t="str">
        <f t="shared" si="42"/>
        <v/>
      </c>
      <c r="S208" s="4" t="str">
        <f t="shared" si="42"/>
        <v/>
      </c>
      <c r="T208" s="4" t="str">
        <f t="shared" si="42"/>
        <v/>
      </c>
      <c r="U208" s="4" t="str">
        <f t="shared" si="42"/>
        <v/>
      </c>
      <c r="V208" s="4" t="str">
        <f t="shared" si="33"/>
        <v/>
      </c>
      <c r="W208" s="4" t="str">
        <f t="shared" si="45"/>
        <v/>
      </c>
      <c r="X208" s="4" t="str">
        <f t="shared" si="45"/>
        <v/>
      </c>
      <c r="Y208" s="4" t="str">
        <f t="shared" si="45"/>
        <v/>
      </c>
      <c r="Z208" s="4" t="str">
        <f t="shared" si="45"/>
        <v/>
      </c>
      <c r="AA208" s="4" t="str">
        <f t="shared" si="45"/>
        <v/>
      </c>
      <c r="AB208" s="4" t="str">
        <f t="shared" si="45"/>
        <v/>
      </c>
      <c r="AC208" s="5" t="str">
        <f t="shared" si="45"/>
        <v/>
      </c>
      <c r="AD208" s="3" t="str">
        <f t="shared" si="43"/>
        <v/>
      </c>
      <c r="AE208" s="4" t="str">
        <f t="shared" si="43"/>
        <v/>
      </c>
      <c r="AF208" s="4" t="str">
        <f t="shared" si="43"/>
        <v/>
      </c>
      <c r="AG208" s="4" t="str">
        <f t="shared" si="43"/>
        <v/>
      </c>
      <c r="AH208" s="4" t="str">
        <f t="shared" si="43"/>
        <v/>
      </c>
      <c r="AI208" s="4" t="str">
        <f t="shared" si="43"/>
        <v/>
      </c>
      <c r="AJ208" s="4" t="str">
        <f t="shared" si="43"/>
        <v/>
      </c>
      <c r="AK208" s="4" t="str">
        <f t="shared" si="43"/>
        <v/>
      </c>
      <c r="AL208" s="4" t="str">
        <f t="shared" si="34"/>
        <v/>
      </c>
      <c r="AM208" s="4" t="str">
        <f t="shared" si="46"/>
        <v/>
      </c>
      <c r="AN208" s="4" t="str">
        <f t="shared" si="46"/>
        <v/>
      </c>
      <c r="AO208" s="4" t="str">
        <f t="shared" si="46"/>
        <v/>
      </c>
      <c r="AP208" s="4" t="str">
        <f t="shared" si="46"/>
        <v/>
      </c>
      <c r="AQ208" s="4" t="str">
        <f t="shared" si="46"/>
        <v/>
      </c>
      <c r="AR208" s="4" t="str">
        <f t="shared" si="46"/>
        <v/>
      </c>
      <c r="AS208" s="5" t="str">
        <f t="shared" si="46"/>
        <v/>
      </c>
      <c r="AT208" s="3" t="str">
        <f t="shared" si="44"/>
        <v/>
      </c>
      <c r="AU208" s="4" t="str">
        <f t="shared" si="44"/>
        <v/>
      </c>
      <c r="AV208" s="4" t="str">
        <f t="shared" si="44"/>
        <v/>
      </c>
      <c r="AW208" s="4" t="str">
        <f t="shared" si="44"/>
        <v/>
      </c>
      <c r="AX208" s="4" t="str">
        <f t="shared" si="44"/>
        <v/>
      </c>
      <c r="AY208" s="4">
        <f t="shared" si="44"/>
        <v>1</v>
      </c>
      <c r="AZ208" s="4" t="str">
        <f t="shared" si="44"/>
        <v/>
      </c>
      <c r="BA208" s="4" t="str">
        <f t="shared" si="44"/>
        <v/>
      </c>
      <c r="BB208" s="4" t="str">
        <f t="shared" si="35"/>
        <v/>
      </c>
      <c r="BC208" s="4" t="str">
        <f t="shared" si="47"/>
        <v/>
      </c>
      <c r="BD208" s="4" t="str">
        <f t="shared" si="47"/>
        <v/>
      </c>
      <c r="BE208" s="4" t="str">
        <f t="shared" si="47"/>
        <v/>
      </c>
      <c r="BF208" s="4" t="str">
        <f t="shared" si="47"/>
        <v/>
      </c>
      <c r="BG208" s="4" t="str">
        <f t="shared" si="47"/>
        <v/>
      </c>
      <c r="BH208" s="4" t="str">
        <f t="shared" si="47"/>
        <v/>
      </c>
      <c r="BI208" s="5" t="str">
        <f t="shared" si="47"/>
        <v/>
      </c>
    </row>
    <row r="209" spans="1:61" x14ac:dyDescent="0.25">
      <c r="A209">
        <v>694490</v>
      </c>
      <c r="B209" t="s">
        <v>15</v>
      </c>
      <c r="C209" t="s">
        <v>16</v>
      </c>
      <c r="D209">
        <v>51079</v>
      </c>
      <c r="E209">
        <v>557</v>
      </c>
      <c r="F209">
        <v>20</v>
      </c>
      <c r="G209">
        <v>20133</v>
      </c>
      <c r="H209" t="s">
        <v>0</v>
      </c>
      <c r="I209">
        <v>449</v>
      </c>
      <c r="J209">
        <v>78</v>
      </c>
      <c r="K209">
        <v>1190.98</v>
      </c>
      <c r="L209">
        <v>1190.98</v>
      </c>
      <c r="M209">
        <v>0</v>
      </c>
      <c r="N209" s="3" t="str">
        <f t="shared" si="42"/>
        <v/>
      </c>
      <c r="O209" s="4" t="str">
        <f t="shared" si="42"/>
        <v/>
      </c>
      <c r="P209" s="4" t="str">
        <f t="shared" si="42"/>
        <v/>
      </c>
      <c r="Q209" s="4" t="str">
        <f t="shared" si="42"/>
        <v/>
      </c>
      <c r="R209" s="4" t="str">
        <f t="shared" si="42"/>
        <v/>
      </c>
      <c r="S209" s="4" t="str">
        <f t="shared" si="42"/>
        <v/>
      </c>
      <c r="T209" s="4" t="str">
        <f t="shared" si="42"/>
        <v/>
      </c>
      <c r="U209" s="4" t="str">
        <f t="shared" si="42"/>
        <v/>
      </c>
      <c r="V209" s="4" t="str">
        <f t="shared" si="33"/>
        <v/>
      </c>
      <c r="W209" s="4" t="str">
        <f t="shared" si="45"/>
        <v/>
      </c>
      <c r="X209" s="4" t="str">
        <f t="shared" si="45"/>
        <v/>
      </c>
      <c r="Y209" s="4" t="str">
        <f t="shared" si="45"/>
        <v/>
      </c>
      <c r="Z209" s="4" t="str">
        <f t="shared" si="45"/>
        <v/>
      </c>
      <c r="AA209" s="4" t="str">
        <f t="shared" si="45"/>
        <v/>
      </c>
      <c r="AB209" s="4" t="str">
        <f t="shared" si="45"/>
        <v/>
      </c>
      <c r="AC209" s="5" t="str">
        <f t="shared" si="45"/>
        <v/>
      </c>
      <c r="AD209" s="3" t="str">
        <f t="shared" si="43"/>
        <v/>
      </c>
      <c r="AE209" s="4" t="str">
        <f t="shared" si="43"/>
        <v/>
      </c>
      <c r="AF209" s="4" t="str">
        <f t="shared" si="43"/>
        <v/>
      </c>
      <c r="AG209" s="4" t="str">
        <f t="shared" si="43"/>
        <v/>
      </c>
      <c r="AH209" s="4" t="str">
        <f t="shared" si="43"/>
        <v/>
      </c>
      <c r="AI209" s="4" t="str">
        <f t="shared" si="43"/>
        <v/>
      </c>
      <c r="AJ209" s="4" t="str">
        <f t="shared" si="43"/>
        <v/>
      </c>
      <c r="AK209" s="4" t="str">
        <f t="shared" si="43"/>
        <v/>
      </c>
      <c r="AL209" s="4" t="str">
        <f t="shared" si="34"/>
        <v/>
      </c>
      <c r="AM209" s="4" t="str">
        <f t="shared" si="46"/>
        <v/>
      </c>
      <c r="AN209" s="4" t="str">
        <f t="shared" si="46"/>
        <v/>
      </c>
      <c r="AO209" s="4" t="str">
        <f t="shared" si="46"/>
        <v/>
      </c>
      <c r="AP209" s="4" t="str">
        <f t="shared" si="46"/>
        <v/>
      </c>
      <c r="AQ209" s="4" t="str">
        <f t="shared" si="46"/>
        <v/>
      </c>
      <c r="AR209" s="4" t="str">
        <f t="shared" si="46"/>
        <v/>
      </c>
      <c r="AS209" s="5" t="str">
        <f t="shared" si="46"/>
        <v/>
      </c>
      <c r="AT209" s="3" t="str">
        <f t="shared" si="44"/>
        <v/>
      </c>
      <c r="AU209" s="4" t="str">
        <f t="shared" si="44"/>
        <v/>
      </c>
      <c r="AV209" s="4" t="str">
        <f t="shared" si="44"/>
        <v/>
      </c>
      <c r="AW209" s="4" t="str">
        <f t="shared" si="44"/>
        <v/>
      </c>
      <c r="AX209" s="4" t="str">
        <f t="shared" si="44"/>
        <v/>
      </c>
      <c r="AY209" s="4" t="str">
        <f t="shared" si="44"/>
        <v/>
      </c>
      <c r="AZ209" s="4">
        <f t="shared" si="44"/>
        <v>1</v>
      </c>
      <c r="BA209" s="4" t="str">
        <f t="shared" si="44"/>
        <v/>
      </c>
      <c r="BB209" s="4" t="str">
        <f t="shared" si="35"/>
        <v/>
      </c>
      <c r="BC209" s="4" t="str">
        <f t="shared" si="47"/>
        <v/>
      </c>
      <c r="BD209" s="4" t="str">
        <f t="shared" si="47"/>
        <v/>
      </c>
      <c r="BE209" s="4" t="str">
        <f t="shared" si="47"/>
        <v/>
      </c>
      <c r="BF209" s="4" t="str">
        <f t="shared" si="47"/>
        <v/>
      </c>
      <c r="BG209" s="4" t="str">
        <f t="shared" si="47"/>
        <v/>
      </c>
      <c r="BH209" s="4" t="str">
        <f t="shared" si="47"/>
        <v/>
      </c>
      <c r="BI209" s="5" t="str">
        <f t="shared" si="47"/>
        <v/>
      </c>
    </row>
    <row r="210" spans="1:61" x14ac:dyDescent="0.25">
      <c r="A210">
        <v>694491</v>
      </c>
      <c r="B210" t="s">
        <v>15</v>
      </c>
      <c r="C210" t="s">
        <v>16</v>
      </c>
      <c r="D210">
        <v>51079</v>
      </c>
      <c r="E210">
        <v>557</v>
      </c>
      <c r="F210">
        <v>20</v>
      </c>
      <c r="G210">
        <v>20134</v>
      </c>
      <c r="H210" t="s">
        <v>0</v>
      </c>
      <c r="I210">
        <v>1247</v>
      </c>
      <c r="J210">
        <v>81</v>
      </c>
      <c r="K210">
        <v>433.45</v>
      </c>
      <c r="L210">
        <v>432.45</v>
      </c>
      <c r="M210">
        <v>1</v>
      </c>
      <c r="N210" s="3" t="str">
        <f t="shared" si="42"/>
        <v/>
      </c>
      <c r="O210" s="4" t="str">
        <f t="shared" si="42"/>
        <v/>
      </c>
      <c r="P210" s="4" t="str">
        <f t="shared" si="42"/>
        <v/>
      </c>
      <c r="Q210" s="4" t="str">
        <f t="shared" si="42"/>
        <v/>
      </c>
      <c r="R210" s="4" t="str">
        <f t="shared" si="42"/>
        <v/>
      </c>
      <c r="S210" s="4" t="str">
        <f t="shared" si="42"/>
        <v/>
      </c>
      <c r="T210" s="4" t="str">
        <f t="shared" si="42"/>
        <v/>
      </c>
      <c r="U210" s="4" t="str">
        <f t="shared" si="42"/>
        <v/>
      </c>
      <c r="V210" s="4" t="str">
        <f t="shared" ref="V210:AC273" si="48">IF(AND($B210=V$3, $G210=V$2, LEFT($H210, 6)=V$1), 1, "")</f>
        <v/>
      </c>
      <c r="W210" s="4" t="str">
        <f t="shared" si="45"/>
        <v/>
      </c>
      <c r="X210" s="4" t="str">
        <f t="shared" si="45"/>
        <v/>
      </c>
      <c r="Y210" s="4" t="str">
        <f t="shared" si="45"/>
        <v/>
      </c>
      <c r="Z210" s="4" t="str">
        <f t="shared" si="45"/>
        <v/>
      </c>
      <c r="AA210" s="4" t="str">
        <f t="shared" si="45"/>
        <v/>
      </c>
      <c r="AB210" s="4" t="str">
        <f t="shared" si="45"/>
        <v/>
      </c>
      <c r="AC210" s="5" t="str">
        <f t="shared" si="45"/>
        <v/>
      </c>
      <c r="AD210" s="3" t="str">
        <f t="shared" si="43"/>
        <v/>
      </c>
      <c r="AE210" s="4" t="str">
        <f t="shared" si="43"/>
        <v/>
      </c>
      <c r="AF210" s="4" t="str">
        <f t="shared" si="43"/>
        <v/>
      </c>
      <c r="AG210" s="4" t="str">
        <f t="shared" si="43"/>
        <v/>
      </c>
      <c r="AH210" s="4" t="str">
        <f t="shared" si="43"/>
        <v/>
      </c>
      <c r="AI210" s="4" t="str">
        <f t="shared" si="43"/>
        <v/>
      </c>
      <c r="AJ210" s="4" t="str">
        <f t="shared" si="43"/>
        <v/>
      </c>
      <c r="AK210" s="4" t="str">
        <f t="shared" si="43"/>
        <v/>
      </c>
      <c r="AL210" s="4" t="str">
        <f t="shared" ref="AL210:AS273" si="49">IF(AND($B210=AL$3, $G210=AL$2, LEFT($H210, 6)=AL$1), 1, "")</f>
        <v/>
      </c>
      <c r="AM210" s="4" t="str">
        <f t="shared" si="46"/>
        <v/>
      </c>
      <c r="AN210" s="4" t="str">
        <f t="shared" si="46"/>
        <v/>
      </c>
      <c r="AO210" s="4" t="str">
        <f t="shared" si="46"/>
        <v/>
      </c>
      <c r="AP210" s="4" t="str">
        <f t="shared" si="46"/>
        <v/>
      </c>
      <c r="AQ210" s="4" t="str">
        <f t="shared" si="46"/>
        <v/>
      </c>
      <c r="AR210" s="4" t="str">
        <f t="shared" si="46"/>
        <v/>
      </c>
      <c r="AS210" s="5" t="str">
        <f t="shared" si="46"/>
        <v/>
      </c>
      <c r="AT210" s="3" t="str">
        <f t="shared" si="44"/>
        <v/>
      </c>
      <c r="AU210" s="4" t="str">
        <f t="shared" si="44"/>
        <v/>
      </c>
      <c r="AV210" s="4" t="str">
        <f t="shared" si="44"/>
        <v/>
      </c>
      <c r="AW210" s="4" t="str">
        <f t="shared" si="44"/>
        <v/>
      </c>
      <c r="AX210" s="4" t="str">
        <f t="shared" si="44"/>
        <v/>
      </c>
      <c r="AY210" s="4" t="str">
        <f t="shared" si="44"/>
        <v/>
      </c>
      <c r="AZ210" s="4" t="str">
        <f t="shared" si="44"/>
        <v/>
      </c>
      <c r="BA210" s="4">
        <f t="shared" si="44"/>
        <v>1</v>
      </c>
      <c r="BB210" s="4" t="str">
        <f t="shared" ref="BB210:BI273" si="50">IF(AND($B210=BB$3, $G210=BB$2, LEFT($H210, 6)=BB$1), 1, "")</f>
        <v/>
      </c>
      <c r="BC210" s="4" t="str">
        <f t="shared" si="47"/>
        <v/>
      </c>
      <c r="BD210" s="4" t="str">
        <f t="shared" si="47"/>
        <v/>
      </c>
      <c r="BE210" s="4" t="str">
        <f t="shared" si="47"/>
        <v/>
      </c>
      <c r="BF210" s="4" t="str">
        <f t="shared" si="47"/>
        <v/>
      </c>
      <c r="BG210" s="4" t="str">
        <f t="shared" si="47"/>
        <v/>
      </c>
      <c r="BH210" s="4" t="str">
        <f t="shared" si="47"/>
        <v/>
      </c>
      <c r="BI210" s="5" t="str">
        <f t="shared" si="47"/>
        <v/>
      </c>
    </row>
    <row r="211" spans="1:61" x14ac:dyDescent="0.25">
      <c r="A211">
        <v>319718</v>
      </c>
      <c r="B211" t="s">
        <v>14</v>
      </c>
      <c r="C211" t="s">
        <v>16</v>
      </c>
      <c r="D211">
        <v>51079</v>
      </c>
      <c r="E211">
        <v>558</v>
      </c>
      <c r="F211">
        <v>3</v>
      </c>
      <c r="G211">
        <v>20123</v>
      </c>
      <c r="H211" t="s">
        <v>0</v>
      </c>
      <c r="I211">
        <v>2</v>
      </c>
      <c r="J211">
        <v>1</v>
      </c>
      <c r="K211">
        <v>19.88</v>
      </c>
      <c r="L211">
        <v>19.88</v>
      </c>
      <c r="M211">
        <v>0</v>
      </c>
      <c r="N211" s="3" t="str">
        <f t="shared" si="42"/>
        <v/>
      </c>
      <c r="O211" s="4" t="str">
        <f t="shared" si="42"/>
        <v/>
      </c>
      <c r="P211" s="4" t="str">
        <f t="shared" ref="N211:U243" si="51">IF(AND($B211=P$3, $G211=P$2, $H211=P$1), 1, "")</f>
        <v/>
      </c>
      <c r="Q211" s="4" t="str">
        <f t="shared" si="51"/>
        <v/>
      </c>
      <c r="R211" s="4" t="str">
        <f t="shared" si="51"/>
        <v/>
      </c>
      <c r="S211" s="4" t="str">
        <f t="shared" si="51"/>
        <v/>
      </c>
      <c r="T211" s="4" t="str">
        <f t="shared" si="51"/>
        <v/>
      </c>
      <c r="U211" s="4" t="str">
        <f t="shared" si="51"/>
        <v/>
      </c>
      <c r="V211" s="4" t="str">
        <f t="shared" si="48"/>
        <v/>
      </c>
      <c r="W211" s="4" t="str">
        <f t="shared" si="45"/>
        <v/>
      </c>
      <c r="X211" s="4" t="str">
        <f t="shared" si="45"/>
        <v/>
      </c>
      <c r="Y211" s="4" t="str">
        <f t="shared" si="45"/>
        <v/>
      </c>
      <c r="Z211" s="4" t="str">
        <f t="shared" si="45"/>
        <v/>
      </c>
      <c r="AA211" s="4" t="str">
        <f t="shared" si="45"/>
        <v/>
      </c>
      <c r="AB211" s="4" t="str">
        <f t="shared" si="45"/>
        <v/>
      </c>
      <c r="AC211" s="5" t="str">
        <f t="shared" si="45"/>
        <v/>
      </c>
      <c r="AD211" s="3" t="str">
        <f t="shared" si="43"/>
        <v/>
      </c>
      <c r="AE211" s="4" t="str">
        <f t="shared" si="43"/>
        <v/>
      </c>
      <c r="AF211" s="4">
        <f t="shared" ref="AD211:AK243" si="52">IF(AND($B211=AF$3, $G211=AF$2, $H211=AF$1), 1, "")</f>
        <v>1</v>
      </c>
      <c r="AG211" s="4" t="str">
        <f t="shared" si="52"/>
        <v/>
      </c>
      <c r="AH211" s="4" t="str">
        <f t="shared" si="52"/>
        <v/>
      </c>
      <c r="AI211" s="4" t="str">
        <f t="shared" si="52"/>
        <v/>
      </c>
      <c r="AJ211" s="4" t="str">
        <f t="shared" si="52"/>
        <v/>
      </c>
      <c r="AK211" s="4" t="str">
        <f t="shared" si="52"/>
        <v/>
      </c>
      <c r="AL211" s="4" t="str">
        <f t="shared" si="49"/>
        <v/>
      </c>
      <c r="AM211" s="4" t="str">
        <f t="shared" si="46"/>
        <v/>
      </c>
      <c r="AN211" s="4" t="str">
        <f t="shared" si="46"/>
        <v/>
      </c>
      <c r="AO211" s="4" t="str">
        <f t="shared" si="46"/>
        <v/>
      </c>
      <c r="AP211" s="4" t="str">
        <f t="shared" si="46"/>
        <v/>
      </c>
      <c r="AQ211" s="4" t="str">
        <f t="shared" si="46"/>
        <v/>
      </c>
      <c r="AR211" s="4" t="str">
        <f t="shared" si="46"/>
        <v/>
      </c>
      <c r="AS211" s="5" t="str">
        <f t="shared" si="46"/>
        <v/>
      </c>
      <c r="AT211" s="3" t="str">
        <f t="shared" si="44"/>
        <v/>
      </c>
      <c r="AU211" s="4" t="str">
        <f t="shared" si="44"/>
        <v/>
      </c>
      <c r="AV211" s="4" t="str">
        <f t="shared" ref="AT211:BA243" si="53">IF(AND($B211=AV$3, $G211=AV$2, $H211=AV$1), 1, "")</f>
        <v/>
      </c>
      <c r="AW211" s="4" t="str">
        <f t="shared" si="53"/>
        <v/>
      </c>
      <c r="AX211" s="4" t="str">
        <f t="shared" si="53"/>
        <v/>
      </c>
      <c r="AY211" s="4" t="str">
        <f t="shared" si="53"/>
        <v/>
      </c>
      <c r="AZ211" s="4" t="str">
        <f t="shared" si="53"/>
        <v/>
      </c>
      <c r="BA211" s="4" t="str">
        <f t="shared" si="53"/>
        <v/>
      </c>
      <c r="BB211" s="4" t="str">
        <f t="shared" si="50"/>
        <v/>
      </c>
      <c r="BC211" s="4" t="str">
        <f t="shared" si="47"/>
        <v/>
      </c>
      <c r="BD211" s="4" t="str">
        <f t="shared" si="47"/>
        <v/>
      </c>
      <c r="BE211" s="4" t="str">
        <f t="shared" si="47"/>
        <v/>
      </c>
      <c r="BF211" s="4" t="str">
        <f t="shared" si="47"/>
        <v/>
      </c>
      <c r="BG211" s="4" t="str">
        <f t="shared" si="47"/>
        <v/>
      </c>
      <c r="BH211" s="4" t="str">
        <f t="shared" si="47"/>
        <v/>
      </c>
      <c r="BI211" s="5" t="str">
        <f t="shared" si="47"/>
        <v/>
      </c>
    </row>
    <row r="212" spans="1:61" x14ac:dyDescent="0.25">
      <c r="A212">
        <v>319719</v>
      </c>
      <c r="B212" t="s">
        <v>14</v>
      </c>
      <c r="C212" t="s">
        <v>16</v>
      </c>
      <c r="D212">
        <v>51079</v>
      </c>
      <c r="E212">
        <v>558</v>
      </c>
      <c r="F212">
        <v>3</v>
      </c>
      <c r="G212">
        <v>20124</v>
      </c>
      <c r="H212" t="s">
        <v>0</v>
      </c>
      <c r="I212">
        <v>7</v>
      </c>
      <c r="J212">
        <v>6</v>
      </c>
      <c r="K212">
        <v>115.51</v>
      </c>
      <c r="L212">
        <v>115.51</v>
      </c>
      <c r="M212">
        <v>0</v>
      </c>
      <c r="N212" s="3" t="str">
        <f t="shared" si="51"/>
        <v/>
      </c>
      <c r="O212" s="4" t="str">
        <f t="shared" si="51"/>
        <v/>
      </c>
      <c r="P212" s="4" t="str">
        <f t="shared" si="51"/>
        <v/>
      </c>
      <c r="Q212" s="4" t="str">
        <f t="shared" si="51"/>
        <v/>
      </c>
      <c r="R212" s="4" t="str">
        <f t="shared" si="51"/>
        <v/>
      </c>
      <c r="S212" s="4" t="str">
        <f t="shared" si="51"/>
        <v/>
      </c>
      <c r="T212" s="4" t="str">
        <f t="shared" si="51"/>
        <v/>
      </c>
      <c r="U212" s="4" t="str">
        <f t="shared" si="51"/>
        <v/>
      </c>
      <c r="V212" s="4" t="str">
        <f t="shared" si="48"/>
        <v/>
      </c>
      <c r="W212" s="4" t="str">
        <f t="shared" si="45"/>
        <v/>
      </c>
      <c r="X212" s="4" t="str">
        <f t="shared" si="45"/>
        <v/>
      </c>
      <c r="Y212" s="4" t="str">
        <f t="shared" si="45"/>
        <v/>
      </c>
      <c r="Z212" s="4" t="str">
        <f t="shared" si="45"/>
        <v/>
      </c>
      <c r="AA212" s="4" t="str">
        <f t="shared" si="45"/>
        <v/>
      </c>
      <c r="AB212" s="4" t="str">
        <f t="shared" si="45"/>
        <v/>
      </c>
      <c r="AC212" s="5" t="str">
        <f t="shared" si="45"/>
        <v/>
      </c>
      <c r="AD212" s="3" t="str">
        <f t="shared" si="52"/>
        <v/>
      </c>
      <c r="AE212" s="4" t="str">
        <f t="shared" si="52"/>
        <v/>
      </c>
      <c r="AF212" s="4" t="str">
        <f t="shared" si="52"/>
        <v/>
      </c>
      <c r="AG212" s="4">
        <f t="shared" si="52"/>
        <v>1</v>
      </c>
      <c r="AH212" s="4" t="str">
        <f t="shared" si="52"/>
        <v/>
      </c>
      <c r="AI212" s="4" t="str">
        <f t="shared" si="52"/>
        <v/>
      </c>
      <c r="AJ212" s="4" t="str">
        <f t="shared" si="52"/>
        <v/>
      </c>
      <c r="AK212" s="4" t="str">
        <f t="shared" si="52"/>
        <v/>
      </c>
      <c r="AL212" s="4" t="str">
        <f t="shared" si="49"/>
        <v/>
      </c>
      <c r="AM212" s="4" t="str">
        <f t="shared" si="46"/>
        <v/>
      </c>
      <c r="AN212" s="4" t="str">
        <f t="shared" si="46"/>
        <v/>
      </c>
      <c r="AO212" s="4" t="str">
        <f t="shared" si="46"/>
        <v/>
      </c>
      <c r="AP212" s="4" t="str">
        <f t="shared" si="46"/>
        <v/>
      </c>
      <c r="AQ212" s="4" t="str">
        <f t="shared" si="46"/>
        <v/>
      </c>
      <c r="AR212" s="4" t="str">
        <f t="shared" si="46"/>
        <v/>
      </c>
      <c r="AS212" s="5" t="str">
        <f t="shared" si="46"/>
        <v/>
      </c>
      <c r="AT212" s="3" t="str">
        <f t="shared" si="53"/>
        <v/>
      </c>
      <c r="AU212" s="4" t="str">
        <f t="shared" si="53"/>
        <v/>
      </c>
      <c r="AV212" s="4" t="str">
        <f t="shared" si="53"/>
        <v/>
      </c>
      <c r="AW212" s="4" t="str">
        <f t="shared" si="53"/>
        <v/>
      </c>
      <c r="AX212" s="4" t="str">
        <f t="shared" si="53"/>
        <v/>
      </c>
      <c r="AY212" s="4" t="str">
        <f t="shared" si="53"/>
        <v/>
      </c>
      <c r="AZ212" s="4" t="str">
        <f t="shared" si="53"/>
        <v/>
      </c>
      <c r="BA212" s="4" t="str">
        <f t="shared" si="53"/>
        <v/>
      </c>
      <c r="BB212" s="4" t="str">
        <f t="shared" si="50"/>
        <v/>
      </c>
      <c r="BC212" s="4" t="str">
        <f t="shared" si="47"/>
        <v/>
      </c>
      <c r="BD212" s="4" t="str">
        <f t="shared" si="47"/>
        <v/>
      </c>
      <c r="BE212" s="4" t="str">
        <f t="shared" si="47"/>
        <v/>
      </c>
      <c r="BF212" s="4" t="str">
        <f t="shared" si="47"/>
        <v/>
      </c>
      <c r="BG212" s="4" t="str">
        <f t="shared" si="47"/>
        <v/>
      </c>
      <c r="BH212" s="4" t="str">
        <f t="shared" si="47"/>
        <v/>
      </c>
      <c r="BI212" s="5" t="str">
        <f t="shared" si="47"/>
        <v/>
      </c>
    </row>
    <row r="213" spans="1:61" x14ac:dyDescent="0.25">
      <c r="A213">
        <v>442639</v>
      </c>
      <c r="B213" t="s">
        <v>15</v>
      </c>
      <c r="C213" t="s">
        <v>16</v>
      </c>
      <c r="D213">
        <v>51079</v>
      </c>
      <c r="E213">
        <v>558</v>
      </c>
      <c r="F213">
        <v>3</v>
      </c>
      <c r="G213">
        <v>20122</v>
      </c>
      <c r="H213" t="s">
        <v>0</v>
      </c>
      <c r="I213">
        <v>30</v>
      </c>
      <c r="J213">
        <v>1</v>
      </c>
      <c r="K213">
        <v>626.4</v>
      </c>
      <c r="L213">
        <v>626.4</v>
      </c>
      <c r="M213">
        <v>0</v>
      </c>
      <c r="N213" s="3" t="str">
        <f t="shared" si="51"/>
        <v/>
      </c>
      <c r="O213" s="4" t="str">
        <f t="shared" si="51"/>
        <v/>
      </c>
      <c r="P213" s="4" t="str">
        <f t="shared" si="51"/>
        <v/>
      </c>
      <c r="Q213" s="4" t="str">
        <f t="shared" si="51"/>
        <v/>
      </c>
      <c r="R213" s="4" t="str">
        <f t="shared" si="51"/>
        <v/>
      </c>
      <c r="S213" s="4" t="str">
        <f t="shared" si="51"/>
        <v/>
      </c>
      <c r="T213" s="4" t="str">
        <f t="shared" si="51"/>
        <v/>
      </c>
      <c r="U213" s="4" t="str">
        <f t="shared" si="51"/>
        <v/>
      </c>
      <c r="V213" s="4" t="str">
        <f t="shared" si="48"/>
        <v/>
      </c>
      <c r="W213" s="4" t="str">
        <f t="shared" si="45"/>
        <v/>
      </c>
      <c r="X213" s="4" t="str">
        <f t="shared" si="45"/>
        <v/>
      </c>
      <c r="Y213" s="4" t="str">
        <f t="shared" si="45"/>
        <v/>
      </c>
      <c r="Z213" s="4" t="str">
        <f t="shared" si="45"/>
        <v/>
      </c>
      <c r="AA213" s="4" t="str">
        <f t="shared" si="45"/>
        <v/>
      </c>
      <c r="AB213" s="4" t="str">
        <f t="shared" si="45"/>
        <v/>
      </c>
      <c r="AC213" s="5" t="str">
        <f t="shared" si="45"/>
        <v/>
      </c>
      <c r="AD213" s="3" t="str">
        <f t="shared" si="52"/>
        <v/>
      </c>
      <c r="AE213" s="4" t="str">
        <f t="shared" si="52"/>
        <v/>
      </c>
      <c r="AF213" s="4" t="str">
        <f t="shared" si="52"/>
        <v/>
      </c>
      <c r="AG213" s="4" t="str">
        <f t="shared" si="52"/>
        <v/>
      </c>
      <c r="AH213" s="4" t="str">
        <f t="shared" si="52"/>
        <v/>
      </c>
      <c r="AI213" s="4">
        <f t="shared" si="52"/>
        <v>1</v>
      </c>
      <c r="AJ213" s="4" t="str">
        <f t="shared" si="52"/>
        <v/>
      </c>
      <c r="AK213" s="4" t="str">
        <f t="shared" si="52"/>
        <v/>
      </c>
      <c r="AL213" s="4" t="str">
        <f t="shared" si="49"/>
        <v/>
      </c>
      <c r="AM213" s="4" t="str">
        <f t="shared" si="46"/>
        <v/>
      </c>
      <c r="AN213" s="4" t="str">
        <f t="shared" si="46"/>
        <v/>
      </c>
      <c r="AO213" s="4" t="str">
        <f t="shared" si="46"/>
        <v/>
      </c>
      <c r="AP213" s="4" t="str">
        <f t="shared" si="46"/>
        <v/>
      </c>
      <c r="AQ213" s="4" t="str">
        <f t="shared" si="46"/>
        <v/>
      </c>
      <c r="AR213" s="4" t="str">
        <f t="shared" si="46"/>
        <v/>
      </c>
      <c r="AS213" s="5" t="str">
        <f t="shared" si="46"/>
        <v/>
      </c>
      <c r="AT213" s="3" t="str">
        <f t="shared" si="53"/>
        <v/>
      </c>
      <c r="AU213" s="4" t="str">
        <f t="shared" si="53"/>
        <v/>
      </c>
      <c r="AV213" s="4" t="str">
        <f t="shared" si="53"/>
        <v/>
      </c>
      <c r="AW213" s="4" t="str">
        <f t="shared" si="53"/>
        <v/>
      </c>
      <c r="AX213" s="4" t="str">
        <f t="shared" si="53"/>
        <v/>
      </c>
      <c r="AY213" s="4" t="str">
        <f t="shared" si="53"/>
        <v/>
      </c>
      <c r="AZ213" s="4" t="str">
        <f t="shared" si="53"/>
        <v/>
      </c>
      <c r="BA213" s="4" t="str">
        <f t="shared" si="53"/>
        <v/>
      </c>
      <c r="BB213" s="4" t="str">
        <f t="shared" si="50"/>
        <v/>
      </c>
      <c r="BC213" s="4" t="str">
        <f t="shared" si="47"/>
        <v/>
      </c>
      <c r="BD213" s="4" t="str">
        <f t="shared" si="47"/>
        <v/>
      </c>
      <c r="BE213" s="4" t="str">
        <f t="shared" si="47"/>
        <v/>
      </c>
      <c r="BF213" s="4" t="str">
        <f t="shared" si="47"/>
        <v/>
      </c>
      <c r="BG213" s="4" t="str">
        <f t="shared" si="47"/>
        <v/>
      </c>
      <c r="BH213" s="4" t="str">
        <f t="shared" si="47"/>
        <v/>
      </c>
      <c r="BI213" s="5" t="str">
        <f t="shared" si="47"/>
        <v/>
      </c>
    </row>
    <row r="214" spans="1:61" x14ac:dyDescent="0.25">
      <c r="A214">
        <v>442640</v>
      </c>
      <c r="B214" t="s">
        <v>15</v>
      </c>
      <c r="C214" t="s">
        <v>16</v>
      </c>
      <c r="D214">
        <v>51079</v>
      </c>
      <c r="E214">
        <v>558</v>
      </c>
      <c r="F214">
        <v>3</v>
      </c>
      <c r="G214">
        <v>20123</v>
      </c>
      <c r="H214" t="s">
        <v>0</v>
      </c>
      <c r="I214">
        <v>64</v>
      </c>
      <c r="J214">
        <v>3</v>
      </c>
      <c r="K214">
        <v>1223.33</v>
      </c>
      <c r="L214">
        <v>1223.33</v>
      </c>
      <c r="M214">
        <v>0</v>
      </c>
      <c r="N214" s="3" t="str">
        <f t="shared" si="51"/>
        <v/>
      </c>
      <c r="O214" s="4" t="str">
        <f t="shared" si="51"/>
        <v/>
      </c>
      <c r="P214" s="4" t="str">
        <f t="shared" si="51"/>
        <v/>
      </c>
      <c r="Q214" s="4" t="str">
        <f t="shared" si="51"/>
        <v/>
      </c>
      <c r="R214" s="4" t="str">
        <f t="shared" si="51"/>
        <v/>
      </c>
      <c r="S214" s="4" t="str">
        <f t="shared" si="51"/>
        <v/>
      </c>
      <c r="T214" s="4" t="str">
        <f t="shared" si="51"/>
        <v/>
      </c>
      <c r="U214" s="4" t="str">
        <f t="shared" si="51"/>
        <v/>
      </c>
      <c r="V214" s="4" t="str">
        <f t="shared" si="48"/>
        <v/>
      </c>
      <c r="W214" s="4" t="str">
        <f t="shared" si="45"/>
        <v/>
      </c>
      <c r="X214" s="4" t="str">
        <f t="shared" si="45"/>
        <v/>
      </c>
      <c r="Y214" s="4" t="str">
        <f t="shared" si="45"/>
        <v/>
      </c>
      <c r="Z214" s="4" t="str">
        <f t="shared" si="45"/>
        <v/>
      </c>
      <c r="AA214" s="4" t="str">
        <f t="shared" si="45"/>
        <v/>
      </c>
      <c r="AB214" s="4" t="str">
        <f t="shared" si="45"/>
        <v/>
      </c>
      <c r="AC214" s="5" t="str">
        <f t="shared" si="45"/>
        <v/>
      </c>
      <c r="AD214" s="3" t="str">
        <f t="shared" si="52"/>
        <v/>
      </c>
      <c r="AE214" s="4" t="str">
        <f t="shared" si="52"/>
        <v/>
      </c>
      <c r="AF214" s="4" t="str">
        <f t="shared" si="52"/>
        <v/>
      </c>
      <c r="AG214" s="4" t="str">
        <f t="shared" si="52"/>
        <v/>
      </c>
      <c r="AH214" s="4" t="str">
        <f t="shared" si="52"/>
        <v/>
      </c>
      <c r="AI214" s="4" t="str">
        <f t="shared" si="52"/>
        <v/>
      </c>
      <c r="AJ214" s="4">
        <f t="shared" si="52"/>
        <v>1</v>
      </c>
      <c r="AK214" s="4" t="str">
        <f t="shared" si="52"/>
        <v/>
      </c>
      <c r="AL214" s="4" t="str">
        <f t="shared" si="49"/>
        <v/>
      </c>
      <c r="AM214" s="4" t="str">
        <f t="shared" si="46"/>
        <v/>
      </c>
      <c r="AN214" s="4" t="str">
        <f t="shared" si="46"/>
        <v/>
      </c>
      <c r="AO214" s="4" t="str">
        <f t="shared" si="46"/>
        <v/>
      </c>
      <c r="AP214" s="4" t="str">
        <f t="shared" si="46"/>
        <v/>
      </c>
      <c r="AQ214" s="4" t="str">
        <f t="shared" si="46"/>
        <v/>
      </c>
      <c r="AR214" s="4" t="str">
        <f t="shared" si="46"/>
        <v/>
      </c>
      <c r="AS214" s="5" t="str">
        <f t="shared" si="46"/>
        <v/>
      </c>
      <c r="AT214" s="3" t="str">
        <f t="shared" si="53"/>
        <v/>
      </c>
      <c r="AU214" s="4" t="str">
        <f t="shared" si="53"/>
        <v/>
      </c>
      <c r="AV214" s="4" t="str">
        <f t="shared" si="53"/>
        <v/>
      </c>
      <c r="AW214" s="4" t="str">
        <f t="shared" si="53"/>
        <v/>
      </c>
      <c r="AX214" s="4" t="str">
        <f t="shared" si="53"/>
        <v/>
      </c>
      <c r="AY214" s="4" t="str">
        <f t="shared" si="53"/>
        <v/>
      </c>
      <c r="AZ214" s="4" t="str">
        <f t="shared" si="53"/>
        <v/>
      </c>
      <c r="BA214" s="4" t="str">
        <f t="shared" si="53"/>
        <v/>
      </c>
      <c r="BB214" s="4" t="str">
        <f t="shared" si="50"/>
        <v/>
      </c>
      <c r="BC214" s="4" t="str">
        <f t="shared" si="47"/>
        <v/>
      </c>
      <c r="BD214" s="4" t="str">
        <f t="shared" si="47"/>
        <v/>
      </c>
      <c r="BE214" s="4" t="str">
        <f t="shared" si="47"/>
        <v/>
      </c>
      <c r="BF214" s="4" t="str">
        <f t="shared" si="47"/>
        <v/>
      </c>
      <c r="BG214" s="4" t="str">
        <f t="shared" si="47"/>
        <v/>
      </c>
      <c r="BH214" s="4" t="str">
        <f t="shared" si="47"/>
        <v/>
      </c>
      <c r="BI214" s="5" t="str">
        <f t="shared" si="47"/>
        <v/>
      </c>
    </row>
    <row r="215" spans="1:61" x14ac:dyDescent="0.25">
      <c r="A215">
        <v>442641</v>
      </c>
      <c r="B215" t="s">
        <v>15</v>
      </c>
      <c r="C215" t="s">
        <v>16</v>
      </c>
      <c r="D215">
        <v>51079</v>
      </c>
      <c r="E215">
        <v>558</v>
      </c>
      <c r="F215">
        <v>3</v>
      </c>
      <c r="G215">
        <v>20124</v>
      </c>
      <c r="H215" t="s">
        <v>0</v>
      </c>
      <c r="I215">
        <v>39</v>
      </c>
      <c r="J215">
        <v>6</v>
      </c>
      <c r="K215">
        <v>6366.91</v>
      </c>
      <c r="L215">
        <v>6244.7</v>
      </c>
      <c r="M215">
        <v>122.21</v>
      </c>
      <c r="N215" s="3" t="str">
        <f t="shared" si="51"/>
        <v/>
      </c>
      <c r="O215" s="4" t="str">
        <f t="shared" si="51"/>
        <v/>
      </c>
      <c r="P215" s="4" t="str">
        <f t="shared" si="51"/>
        <v/>
      </c>
      <c r="Q215" s="4" t="str">
        <f t="shared" si="51"/>
        <v/>
      </c>
      <c r="R215" s="4" t="str">
        <f t="shared" si="51"/>
        <v/>
      </c>
      <c r="S215" s="4" t="str">
        <f t="shared" si="51"/>
        <v/>
      </c>
      <c r="T215" s="4" t="str">
        <f t="shared" si="51"/>
        <v/>
      </c>
      <c r="U215" s="4" t="str">
        <f t="shared" si="51"/>
        <v/>
      </c>
      <c r="V215" s="4" t="str">
        <f t="shared" si="48"/>
        <v/>
      </c>
      <c r="W215" s="4" t="str">
        <f t="shared" si="45"/>
        <v/>
      </c>
      <c r="X215" s="4" t="str">
        <f t="shared" si="45"/>
        <v/>
      </c>
      <c r="Y215" s="4" t="str">
        <f t="shared" si="45"/>
        <v/>
      </c>
      <c r="Z215" s="4" t="str">
        <f t="shared" si="45"/>
        <v/>
      </c>
      <c r="AA215" s="4" t="str">
        <f t="shared" si="45"/>
        <v/>
      </c>
      <c r="AB215" s="4" t="str">
        <f t="shared" si="45"/>
        <v/>
      </c>
      <c r="AC215" s="5" t="str">
        <f t="shared" si="45"/>
        <v/>
      </c>
      <c r="AD215" s="3" t="str">
        <f t="shared" si="52"/>
        <v/>
      </c>
      <c r="AE215" s="4" t="str">
        <f t="shared" si="52"/>
        <v/>
      </c>
      <c r="AF215" s="4" t="str">
        <f t="shared" si="52"/>
        <v/>
      </c>
      <c r="AG215" s="4" t="str">
        <f t="shared" si="52"/>
        <v/>
      </c>
      <c r="AH215" s="4" t="str">
        <f t="shared" si="52"/>
        <v/>
      </c>
      <c r="AI215" s="4" t="str">
        <f t="shared" si="52"/>
        <v/>
      </c>
      <c r="AJ215" s="4" t="str">
        <f t="shared" si="52"/>
        <v/>
      </c>
      <c r="AK215" s="4">
        <f t="shared" si="52"/>
        <v>1</v>
      </c>
      <c r="AL215" s="4" t="str">
        <f t="shared" si="49"/>
        <v/>
      </c>
      <c r="AM215" s="4" t="str">
        <f t="shared" si="46"/>
        <v/>
      </c>
      <c r="AN215" s="4" t="str">
        <f t="shared" si="46"/>
        <v/>
      </c>
      <c r="AO215" s="4" t="str">
        <f t="shared" si="46"/>
        <v/>
      </c>
      <c r="AP215" s="4" t="str">
        <f t="shared" si="46"/>
        <v/>
      </c>
      <c r="AQ215" s="4" t="str">
        <f t="shared" si="46"/>
        <v/>
      </c>
      <c r="AR215" s="4" t="str">
        <f t="shared" si="46"/>
        <v/>
      </c>
      <c r="AS215" s="5" t="str">
        <f t="shared" si="46"/>
        <v/>
      </c>
      <c r="AT215" s="3" t="str">
        <f t="shared" si="53"/>
        <v/>
      </c>
      <c r="AU215" s="4" t="str">
        <f t="shared" si="53"/>
        <v/>
      </c>
      <c r="AV215" s="4" t="str">
        <f t="shared" si="53"/>
        <v/>
      </c>
      <c r="AW215" s="4" t="str">
        <f t="shared" si="53"/>
        <v/>
      </c>
      <c r="AX215" s="4" t="str">
        <f t="shared" si="53"/>
        <v/>
      </c>
      <c r="AY215" s="4" t="str">
        <f t="shared" si="53"/>
        <v/>
      </c>
      <c r="AZ215" s="4" t="str">
        <f t="shared" si="53"/>
        <v/>
      </c>
      <c r="BA215" s="4" t="str">
        <f t="shared" si="53"/>
        <v/>
      </c>
      <c r="BB215" s="4" t="str">
        <f t="shared" si="50"/>
        <v/>
      </c>
      <c r="BC215" s="4" t="str">
        <f t="shared" si="47"/>
        <v/>
      </c>
      <c r="BD215" s="4" t="str">
        <f t="shared" si="47"/>
        <v/>
      </c>
      <c r="BE215" s="4" t="str">
        <f t="shared" si="47"/>
        <v/>
      </c>
      <c r="BF215" s="4" t="str">
        <f t="shared" si="47"/>
        <v/>
      </c>
      <c r="BG215" s="4" t="str">
        <f t="shared" si="47"/>
        <v/>
      </c>
      <c r="BH215" s="4" t="str">
        <f t="shared" si="47"/>
        <v/>
      </c>
      <c r="BI215" s="5" t="str">
        <f t="shared" si="47"/>
        <v/>
      </c>
    </row>
    <row r="216" spans="1:61" x14ac:dyDescent="0.25">
      <c r="A216">
        <v>567593</v>
      </c>
      <c r="B216" t="s">
        <v>14</v>
      </c>
      <c r="C216" t="s">
        <v>16</v>
      </c>
      <c r="D216">
        <v>51079</v>
      </c>
      <c r="E216">
        <v>558</v>
      </c>
      <c r="F216">
        <v>1</v>
      </c>
      <c r="G216">
        <v>20131</v>
      </c>
      <c r="H216" t="s">
        <v>0</v>
      </c>
      <c r="I216">
        <v>1</v>
      </c>
      <c r="J216">
        <v>1</v>
      </c>
      <c r="K216">
        <v>9.7200000000000006</v>
      </c>
      <c r="L216">
        <v>9.7200000000000006</v>
      </c>
      <c r="M216">
        <v>0</v>
      </c>
      <c r="N216" s="3" t="str">
        <f t="shared" si="51"/>
        <v/>
      </c>
      <c r="O216" s="4" t="str">
        <f t="shared" si="51"/>
        <v/>
      </c>
      <c r="P216" s="4" t="str">
        <f t="shared" si="51"/>
        <v/>
      </c>
      <c r="Q216" s="4" t="str">
        <f t="shared" si="51"/>
        <v/>
      </c>
      <c r="R216" s="4" t="str">
        <f t="shared" si="51"/>
        <v/>
      </c>
      <c r="S216" s="4" t="str">
        <f t="shared" si="51"/>
        <v/>
      </c>
      <c r="T216" s="4" t="str">
        <f t="shared" si="51"/>
        <v/>
      </c>
      <c r="U216" s="4" t="str">
        <f t="shared" si="51"/>
        <v/>
      </c>
      <c r="V216" s="4" t="str">
        <f t="shared" si="48"/>
        <v/>
      </c>
      <c r="W216" s="4" t="str">
        <f t="shared" si="45"/>
        <v/>
      </c>
      <c r="X216" s="4" t="str">
        <f t="shared" si="45"/>
        <v/>
      </c>
      <c r="Y216" s="4" t="str">
        <f t="shared" si="45"/>
        <v/>
      </c>
      <c r="Z216" s="4" t="str">
        <f t="shared" si="45"/>
        <v/>
      </c>
      <c r="AA216" s="4" t="str">
        <f t="shared" si="45"/>
        <v/>
      </c>
      <c r="AB216" s="4" t="str">
        <f t="shared" si="45"/>
        <v/>
      </c>
      <c r="AC216" s="5" t="str">
        <f t="shared" si="45"/>
        <v/>
      </c>
      <c r="AD216" s="3" t="str">
        <f t="shared" si="52"/>
        <v/>
      </c>
      <c r="AE216" s="4" t="str">
        <f t="shared" si="52"/>
        <v/>
      </c>
      <c r="AF216" s="4" t="str">
        <f t="shared" si="52"/>
        <v/>
      </c>
      <c r="AG216" s="4" t="str">
        <f t="shared" si="52"/>
        <v/>
      </c>
      <c r="AH216" s="4" t="str">
        <f t="shared" si="52"/>
        <v/>
      </c>
      <c r="AI216" s="4" t="str">
        <f t="shared" si="52"/>
        <v/>
      </c>
      <c r="AJ216" s="4" t="str">
        <f t="shared" si="52"/>
        <v/>
      </c>
      <c r="AK216" s="4" t="str">
        <f t="shared" si="52"/>
        <v/>
      </c>
      <c r="AL216" s="4" t="str">
        <f t="shared" si="49"/>
        <v/>
      </c>
      <c r="AM216" s="4" t="str">
        <f t="shared" si="46"/>
        <v/>
      </c>
      <c r="AN216" s="4" t="str">
        <f t="shared" si="46"/>
        <v/>
      </c>
      <c r="AO216" s="4" t="str">
        <f t="shared" si="46"/>
        <v/>
      </c>
      <c r="AP216" s="4" t="str">
        <f t="shared" si="46"/>
        <v/>
      </c>
      <c r="AQ216" s="4" t="str">
        <f t="shared" si="46"/>
        <v/>
      </c>
      <c r="AR216" s="4" t="str">
        <f t="shared" si="46"/>
        <v/>
      </c>
      <c r="AS216" s="5" t="str">
        <f t="shared" si="46"/>
        <v/>
      </c>
      <c r="AT216" s="3">
        <f t="shared" si="53"/>
        <v>1</v>
      </c>
      <c r="AU216" s="4" t="str">
        <f t="shared" si="53"/>
        <v/>
      </c>
      <c r="AV216" s="4" t="str">
        <f t="shared" si="53"/>
        <v/>
      </c>
      <c r="AW216" s="4" t="str">
        <f t="shared" si="53"/>
        <v/>
      </c>
      <c r="AX216" s="4" t="str">
        <f t="shared" si="53"/>
        <v/>
      </c>
      <c r="AY216" s="4" t="str">
        <f t="shared" si="53"/>
        <v/>
      </c>
      <c r="AZ216" s="4" t="str">
        <f t="shared" si="53"/>
        <v/>
      </c>
      <c r="BA216" s="4" t="str">
        <f t="shared" si="53"/>
        <v/>
      </c>
      <c r="BB216" s="4" t="str">
        <f t="shared" si="50"/>
        <v/>
      </c>
      <c r="BC216" s="4" t="str">
        <f t="shared" si="47"/>
        <v/>
      </c>
      <c r="BD216" s="4" t="str">
        <f t="shared" si="47"/>
        <v/>
      </c>
      <c r="BE216" s="4" t="str">
        <f t="shared" si="47"/>
        <v/>
      </c>
      <c r="BF216" s="4" t="str">
        <f t="shared" si="47"/>
        <v/>
      </c>
      <c r="BG216" s="4" t="str">
        <f t="shared" si="47"/>
        <v/>
      </c>
      <c r="BH216" s="4" t="str">
        <f t="shared" si="47"/>
        <v/>
      </c>
      <c r="BI216" s="5" t="str">
        <f t="shared" si="47"/>
        <v/>
      </c>
    </row>
    <row r="217" spans="1:61" x14ac:dyDescent="0.25">
      <c r="A217">
        <v>567594</v>
      </c>
      <c r="B217" t="s">
        <v>14</v>
      </c>
      <c r="C217" t="s">
        <v>16</v>
      </c>
      <c r="D217">
        <v>51079</v>
      </c>
      <c r="E217">
        <v>558</v>
      </c>
      <c r="F217">
        <v>3</v>
      </c>
      <c r="G217">
        <v>20131</v>
      </c>
      <c r="H217" t="s">
        <v>0</v>
      </c>
      <c r="I217">
        <v>19</v>
      </c>
      <c r="J217">
        <v>13</v>
      </c>
      <c r="K217">
        <v>527.57000000000005</v>
      </c>
      <c r="L217">
        <v>527.57000000000005</v>
      </c>
      <c r="M217">
        <v>0</v>
      </c>
      <c r="N217" s="3" t="str">
        <f t="shared" si="51"/>
        <v/>
      </c>
      <c r="O217" s="4" t="str">
        <f t="shared" si="51"/>
        <v/>
      </c>
      <c r="P217" s="4" t="str">
        <f t="shared" si="51"/>
        <v/>
      </c>
      <c r="Q217" s="4" t="str">
        <f t="shared" si="51"/>
        <v/>
      </c>
      <c r="R217" s="4" t="str">
        <f t="shared" si="51"/>
        <v/>
      </c>
      <c r="S217" s="4" t="str">
        <f t="shared" si="51"/>
        <v/>
      </c>
      <c r="T217" s="4" t="str">
        <f t="shared" si="51"/>
        <v/>
      </c>
      <c r="U217" s="4" t="str">
        <f t="shared" si="51"/>
        <v/>
      </c>
      <c r="V217" s="4" t="str">
        <f t="shared" si="48"/>
        <v/>
      </c>
      <c r="W217" s="4" t="str">
        <f t="shared" si="45"/>
        <v/>
      </c>
      <c r="X217" s="4" t="str">
        <f t="shared" si="45"/>
        <v/>
      </c>
      <c r="Y217" s="4" t="str">
        <f t="shared" si="45"/>
        <v/>
      </c>
      <c r="Z217" s="4" t="str">
        <f t="shared" si="45"/>
        <v/>
      </c>
      <c r="AA217" s="4" t="str">
        <f t="shared" si="45"/>
        <v/>
      </c>
      <c r="AB217" s="4" t="str">
        <f t="shared" si="45"/>
        <v/>
      </c>
      <c r="AC217" s="5" t="str">
        <f t="shared" si="45"/>
        <v/>
      </c>
      <c r="AD217" s="3" t="str">
        <f t="shared" si="52"/>
        <v/>
      </c>
      <c r="AE217" s="4" t="str">
        <f t="shared" si="52"/>
        <v/>
      </c>
      <c r="AF217" s="4" t="str">
        <f t="shared" si="52"/>
        <v/>
      </c>
      <c r="AG217" s="4" t="str">
        <f t="shared" si="52"/>
        <v/>
      </c>
      <c r="AH217" s="4" t="str">
        <f t="shared" si="52"/>
        <v/>
      </c>
      <c r="AI217" s="4" t="str">
        <f t="shared" si="52"/>
        <v/>
      </c>
      <c r="AJ217" s="4" t="str">
        <f t="shared" si="52"/>
        <v/>
      </c>
      <c r="AK217" s="4" t="str">
        <f t="shared" si="52"/>
        <v/>
      </c>
      <c r="AL217" s="4" t="str">
        <f t="shared" si="49"/>
        <v/>
      </c>
      <c r="AM217" s="4" t="str">
        <f t="shared" si="46"/>
        <v/>
      </c>
      <c r="AN217" s="4" t="str">
        <f t="shared" si="46"/>
        <v/>
      </c>
      <c r="AO217" s="4" t="str">
        <f t="shared" si="46"/>
        <v/>
      </c>
      <c r="AP217" s="4" t="str">
        <f t="shared" si="46"/>
        <v/>
      </c>
      <c r="AQ217" s="4" t="str">
        <f t="shared" si="46"/>
        <v/>
      </c>
      <c r="AR217" s="4" t="str">
        <f t="shared" si="46"/>
        <v/>
      </c>
      <c r="AS217" s="5" t="str">
        <f t="shared" si="46"/>
        <v/>
      </c>
      <c r="AT217" s="3">
        <f t="shared" si="53"/>
        <v>1</v>
      </c>
      <c r="AU217" s="4" t="str">
        <f t="shared" si="53"/>
        <v/>
      </c>
      <c r="AV217" s="4" t="str">
        <f t="shared" si="53"/>
        <v/>
      </c>
      <c r="AW217" s="4" t="str">
        <f t="shared" si="53"/>
        <v/>
      </c>
      <c r="AX217" s="4" t="str">
        <f t="shared" si="53"/>
        <v/>
      </c>
      <c r="AY217" s="4" t="str">
        <f t="shared" si="53"/>
        <v/>
      </c>
      <c r="AZ217" s="4" t="str">
        <f t="shared" si="53"/>
        <v/>
      </c>
      <c r="BA217" s="4" t="str">
        <f t="shared" si="53"/>
        <v/>
      </c>
      <c r="BB217" s="4" t="str">
        <f t="shared" si="50"/>
        <v/>
      </c>
      <c r="BC217" s="4" t="str">
        <f t="shared" si="47"/>
        <v/>
      </c>
      <c r="BD217" s="4" t="str">
        <f t="shared" si="47"/>
        <v/>
      </c>
      <c r="BE217" s="4" t="str">
        <f t="shared" si="47"/>
        <v/>
      </c>
      <c r="BF217" s="4" t="str">
        <f t="shared" si="47"/>
        <v/>
      </c>
      <c r="BG217" s="4" t="str">
        <f t="shared" si="47"/>
        <v/>
      </c>
      <c r="BH217" s="4" t="str">
        <f t="shared" si="47"/>
        <v/>
      </c>
      <c r="BI217" s="5" t="str">
        <f t="shared" si="47"/>
        <v/>
      </c>
    </row>
    <row r="218" spans="1:61" x14ac:dyDescent="0.25">
      <c r="A218">
        <v>567595</v>
      </c>
      <c r="B218" t="s">
        <v>14</v>
      </c>
      <c r="C218" t="s">
        <v>16</v>
      </c>
      <c r="D218">
        <v>51079</v>
      </c>
      <c r="E218">
        <v>558</v>
      </c>
      <c r="F218">
        <v>3</v>
      </c>
      <c r="G218">
        <v>20132</v>
      </c>
      <c r="H218" t="s">
        <v>0</v>
      </c>
      <c r="I218">
        <v>6</v>
      </c>
      <c r="J218">
        <v>5</v>
      </c>
      <c r="K218">
        <v>128.37</v>
      </c>
      <c r="L218">
        <v>128.37</v>
      </c>
      <c r="M218">
        <v>0</v>
      </c>
      <c r="N218" s="3" t="str">
        <f t="shared" si="51"/>
        <v/>
      </c>
      <c r="O218" s="4" t="str">
        <f t="shared" si="51"/>
        <v/>
      </c>
      <c r="P218" s="4" t="str">
        <f t="shared" si="51"/>
        <v/>
      </c>
      <c r="Q218" s="4" t="str">
        <f t="shared" si="51"/>
        <v/>
      </c>
      <c r="R218" s="4" t="str">
        <f t="shared" si="51"/>
        <v/>
      </c>
      <c r="S218" s="4" t="str">
        <f t="shared" si="51"/>
        <v/>
      </c>
      <c r="T218" s="4" t="str">
        <f t="shared" si="51"/>
        <v/>
      </c>
      <c r="U218" s="4" t="str">
        <f t="shared" si="51"/>
        <v/>
      </c>
      <c r="V218" s="4" t="str">
        <f t="shared" si="48"/>
        <v/>
      </c>
      <c r="W218" s="4" t="str">
        <f t="shared" si="45"/>
        <v/>
      </c>
      <c r="X218" s="4" t="str">
        <f t="shared" si="45"/>
        <v/>
      </c>
      <c r="Y218" s="4" t="str">
        <f t="shared" si="45"/>
        <v/>
      </c>
      <c r="Z218" s="4" t="str">
        <f t="shared" si="45"/>
        <v/>
      </c>
      <c r="AA218" s="4" t="str">
        <f t="shared" si="45"/>
        <v/>
      </c>
      <c r="AB218" s="4" t="str">
        <f t="shared" si="45"/>
        <v/>
      </c>
      <c r="AC218" s="5" t="str">
        <f t="shared" si="45"/>
        <v/>
      </c>
      <c r="AD218" s="3" t="str">
        <f t="shared" si="52"/>
        <v/>
      </c>
      <c r="AE218" s="4" t="str">
        <f t="shared" si="52"/>
        <v/>
      </c>
      <c r="AF218" s="4" t="str">
        <f t="shared" si="52"/>
        <v/>
      </c>
      <c r="AG218" s="4" t="str">
        <f t="shared" si="52"/>
        <v/>
      </c>
      <c r="AH218" s="4" t="str">
        <f t="shared" si="52"/>
        <v/>
      </c>
      <c r="AI218" s="4" t="str">
        <f t="shared" si="52"/>
        <v/>
      </c>
      <c r="AJ218" s="4" t="str">
        <f t="shared" si="52"/>
        <v/>
      </c>
      <c r="AK218" s="4" t="str">
        <f t="shared" si="52"/>
        <v/>
      </c>
      <c r="AL218" s="4" t="str">
        <f t="shared" si="49"/>
        <v/>
      </c>
      <c r="AM218" s="4" t="str">
        <f t="shared" si="46"/>
        <v/>
      </c>
      <c r="AN218" s="4" t="str">
        <f t="shared" si="46"/>
        <v/>
      </c>
      <c r="AO218" s="4" t="str">
        <f t="shared" si="46"/>
        <v/>
      </c>
      <c r="AP218" s="4" t="str">
        <f t="shared" si="46"/>
        <v/>
      </c>
      <c r="AQ218" s="4" t="str">
        <f t="shared" si="46"/>
        <v/>
      </c>
      <c r="AR218" s="4" t="str">
        <f t="shared" si="46"/>
        <v/>
      </c>
      <c r="AS218" s="5" t="str">
        <f t="shared" si="46"/>
        <v/>
      </c>
      <c r="AT218" s="3" t="str">
        <f t="shared" si="53"/>
        <v/>
      </c>
      <c r="AU218" s="4">
        <f t="shared" si="53"/>
        <v>1</v>
      </c>
      <c r="AV218" s="4" t="str">
        <f t="shared" si="53"/>
        <v/>
      </c>
      <c r="AW218" s="4" t="str">
        <f t="shared" si="53"/>
        <v/>
      </c>
      <c r="AX218" s="4" t="str">
        <f t="shared" si="53"/>
        <v/>
      </c>
      <c r="AY218" s="4" t="str">
        <f t="shared" si="53"/>
        <v/>
      </c>
      <c r="AZ218" s="4" t="str">
        <f t="shared" si="53"/>
        <v/>
      </c>
      <c r="BA218" s="4" t="str">
        <f t="shared" si="53"/>
        <v/>
      </c>
      <c r="BB218" s="4" t="str">
        <f t="shared" si="50"/>
        <v/>
      </c>
      <c r="BC218" s="4" t="str">
        <f t="shared" si="47"/>
        <v/>
      </c>
      <c r="BD218" s="4" t="str">
        <f t="shared" si="47"/>
        <v/>
      </c>
      <c r="BE218" s="4" t="str">
        <f t="shared" si="47"/>
        <v/>
      </c>
      <c r="BF218" s="4" t="str">
        <f t="shared" si="47"/>
        <v/>
      </c>
      <c r="BG218" s="4" t="str">
        <f t="shared" si="47"/>
        <v/>
      </c>
      <c r="BH218" s="4" t="str">
        <f t="shared" si="47"/>
        <v/>
      </c>
      <c r="BI218" s="5" t="str">
        <f t="shared" si="47"/>
        <v/>
      </c>
    </row>
    <row r="219" spans="1:61" x14ac:dyDescent="0.25">
      <c r="A219">
        <v>567596</v>
      </c>
      <c r="B219" t="s">
        <v>14</v>
      </c>
      <c r="C219" t="s">
        <v>16</v>
      </c>
      <c r="D219">
        <v>51079</v>
      </c>
      <c r="E219">
        <v>558</v>
      </c>
      <c r="F219">
        <v>3</v>
      </c>
      <c r="G219">
        <v>20133</v>
      </c>
      <c r="H219" t="s">
        <v>0</v>
      </c>
      <c r="I219">
        <v>5</v>
      </c>
      <c r="J219">
        <v>4</v>
      </c>
      <c r="K219">
        <v>193.44</v>
      </c>
      <c r="L219">
        <v>193.44</v>
      </c>
      <c r="M219">
        <v>0</v>
      </c>
      <c r="N219" s="3" t="str">
        <f t="shared" si="51"/>
        <v/>
      </c>
      <c r="O219" s="4" t="str">
        <f t="shared" si="51"/>
        <v/>
      </c>
      <c r="P219" s="4" t="str">
        <f t="shared" si="51"/>
        <v/>
      </c>
      <c r="Q219" s="4" t="str">
        <f t="shared" si="51"/>
        <v/>
      </c>
      <c r="R219" s="4" t="str">
        <f t="shared" si="51"/>
        <v/>
      </c>
      <c r="S219" s="4" t="str">
        <f t="shared" si="51"/>
        <v/>
      </c>
      <c r="T219" s="4" t="str">
        <f t="shared" si="51"/>
        <v/>
      </c>
      <c r="U219" s="4" t="str">
        <f t="shared" si="51"/>
        <v/>
      </c>
      <c r="V219" s="4" t="str">
        <f t="shared" si="48"/>
        <v/>
      </c>
      <c r="W219" s="4" t="str">
        <f t="shared" si="45"/>
        <v/>
      </c>
      <c r="X219" s="4" t="str">
        <f t="shared" si="45"/>
        <v/>
      </c>
      <c r="Y219" s="4" t="str">
        <f t="shared" si="45"/>
        <v/>
      </c>
      <c r="Z219" s="4" t="str">
        <f t="shared" si="45"/>
        <v/>
      </c>
      <c r="AA219" s="4" t="str">
        <f t="shared" si="45"/>
        <v/>
      </c>
      <c r="AB219" s="4" t="str">
        <f t="shared" si="45"/>
        <v/>
      </c>
      <c r="AC219" s="5" t="str">
        <f t="shared" si="45"/>
        <v/>
      </c>
      <c r="AD219" s="3" t="str">
        <f t="shared" si="52"/>
        <v/>
      </c>
      <c r="AE219" s="4" t="str">
        <f t="shared" si="52"/>
        <v/>
      </c>
      <c r="AF219" s="4" t="str">
        <f t="shared" si="52"/>
        <v/>
      </c>
      <c r="AG219" s="4" t="str">
        <f t="shared" si="52"/>
        <v/>
      </c>
      <c r="AH219" s="4" t="str">
        <f t="shared" si="52"/>
        <v/>
      </c>
      <c r="AI219" s="4" t="str">
        <f t="shared" si="52"/>
        <v/>
      </c>
      <c r="AJ219" s="4" t="str">
        <f t="shared" si="52"/>
        <v/>
      </c>
      <c r="AK219" s="4" t="str">
        <f t="shared" si="52"/>
        <v/>
      </c>
      <c r="AL219" s="4" t="str">
        <f t="shared" si="49"/>
        <v/>
      </c>
      <c r="AM219" s="4" t="str">
        <f t="shared" si="46"/>
        <v/>
      </c>
      <c r="AN219" s="4" t="str">
        <f t="shared" si="46"/>
        <v/>
      </c>
      <c r="AO219" s="4" t="str">
        <f t="shared" si="46"/>
        <v/>
      </c>
      <c r="AP219" s="4" t="str">
        <f t="shared" si="46"/>
        <v/>
      </c>
      <c r="AQ219" s="4" t="str">
        <f t="shared" si="46"/>
        <v/>
      </c>
      <c r="AR219" s="4" t="str">
        <f t="shared" si="46"/>
        <v/>
      </c>
      <c r="AS219" s="5" t="str">
        <f t="shared" si="46"/>
        <v/>
      </c>
      <c r="AT219" s="3" t="str">
        <f t="shared" si="53"/>
        <v/>
      </c>
      <c r="AU219" s="4" t="str">
        <f t="shared" si="53"/>
        <v/>
      </c>
      <c r="AV219" s="4">
        <f t="shared" si="53"/>
        <v>1</v>
      </c>
      <c r="AW219" s="4" t="str">
        <f t="shared" si="53"/>
        <v/>
      </c>
      <c r="AX219" s="4" t="str">
        <f t="shared" si="53"/>
        <v/>
      </c>
      <c r="AY219" s="4" t="str">
        <f t="shared" si="53"/>
        <v/>
      </c>
      <c r="AZ219" s="4" t="str">
        <f t="shared" si="53"/>
        <v/>
      </c>
      <c r="BA219" s="4" t="str">
        <f t="shared" si="53"/>
        <v/>
      </c>
      <c r="BB219" s="4" t="str">
        <f t="shared" si="50"/>
        <v/>
      </c>
      <c r="BC219" s="4" t="str">
        <f t="shared" si="47"/>
        <v/>
      </c>
      <c r="BD219" s="4" t="str">
        <f t="shared" si="47"/>
        <v/>
      </c>
      <c r="BE219" s="4" t="str">
        <f t="shared" si="47"/>
        <v/>
      </c>
      <c r="BF219" s="4" t="str">
        <f t="shared" si="47"/>
        <v/>
      </c>
      <c r="BG219" s="4" t="str">
        <f t="shared" si="47"/>
        <v/>
      </c>
      <c r="BH219" s="4" t="str">
        <f t="shared" si="47"/>
        <v/>
      </c>
      <c r="BI219" s="5" t="str">
        <f t="shared" si="47"/>
        <v/>
      </c>
    </row>
    <row r="220" spans="1:61" x14ac:dyDescent="0.25">
      <c r="A220">
        <v>567597</v>
      </c>
      <c r="B220" t="s">
        <v>14</v>
      </c>
      <c r="C220" t="s">
        <v>16</v>
      </c>
      <c r="D220">
        <v>51079</v>
      </c>
      <c r="E220">
        <v>558</v>
      </c>
      <c r="F220">
        <v>3</v>
      </c>
      <c r="G220">
        <v>20134</v>
      </c>
      <c r="H220" t="s">
        <v>0</v>
      </c>
      <c r="I220">
        <v>3.2</v>
      </c>
      <c r="J220">
        <v>5</v>
      </c>
      <c r="K220">
        <v>107.67</v>
      </c>
      <c r="L220">
        <v>98.76</v>
      </c>
      <c r="M220">
        <v>8.91</v>
      </c>
      <c r="N220" s="3" t="str">
        <f t="shared" si="51"/>
        <v/>
      </c>
      <c r="O220" s="4" t="str">
        <f t="shared" si="51"/>
        <v/>
      </c>
      <c r="P220" s="4" t="str">
        <f t="shared" si="51"/>
        <v/>
      </c>
      <c r="Q220" s="4" t="str">
        <f t="shared" si="51"/>
        <v/>
      </c>
      <c r="R220" s="4" t="str">
        <f t="shared" si="51"/>
        <v/>
      </c>
      <c r="S220" s="4" t="str">
        <f t="shared" si="51"/>
        <v/>
      </c>
      <c r="T220" s="4" t="str">
        <f t="shared" si="51"/>
        <v/>
      </c>
      <c r="U220" s="4" t="str">
        <f t="shared" si="51"/>
        <v/>
      </c>
      <c r="V220" s="4" t="str">
        <f t="shared" si="48"/>
        <v/>
      </c>
      <c r="W220" s="4" t="str">
        <f t="shared" si="45"/>
        <v/>
      </c>
      <c r="X220" s="4" t="str">
        <f t="shared" si="45"/>
        <v/>
      </c>
      <c r="Y220" s="4" t="str">
        <f t="shared" si="45"/>
        <v/>
      </c>
      <c r="Z220" s="4" t="str">
        <f t="shared" si="45"/>
        <v/>
      </c>
      <c r="AA220" s="4" t="str">
        <f t="shared" si="45"/>
        <v/>
      </c>
      <c r="AB220" s="4" t="str">
        <f t="shared" si="45"/>
        <v/>
      </c>
      <c r="AC220" s="5" t="str">
        <f t="shared" si="45"/>
        <v/>
      </c>
      <c r="AD220" s="3" t="str">
        <f t="shared" si="52"/>
        <v/>
      </c>
      <c r="AE220" s="4" t="str">
        <f t="shared" si="52"/>
        <v/>
      </c>
      <c r="AF220" s="4" t="str">
        <f t="shared" si="52"/>
        <v/>
      </c>
      <c r="AG220" s="4" t="str">
        <f t="shared" si="52"/>
        <v/>
      </c>
      <c r="AH220" s="4" t="str">
        <f t="shared" si="52"/>
        <v/>
      </c>
      <c r="AI220" s="4" t="str">
        <f t="shared" si="52"/>
        <v/>
      </c>
      <c r="AJ220" s="4" t="str">
        <f t="shared" si="52"/>
        <v/>
      </c>
      <c r="AK220" s="4" t="str">
        <f t="shared" si="52"/>
        <v/>
      </c>
      <c r="AL220" s="4" t="str">
        <f t="shared" si="49"/>
        <v/>
      </c>
      <c r="AM220" s="4" t="str">
        <f t="shared" si="46"/>
        <v/>
      </c>
      <c r="AN220" s="4" t="str">
        <f t="shared" si="46"/>
        <v/>
      </c>
      <c r="AO220" s="4" t="str">
        <f t="shared" si="46"/>
        <v/>
      </c>
      <c r="AP220" s="4" t="str">
        <f t="shared" si="46"/>
        <v/>
      </c>
      <c r="AQ220" s="4" t="str">
        <f t="shared" si="46"/>
        <v/>
      </c>
      <c r="AR220" s="4" t="str">
        <f t="shared" si="46"/>
        <v/>
      </c>
      <c r="AS220" s="5" t="str">
        <f t="shared" si="46"/>
        <v/>
      </c>
      <c r="AT220" s="3" t="str">
        <f t="shared" si="53"/>
        <v/>
      </c>
      <c r="AU220" s="4" t="str">
        <f t="shared" si="53"/>
        <v/>
      </c>
      <c r="AV220" s="4" t="str">
        <f t="shared" si="53"/>
        <v/>
      </c>
      <c r="AW220" s="4">
        <f t="shared" si="53"/>
        <v>1</v>
      </c>
      <c r="AX220" s="4" t="str">
        <f t="shared" si="53"/>
        <v/>
      </c>
      <c r="AY220" s="4" t="str">
        <f t="shared" si="53"/>
        <v/>
      </c>
      <c r="AZ220" s="4" t="str">
        <f t="shared" si="53"/>
        <v/>
      </c>
      <c r="BA220" s="4" t="str">
        <f t="shared" si="53"/>
        <v/>
      </c>
      <c r="BB220" s="4" t="str">
        <f t="shared" si="50"/>
        <v/>
      </c>
      <c r="BC220" s="4" t="str">
        <f t="shared" si="47"/>
        <v/>
      </c>
      <c r="BD220" s="4" t="str">
        <f t="shared" si="47"/>
        <v/>
      </c>
      <c r="BE220" s="4" t="str">
        <f t="shared" si="47"/>
        <v/>
      </c>
      <c r="BF220" s="4" t="str">
        <f t="shared" si="47"/>
        <v/>
      </c>
      <c r="BG220" s="4" t="str">
        <f t="shared" si="47"/>
        <v/>
      </c>
      <c r="BH220" s="4" t="str">
        <f t="shared" si="47"/>
        <v/>
      </c>
      <c r="BI220" s="5" t="str">
        <f t="shared" si="47"/>
        <v/>
      </c>
    </row>
    <row r="221" spans="1:61" x14ac:dyDescent="0.25">
      <c r="A221">
        <v>694492</v>
      </c>
      <c r="B221" t="s">
        <v>15</v>
      </c>
      <c r="C221" t="s">
        <v>16</v>
      </c>
      <c r="D221">
        <v>51079</v>
      </c>
      <c r="E221">
        <v>558</v>
      </c>
      <c r="F221">
        <v>3</v>
      </c>
      <c r="G221">
        <v>20131</v>
      </c>
      <c r="H221" t="s">
        <v>0</v>
      </c>
      <c r="I221">
        <v>4</v>
      </c>
      <c r="J221">
        <v>3</v>
      </c>
      <c r="K221">
        <v>5523.91</v>
      </c>
      <c r="L221">
        <v>5507.37</v>
      </c>
      <c r="M221">
        <v>16.54</v>
      </c>
      <c r="N221" s="3" t="str">
        <f t="shared" si="51"/>
        <v/>
      </c>
      <c r="O221" s="4" t="str">
        <f t="shared" si="51"/>
        <v/>
      </c>
      <c r="P221" s="4" t="str">
        <f t="shared" si="51"/>
        <v/>
      </c>
      <c r="Q221" s="4" t="str">
        <f t="shared" si="51"/>
        <v/>
      </c>
      <c r="R221" s="4" t="str">
        <f t="shared" si="51"/>
        <v/>
      </c>
      <c r="S221" s="4" t="str">
        <f t="shared" si="51"/>
        <v/>
      </c>
      <c r="T221" s="4" t="str">
        <f t="shared" si="51"/>
        <v/>
      </c>
      <c r="U221" s="4" t="str">
        <f t="shared" si="51"/>
        <v/>
      </c>
      <c r="V221" s="4" t="str">
        <f t="shared" si="48"/>
        <v/>
      </c>
      <c r="W221" s="4" t="str">
        <f t="shared" si="45"/>
        <v/>
      </c>
      <c r="X221" s="4" t="str">
        <f t="shared" si="45"/>
        <v/>
      </c>
      <c r="Y221" s="4" t="str">
        <f t="shared" si="45"/>
        <v/>
      </c>
      <c r="Z221" s="4" t="str">
        <f t="shared" si="45"/>
        <v/>
      </c>
      <c r="AA221" s="4" t="str">
        <f t="shared" si="45"/>
        <v/>
      </c>
      <c r="AB221" s="4" t="str">
        <f t="shared" si="45"/>
        <v/>
      </c>
      <c r="AC221" s="5" t="str">
        <f t="shared" si="45"/>
        <v/>
      </c>
      <c r="AD221" s="3" t="str">
        <f t="shared" si="52"/>
        <v/>
      </c>
      <c r="AE221" s="4" t="str">
        <f t="shared" si="52"/>
        <v/>
      </c>
      <c r="AF221" s="4" t="str">
        <f t="shared" si="52"/>
        <v/>
      </c>
      <c r="AG221" s="4" t="str">
        <f t="shared" si="52"/>
        <v/>
      </c>
      <c r="AH221" s="4" t="str">
        <f t="shared" si="52"/>
        <v/>
      </c>
      <c r="AI221" s="4" t="str">
        <f t="shared" si="52"/>
        <v/>
      </c>
      <c r="AJ221" s="4" t="str">
        <f t="shared" si="52"/>
        <v/>
      </c>
      <c r="AK221" s="4" t="str">
        <f t="shared" si="52"/>
        <v/>
      </c>
      <c r="AL221" s="4" t="str">
        <f t="shared" si="49"/>
        <v/>
      </c>
      <c r="AM221" s="4" t="str">
        <f t="shared" si="46"/>
        <v/>
      </c>
      <c r="AN221" s="4" t="str">
        <f t="shared" si="46"/>
        <v/>
      </c>
      <c r="AO221" s="4" t="str">
        <f t="shared" si="46"/>
        <v/>
      </c>
      <c r="AP221" s="4" t="str">
        <f t="shared" si="46"/>
        <v/>
      </c>
      <c r="AQ221" s="4" t="str">
        <f t="shared" si="46"/>
        <v/>
      </c>
      <c r="AR221" s="4" t="str">
        <f t="shared" si="46"/>
        <v/>
      </c>
      <c r="AS221" s="5" t="str">
        <f t="shared" si="46"/>
        <v/>
      </c>
      <c r="AT221" s="3" t="str">
        <f t="shared" si="53"/>
        <v/>
      </c>
      <c r="AU221" s="4" t="str">
        <f t="shared" si="53"/>
        <v/>
      </c>
      <c r="AV221" s="4" t="str">
        <f t="shared" si="53"/>
        <v/>
      </c>
      <c r="AW221" s="4" t="str">
        <f t="shared" si="53"/>
        <v/>
      </c>
      <c r="AX221" s="4">
        <f t="shared" si="53"/>
        <v>1</v>
      </c>
      <c r="AY221" s="4" t="str">
        <f t="shared" si="53"/>
        <v/>
      </c>
      <c r="AZ221" s="4" t="str">
        <f t="shared" si="53"/>
        <v/>
      </c>
      <c r="BA221" s="4" t="str">
        <f t="shared" si="53"/>
        <v/>
      </c>
      <c r="BB221" s="4" t="str">
        <f t="shared" si="50"/>
        <v/>
      </c>
      <c r="BC221" s="4" t="str">
        <f t="shared" si="47"/>
        <v/>
      </c>
      <c r="BD221" s="4" t="str">
        <f t="shared" si="47"/>
        <v/>
      </c>
      <c r="BE221" s="4" t="str">
        <f t="shared" si="47"/>
        <v/>
      </c>
      <c r="BF221" s="4" t="str">
        <f t="shared" si="47"/>
        <v/>
      </c>
      <c r="BG221" s="4" t="str">
        <f t="shared" si="47"/>
        <v/>
      </c>
      <c r="BH221" s="4" t="str">
        <f t="shared" si="47"/>
        <v/>
      </c>
      <c r="BI221" s="5" t="str">
        <f t="shared" si="47"/>
        <v/>
      </c>
    </row>
    <row r="222" spans="1:61" x14ac:dyDescent="0.25">
      <c r="A222">
        <v>694493</v>
      </c>
      <c r="B222" t="s">
        <v>15</v>
      </c>
      <c r="C222" t="s">
        <v>16</v>
      </c>
      <c r="D222">
        <v>51079</v>
      </c>
      <c r="E222">
        <v>558</v>
      </c>
      <c r="F222">
        <v>3</v>
      </c>
      <c r="G222">
        <v>20132</v>
      </c>
      <c r="H222" t="s">
        <v>0</v>
      </c>
      <c r="I222">
        <v>2</v>
      </c>
      <c r="J222">
        <v>2</v>
      </c>
      <c r="K222">
        <v>1125.82</v>
      </c>
      <c r="L222">
        <v>1104.3</v>
      </c>
      <c r="M222">
        <v>21.52</v>
      </c>
      <c r="N222" s="3" t="str">
        <f t="shared" si="51"/>
        <v/>
      </c>
      <c r="O222" s="4" t="str">
        <f t="shared" si="51"/>
        <v/>
      </c>
      <c r="P222" s="4" t="str">
        <f t="shared" si="51"/>
        <v/>
      </c>
      <c r="Q222" s="4" t="str">
        <f t="shared" si="51"/>
        <v/>
      </c>
      <c r="R222" s="4" t="str">
        <f t="shared" si="51"/>
        <v/>
      </c>
      <c r="S222" s="4" t="str">
        <f t="shared" si="51"/>
        <v/>
      </c>
      <c r="T222" s="4" t="str">
        <f t="shared" si="51"/>
        <v/>
      </c>
      <c r="U222" s="4" t="str">
        <f t="shared" si="51"/>
        <v/>
      </c>
      <c r="V222" s="4" t="str">
        <f t="shared" si="48"/>
        <v/>
      </c>
      <c r="W222" s="4" t="str">
        <f t="shared" si="45"/>
        <v/>
      </c>
      <c r="X222" s="4" t="str">
        <f t="shared" si="45"/>
        <v/>
      </c>
      <c r="Y222" s="4" t="str">
        <f t="shared" si="45"/>
        <v/>
      </c>
      <c r="Z222" s="4" t="str">
        <f t="shared" si="45"/>
        <v/>
      </c>
      <c r="AA222" s="4" t="str">
        <f t="shared" si="45"/>
        <v/>
      </c>
      <c r="AB222" s="4" t="str">
        <f t="shared" si="45"/>
        <v/>
      </c>
      <c r="AC222" s="5" t="str">
        <f t="shared" si="45"/>
        <v/>
      </c>
      <c r="AD222" s="3" t="str">
        <f t="shared" si="52"/>
        <v/>
      </c>
      <c r="AE222" s="4" t="str">
        <f t="shared" si="52"/>
        <v/>
      </c>
      <c r="AF222" s="4" t="str">
        <f t="shared" si="52"/>
        <v/>
      </c>
      <c r="AG222" s="4" t="str">
        <f t="shared" si="52"/>
        <v/>
      </c>
      <c r="AH222" s="4" t="str">
        <f t="shared" si="52"/>
        <v/>
      </c>
      <c r="AI222" s="4" t="str">
        <f t="shared" si="52"/>
        <v/>
      </c>
      <c r="AJ222" s="4" t="str">
        <f t="shared" si="52"/>
        <v/>
      </c>
      <c r="AK222" s="4" t="str">
        <f t="shared" si="52"/>
        <v/>
      </c>
      <c r="AL222" s="4" t="str">
        <f t="shared" si="49"/>
        <v/>
      </c>
      <c r="AM222" s="4" t="str">
        <f t="shared" si="46"/>
        <v/>
      </c>
      <c r="AN222" s="4" t="str">
        <f t="shared" si="46"/>
        <v/>
      </c>
      <c r="AO222" s="4" t="str">
        <f t="shared" si="46"/>
        <v/>
      </c>
      <c r="AP222" s="4" t="str">
        <f t="shared" si="46"/>
        <v/>
      </c>
      <c r="AQ222" s="4" t="str">
        <f t="shared" si="46"/>
        <v/>
      </c>
      <c r="AR222" s="4" t="str">
        <f t="shared" si="46"/>
        <v/>
      </c>
      <c r="AS222" s="5" t="str">
        <f t="shared" si="46"/>
        <v/>
      </c>
      <c r="AT222" s="3" t="str">
        <f t="shared" si="53"/>
        <v/>
      </c>
      <c r="AU222" s="4" t="str">
        <f t="shared" si="53"/>
        <v/>
      </c>
      <c r="AV222" s="4" t="str">
        <f t="shared" si="53"/>
        <v/>
      </c>
      <c r="AW222" s="4" t="str">
        <f t="shared" si="53"/>
        <v/>
      </c>
      <c r="AX222" s="4" t="str">
        <f t="shared" si="53"/>
        <v/>
      </c>
      <c r="AY222" s="4">
        <f t="shared" si="53"/>
        <v>1</v>
      </c>
      <c r="AZ222" s="4" t="str">
        <f t="shared" si="53"/>
        <v/>
      </c>
      <c r="BA222" s="4" t="str">
        <f t="shared" si="53"/>
        <v/>
      </c>
      <c r="BB222" s="4" t="str">
        <f t="shared" si="50"/>
        <v/>
      </c>
      <c r="BC222" s="4" t="str">
        <f t="shared" si="47"/>
        <v/>
      </c>
      <c r="BD222" s="4" t="str">
        <f t="shared" si="47"/>
        <v/>
      </c>
      <c r="BE222" s="4" t="str">
        <f t="shared" si="47"/>
        <v/>
      </c>
      <c r="BF222" s="4" t="str">
        <f t="shared" si="47"/>
        <v/>
      </c>
      <c r="BG222" s="4" t="str">
        <f t="shared" si="47"/>
        <v/>
      </c>
      <c r="BH222" s="4" t="str">
        <f t="shared" si="47"/>
        <v/>
      </c>
      <c r="BI222" s="5" t="str">
        <f t="shared" si="47"/>
        <v/>
      </c>
    </row>
    <row r="223" spans="1:61" x14ac:dyDescent="0.25">
      <c r="A223">
        <v>694494</v>
      </c>
      <c r="B223" t="s">
        <v>15</v>
      </c>
      <c r="C223" t="s">
        <v>16</v>
      </c>
      <c r="D223">
        <v>51079</v>
      </c>
      <c r="E223">
        <v>558</v>
      </c>
      <c r="F223">
        <v>3</v>
      </c>
      <c r="G223">
        <v>20133</v>
      </c>
      <c r="H223" t="s">
        <v>0</v>
      </c>
      <c r="I223">
        <v>8</v>
      </c>
      <c r="J223">
        <v>4</v>
      </c>
      <c r="K223">
        <v>5873.08</v>
      </c>
      <c r="L223">
        <v>5780.75</v>
      </c>
      <c r="M223">
        <v>92.33</v>
      </c>
      <c r="N223" s="3" t="str">
        <f t="shared" si="51"/>
        <v/>
      </c>
      <c r="O223" s="4" t="str">
        <f t="shared" si="51"/>
        <v/>
      </c>
      <c r="P223" s="4" t="str">
        <f t="shared" si="51"/>
        <v/>
      </c>
      <c r="Q223" s="4" t="str">
        <f t="shared" si="51"/>
        <v/>
      </c>
      <c r="R223" s="4" t="str">
        <f t="shared" si="51"/>
        <v/>
      </c>
      <c r="S223" s="4" t="str">
        <f t="shared" si="51"/>
        <v/>
      </c>
      <c r="T223" s="4" t="str">
        <f t="shared" si="51"/>
        <v/>
      </c>
      <c r="U223" s="4" t="str">
        <f t="shared" si="51"/>
        <v/>
      </c>
      <c r="V223" s="4" t="str">
        <f t="shared" si="48"/>
        <v/>
      </c>
      <c r="W223" s="4" t="str">
        <f t="shared" si="45"/>
        <v/>
      </c>
      <c r="X223" s="4" t="str">
        <f t="shared" si="45"/>
        <v/>
      </c>
      <c r="Y223" s="4" t="str">
        <f t="shared" si="45"/>
        <v/>
      </c>
      <c r="Z223" s="4" t="str">
        <f t="shared" si="45"/>
        <v/>
      </c>
      <c r="AA223" s="4" t="str">
        <f t="shared" si="45"/>
        <v/>
      </c>
      <c r="AB223" s="4" t="str">
        <f t="shared" si="45"/>
        <v/>
      </c>
      <c r="AC223" s="5" t="str">
        <f t="shared" si="45"/>
        <v/>
      </c>
      <c r="AD223" s="3" t="str">
        <f t="shared" si="52"/>
        <v/>
      </c>
      <c r="AE223" s="4" t="str">
        <f t="shared" si="52"/>
        <v/>
      </c>
      <c r="AF223" s="4" t="str">
        <f t="shared" si="52"/>
        <v/>
      </c>
      <c r="AG223" s="4" t="str">
        <f t="shared" si="52"/>
        <v/>
      </c>
      <c r="AH223" s="4" t="str">
        <f t="shared" si="52"/>
        <v/>
      </c>
      <c r="AI223" s="4" t="str">
        <f t="shared" si="52"/>
        <v/>
      </c>
      <c r="AJ223" s="4" t="str">
        <f t="shared" si="52"/>
        <v/>
      </c>
      <c r="AK223" s="4" t="str">
        <f t="shared" si="52"/>
        <v/>
      </c>
      <c r="AL223" s="4" t="str">
        <f t="shared" si="49"/>
        <v/>
      </c>
      <c r="AM223" s="4" t="str">
        <f t="shared" si="46"/>
        <v/>
      </c>
      <c r="AN223" s="4" t="str">
        <f t="shared" si="46"/>
        <v/>
      </c>
      <c r="AO223" s="4" t="str">
        <f t="shared" si="46"/>
        <v/>
      </c>
      <c r="AP223" s="4" t="str">
        <f t="shared" si="46"/>
        <v/>
      </c>
      <c r="AQ223" s="4" t="str">
        <f t="shared" si="46"/>
        <v/>
      </c>
      <c r="AR223" s="4" t="str">
        <f t="shared" si="46"/>
        <v/>
      </c>
      <c r="AS223" s="5" t="str">
        <f t="shared" si="46"/>
        <v/>
      </c>
      <c r="AT223" s="3" t="str">
        <f t="shared" si="53"/>
        <v/>
      </c>
      <c r="AU223" s="4" t="str">
        <f t="shared" si="53"/>
        <v/>
      </c>
      <c r="AV223" s="4" t="str">
        <f t="shared" si="53"/>
        <v/>
      </c>
      <c r="AW223" s="4" t="str">
        <f t="shared" si="53"/>
        <v/>
      </c>
      <c r="AX223" s="4" t="str">
        <f t="shared" si="53"/>
        <v/>
      </c>
      <c r="AY223" s="4" t="str">
        <f t="shared" si="53"/>
        <v/>
      </c>
      <c r="AZ223" s="4">
        <f t="shared" si="53"/>
        <v>1</v>
      </c>
      <c r="BA223" s="4" t="str">
        <f t="shared" si="53"/>
        <v/>
      </c>
      <c r="BB223" s="4" t="str">
        <f t="shared" si="50"/>
        <v/>
      </c>
      <c r="BC223" s="4" t="str">
        <f t="shared" si="47"/>
        <v/>
      </c>
      <c r="BD223" s="4" t="str">
        <f t="shared" si="47"/>
        <v/>
      </c>
      <c r="BE223" s="4" t="str">
        <f t="shared" si="47"/>
        <v/>
      </c>
      <c r="BF223" s="4" t="str">
        <f t="shared" si="47"/>
        <v/>
      </c>
      <c r="BG223" s="4" t="str">
        <f t="shared" si="47"/>
        <v/>
      </c>
      <c r="BH223" s="4" t="str">
        <f t="shared" si="47"/>
        <v/>
      </c>
      <c r="BI223" s="5" t="str">
        <f t="shared" si="47"/>
        <v/>
      </c>
    </row>
    <row r="224" spans="1:61" x14ac:dyDescent="0.25">
      <c r="A224">
        <v>328046</v>
      </c>
      <c r="B224" t="s">
        <v>14</v>
      </c>
      <c r="C224" t="s">
        <v>16</v>
      </c>
      <c r="D224">
        <v>55111</v>
      </c>
      <c r="E224">
        <v>196</v>
      </c>
      <c r="F224">
        <v>5</v>
      </c>
      <c r="G224">
        <v>20122</v>
      </c>
      <c r="H224" t="s">
        <v>0</v>
      </c>
      <c r="I224">
        <v>84953</v>
      </c>
      <c r="J224">
        <v>2877</v>
      </c>
      <c r="K224">
        <v>125925.44</v>
      </c>
      <c r="L224">
        <v>119572.14</v>
      </c>
      <c r="M224">
        <v>6353.3</v>
      </c>
      <c r="N224" s="3" t="str">
        <f t="shared" si="51"/>
        <v/>
      </c>
      <c r="O224" s="4" t="str">
        <f t="shared" si="51"/>
        <v/>
      </c>
      <c r="P224" s="4" t="str">
        <f t="shared" si="51"/>
        <v/>
      </c>
      <c r="Q224" s="4" t="str">
        <f t="shared" si="51"/>
        <v/>
      </c>
      <c r="R224" s="4" t="str">
        <f t="shared" si="51"/>
        <v/>
      </c>
      <c r="S224" s="4" t="str">
        <f t="shared" si="51"/>
        <v/>
      </c>
      <c r="T224" s="4" t="str">
        <f t="shared" si="51"/>
        <v/>
      </c>
      <c r="U224" s="4" t="str">
        <f t="shared" si="51"/>
        <v/>
      </c>
      <c r="V224" s="4" t="str">
        <f t="shared" si="48"/>
        <v/>
      </c>
      <c r="W224" s="4" t="str">
        <f t="shared" si="45"/>
        <v/>
      </c>
      <c r="X224" s="4" t="str">
        <f t="shared" si="45"/>
        <v/>
      </c>
      <c r="Y224" s="4" t="str">
        <f t="shared" si="45"/>
        <v/>
      </c>
      <c r="Z224" s="4" t="str">
        <f t="shared" si="45"/>
        <v/>
      </c>
      <c r="AA224" s="4" t="str">
        <f t="shared" si="45"/>
        <v/>
      </c>
      <c r="AB224" s="4" t="str">
        <f t="shared" si="45"/>
        <v/>
      </c>
      <c r="AC224" s="5" t="str">
        <f t="shared" si="45"/>
        <v/>
      </c>
      <c r="AD224" s="3" t="str">
        <f t="shared" si="52"/>
        <v/>
      </c>
      <c r="AE224" s="4">
        <f t="shared" si="52"/>
        <v>1</v>
      </c>
      <c r="AF224" s="4" t="str">
        <f t="shared" si="52"/>
        <v/>
      </c>
      <c r="AG224" s="4" t="str">
        <f t="shared" si="52"/>
        <v/>
      </c>
      <c r="AH224" s="4" t="str">
        <f t="shared" si="52"/>
        <v/>
      </c>
      <c r="AI224" s="4" t="str">
        <f t="shared" si="52"/>
        <v/>
      </c>
      <c r="AJ224" s="4" t="str">
        <f t="shared" si="52"/>
        <v/>
      </c>
      <c r="AK224" s="4" t="str">
        <f t="shared" si="52"/>
        <v/>
      </c>
      <c r="AL224" s="4" t="str">
        <f t="shared" si="49"/>
        <v/>
      </c>
      <c r="AM224" s="4" t="str">
        <f t="shared" si="46"/>
        <v/>
      </c>
      <c r="AN224" s="4" t="str">
        <f t="shared" si="46"/>
        <v/>
      </c>
      <c r="AO224" s="4" t="str">
        <f t="shared" si="46"/>
        <v/>
      </c>
      <c r="AP224" s="4" t="str">
        <f t="shared" si="46"/>
        <v/>
      </c>
      <c r="AQ224" s="4" t="str">
        <f t="shared" si="46"/>
        <v/>
      </c>
      <c r="AR224" s="4" t="str">
        <f t="shared" si="46"/>
        <v/>
      </c>
      <c r="AS224" s="5" t="str">
        <f t="shared" si="46"/>
        <v/>
      </c>
      <c r="AT224" s="3" t="str">
        <f t="shared" si="53"/>
        <v/>
      </c>
      <c r="AU224" s="4" t="str">
        <f t="shared" si="53"/>
        <v/>
      </c>
      <c r="AV224" s="4" t="str">
        <f t="shared" si="53"/>
        <v/>
      </c>
      <c r="AW224" s="4" t="str">
        <f t="shared" si="53"/>
        <v/>
      </c>
      <c r="AX224" s="4" t="str">
        <f t="shared" si="53"/>
        <v/>
      </c>
      <c r="AY224" s="4" t="str">
        <f t="shared" si="53"/>
        <v/>
      </c>
      <c r="AZ224" s="4" t="str">
        <f t="shared" si="53"/>
        <v/>
      </c>
      <c r="BA224" s="4" t="str">
        <f t="shared" si="53"/>
        <v/>
      </c>
      <c r="BB224" s="4" t="str">
        <f t="shared" si="50"/>
        <v/>
      </c>
      <c r="BC224" s="4" t="str">
        <f t="shared" si="47"/>
        <v/>
      </c>
      <c r="BD224" s="4" t="str">
        <f t="shared" si="47"/>
        <v/>
      </c>
      <c r="BE224" s="4" t="str">
        <f t="shared" si="47"/>
        <v/>
      </c>
      <c r="BF224" s="4" t="str">
        <f t="shared" si="47"/>
        <v/>
      </c>
      <c r="BG224" s="4" t="str">
        <f t="shared" si="47"/>
        <v/>
      </c>
      <c r="BH224" s="4" t="str">
        <f t="shared" si="47"/>
        <v/>
      </c>
      <c r="BI224" s="5" t="str">
        <f t="shared" si="47"/>
        <v/>
      </c>
    </row>
    <row r="225" spans="1:61" x14ac:dyDescent="0.25">
      <c r="A225">
        <v>328047</v>
      </c>
      <c r="B225" t="s">
        <v>14</v>
      </c>
      <c r="C225" t="s">
        <v>16</v>
      </c>
      <c r="D225">
        <v>55111</v>
      </c>
      <c r="E225">
        <v>196</v>
      </c>
      <c r="F225">
        <v>5</v>
      </c>
      <c r="G225">
        <v>20123</v>
      </c>
      <c r="H225" t="s">
        <v>0</v>
      </c>
      <c r="I225">
        <v>350888</v>
      </c>
      <c r="J225">
        <v>11863</v>
      </c>
      <c r="K225">
        <v>255939.56</v>
      </c>
      <c r="L225">
        <v>241802.16</v>
      </c>
      <c r="M225">
        <v>14137.4</v>
      </c>
      <c r="N225" s="3" t="str">
        <f t="shared" si="51"/>
        <v/>
      </c>
      <c r="O225" s="4" t="str">
        <f t="shared" si="51"/>
        <v/>
      </c>
      <c r="P225" s="4" t="str">
        <f t="shared" si="51"/>
        <v/>
      </c>
      <c r="Q225" s="4" t="str">
        <f t="shared" si="51"/>
        <v/>
      </c>
      <c r="R225" s="4" t="str">
        <f t="shared" si="51"/>
        <v/>
      </c>
      <c r="S225" s="4" t="str">
        <f t="shared" si="51"/>
        <v/>
      </c>
      <c r="T225" s="4" t="str">
        <f t="shared" si="51"/>
        <v/>
      </c>
      <c r="U225" s="4" t="str">
        <f t="shared" si="51"/>
        <v/>
      </c>
      <c r="V225" s="4" t="str">
        <f t="shared" si="48"/>
        <v/>
      </c>
      <c r="W225" s="4" t="str">
        <f t="shared" si="45"/>
        <v/>
      </c>
      <c r="X225" s="4" t="str">
        <f t="shared" si="45"/>
        <v/>
      </c>
      <c r="Y225" s="4" t="str">
        <f t="shared" si="45"/>
        <v/>
      </c>
      <c r="Z225" s="4" t="str">
        <f t="shared" si="45"/>
        <v/>
      </c>
      <c r="AA225" s="4" t="str">
        <f t="shared" si="45"/>
        <v/>
      </c>
      <c r="AB225" s="4" t="str">
        <f t="shared" si="45"/>
        <v/>
      </c>
      <c r="AC225" s="5" t="str">
        <f t="shared" si="45"/>
        <v/>
      </c>
      <c r="AD225" s="3" t="str">
        <f t="shared" si="52"/>
        <v/>
      </c>
      <c r="AE225" s="4" t="str">
        <f t="shared" si="52"/>
        <v/>
      </c>
      <c r="AF225" s="4">
        <f t="shared" si="52"/>
        <v>1</v>
      </c>
      <c r="AG225" s="4" t="str">
        <f t="shared" si="52"/>
        <v/>
      </c>
      <c r="AH225" s="4" t="str">
        <f t="shared" si="52"/>
        <v/>
      </c>
      <c r="AI225" s="4" t="str">
        <f t="shared" si="52"/>
        <v/>
      </c>
      <c r="AJ225" s="4" t="str">
        <f t="shared" si="52"/>
        <v/>
      </c>
      <c r="AK225" s="4" t="str">
        <f t="shared" si="52"/>
        <v/>
      </c>
      <c r="AL225" s="4" t="str">
        <f t="shared" si="49"/>
        <v/>
      </c>
      <c r="AM225" s="4" t="str">
        <f t="shared" si="46"/>
        <v/>
      </c>
      <c r="AN225" s="4" t="str">
        <f t="shared" si="46"/>
        <v/>
      </c>
      <c r="AO225" s="4" t="str">
        <f t="shared" si="46"/>
        <v/>
      </c>
      <c r="AP225" s="4" t="str">
        <f t="shared" si="46"/>
        <v/>
      </c>
      <c r="AQ225" s="4" t="str">
        <f t="shared" si="46"/>
        <v/>
      </c>
      <c r="AR225" s="4" t="str">
        <f t="shared" si="46"/>
        <v/>
      </c>
      <c r="AS225" s="5" t="str">
        <f t="shared" si="46"/>
        <v/>
      </c>
      <c r="AT225" s="3" t="str">
        <f t="shared" si="53"/>
        <v/>
      </c>
      <c r="AU225" s="4" t="str">
        <f t="shared" si="53"/>
        <v/>
      </c>
      <c r="AV225" s="4" t="str">
        <f t="shared" si="53"/>
        <v/>
      </c>
      <c r="AW225" s="4" t="str">
        <f t="shared" si="53"/>
        <v/>
      </c>
      <c r="AX225" s="4" t="str">
        <f t="shared" si="53"/>
        <v/>
      </c>
      <c r="AY225" s="4" t="str">
        <f t="shared" si="53"/>
        <v/>
      </c>
      <c r="AZ225" s="4" t="str">
        <f t="shared" si="53"/>
        <v/>
      </c>
      <c r="BA225" s="4" t="str">
        <f t="shared" si="53"/>
        <v/>
      </c>
      <c r="BB225" s="4" t="str">
        <f t="shared" si="50"/>
        <v/>
      </c>
      <c r="BC225" s="4" t="str">
        <f t="shared" si="47"/>
        <v/>
      </c>
      <c r="BD225" s="4" t="str">
        <f t="shared" si="47"/>
        <v/>
      </c>
      <c r="BE225" s="4" t="str">
        <f t="shared" si="47"/>
        <v/>
      </c>
      <c r="BF225" s="4" t="str">
        <f t="shared" si="47"/>
        <v/>
      </c>
      <c r="BG225" s="4" t="str">
        <f t="shared" si="47"/>
        <v/>
      </c>
      <c r="BH225" s="4" t="str">
        <f t="shared" si="47"/>
        <v/>
      </c>
      <c r="BI225" s="5" t="str">
        <f t="shared" si="47"/>
        <v/>
      </c>
    </row>
    <row r="226" spans="1:61" x14ac:dyDescent="0.25">
      <c r="A226">
        <v>328048</v>
      </c>
      <c r="B226" t="s">
        <v>14</v>
      </c>
      <c r="C226" t="s">
        <v>16</v>
      </c>
      <c r="D226">
        <v>55111</v>
      </c>
      <c r="E226">
        <v>196</v>
      </c>
      <c r="F226">
        <v>5</v>
      </c>
      <c r="G226">
        <v>20124</v>
      </c>
      <c r="H226" t="s">
        <v>0</v>
      </c>
      <c r="I226">
        <v>449930.65100000001</v>
      </c>
      <c r="J226">
        <v>15107</v>
      </c>
      <c r="K226">
        <v>270122.69</v>
      </c>
      <c r="L226">
        <v>255487.72</v>
      </c>
      <c r="M226">
        <v>14634.97</v>
      </c>
      <c r="N226" s="3" t="str">
        <f t="shared" si="51"/>
        <v/>
      </c>
      <c r="O226" s="4" t="str">
        <f t="shared" si="51"/>
        <v/>
      </c>
      <c r="P226" s="4" t="str">
        <f t="shared" si="51"/>
        <v/>
      </c>
      <c r="Q226" s="4" t="str">
        <f t="shared" si="51"/>
        <v/>
      </c>
      <c r="R226" s="4" t="str">
        <f t="shared" si="51"/>
        <v/>
      </c>
      <c r="S226" s="4" t="str">
        <f t="shared" si="51"/>
        <v/>
      </c>
      <c r="T226" s="4" t="str">
        <f t="shared" si="51"/>
        <v/>
      </c>
      <c r="U226" s="4" t="str">
        <f t="shared" si="51"/>
        <v/>
      </c>
      <c r="V226" s="4" t="str">
        <f t="shared" si="48"/>
        <v/>
      </c>
      <c r="W226" s="4" t="str">
        <f t="shared" si="45"/>
        <v/>
      </c>
      <c r="X226" s="4" t="str">
        <f t="shared" si="45"/>
        <v/>
      </c>
      <c r="Y226" s="4" t="str">
        <f t="shared" si="45"/>
        <v/>
      </c>
      <c r="Z226" s="4" t="str">
        <f t="shared" si="45"/>
        <v/>
      </c>
      <c r="AA226" s="4" t="str">
        <f t="shared" si="45"/>
        <v/>
      </c>
      <c r="AB226" s="4" t="str">
        <f t="shared" si="45"/>
        <v/>
      </c>
      <c r="AC226" s="5" t="str">
        <f t="shared" si="45"/>
        <v/>
      </c>
      <c r="AD226" s="3" t="str">
        <f t="shared" si="52"/>
        <v/>
      </c>
      <c r="AE226" s="4" t="str">
        <f t="shared" si="52"/>
        <v/>
      </c>
      <c r="AF226" s="4" t="str">
        <f t="shared" si="52"/>
        <v/>
      </c>
      <c r="AG226" s="4">
        <f t="shared" si="52"/>
        <v>1</v>
      </c>
      <c r="AH226" s="4" t="str">
        <f t="shared" si="52"/>
        <v/>
      </c>
      <c r="AI226" s="4" t="str">
        <f t="shared" si="52"/>
        <v/>
      </c>
      <c r="AJ226" s="4" t="str">
        <f t="shared" si="52"/>
        <v/>
      </c>
      <c r="AK226" s="4" t="str">
        <f t="shared" si="52"/>
        <v/>
      </c>
      <c r="AL226" s="4" t="str">
        <f t="shared" si="49"/>
        <v/>
      </c>
      <c r="AM226" s="4" t="str">
        <f t="shared" si="46"/>
        <v/>
      </c>
      <c r="AN226" s="4" t="str">
        <f t="shared" si="46"/>
        <v/>
      </c>
      <c r="AO226" s="4" t="str">
        <f t="shared" si="46"/>
        <v/>
      </c>
      <c r="AP226" s="4" t="str">
        <f t="shared" si="46"/>
        <v/>
      </c>
      <c r="AQ226" s="4" t="str">
        <f t="shared" si="46"/>
        <v/>
      </c>
      <c r="AR226" s="4" t="str">
        <f t="shared" si="46"/>
        <v/>
      </c>
      <c r="AS226" s="5" t="str">
        <f t="shared" si="46"/>
        <v/>
      </c>
      <c r="AT226" s="3" t="str">
        <f t="shared" si="53"/>
        <v/>
      </c>
      <c r="AU226" s="4" t="str">
        <f t="shared" si="53"/>
        <v/>
      </c>
      <c r="AV226" s="4" t="str">
        <f t="shared" si="53"/>
        <v/>
      </c>
      <c r="AW226" s="4" t="str">
        <f t="shared" si="53"/>
        <v/>
      </c>
      <c r="AX226" s="4" t="str">
        <f t="shared" si="53"/>
        <v/>
      </c>
      <c r="AY226" s="4" t="str">
        <f t="shared" si="53"/>
        <v/>
      </c>
      <c r="AZ226" s="4" t="str">
        <f t="shared" si="53"/>
        <v/>
      </c>
      <c r="BA226" s="4" t="str">
        <f t="shared" si="53"/>
        <v/>
      </c>
      <c r="BB226" s="4" t="str">
        <f t="shared" si="50"/>
        <v/>
      </c>
      <c r="BC226" s="4" t="str">
        <f t="shared" si="47"/>
        <v/>
      </c>
      <c r="BD226" s="4" t="str">
        <f t="shared" si="47"/>
        <v/>
      </c>
      <c r="BE226" s="4" t="str">
        <f t="shared" si="47"/>
        <v/>
      </c>
      <c r="BF226" s="4" t="str">
        <f t="shared" si="47"/>
        <v/>
      </c>
      <c r="BG226" s="4" t="str">
        <f t="shared" si="47"/>
        <v/>
      </c>
      <c r="BH226" s="4" t="str">
        <f t="shared" si="47"/>
        <v/>
      </c>
      <c r="BI226" s="5" t="str">
        <f t="shared" si="47"/>
        <v/>
      </c>
    </row>
    <row r="227" spans="1:61" x14ac:dyDescent="0.25">
      <c r="A227">
        <v>328049</v>
      </c>
      <c r="B227" t="s">
        <v>14</v>
      </c>
      <c r="C227" t="s">
        <v>16</v>
      </c>
      <c r="D227">
        <v>55111</v>
      </c>
      <c r="E227">
        <v>196</v>
      </c>
      <c r="F227">
        <v>30</v>
      </c>
      <c r="G227">
        <v>20122</v>
      </c>
      <c r="H227" t="s">
        <v>0</v>
      </c>
      <c r="I227">
        <v>128823</v>
      </c>
      <c r="J227">
        <v>4068</v>
      </c>
      <c r="K227">
        <v>252602.88</v>
      </c>
      <c r="L227">
        <v>248441.47</v>
      </c>
      <c r="M227">
        <v>4161.41</v>
      </c>
      <c r="N227" s="3" t="str">
        <f t="shared" si="51"/>
        <v/>
      </c>
      <c r="O227" s="4" t="str">
        <f t="shared" si="51"/>
        <v/>
      </c>
      <c r="P227" s="4" t="str">
        <f t="shared" si="51"/>
        <v/>
      </c>
      <c r="Q227" s="4" t="str">
        <f t="shared" si="51"/>
        <v/>
      </c>
      <c r="R227" s="4" t="str">
        <f t="shared" si="51"/>
        <v/>
      </c>
      <c r="S227" s="4" t="str">
        <f t="shared" si="51"/>
        <v/>
      </c>
      <c r="T227" s="4" t="str">
        <f t="shared" si="51"/>
        <v/>
      </c>
      <c r="U227" s="4" t="str">
        <f t="shared" si="51"/>
        <v/>
      </c>
      <c r="V227" s="4" t="str">
        <f t="shared" si="48"/>
        <v/>
      </c>
      <c r="W227" s="4" t="str">
        <f t="shared" si="45"/>
        <v/>
      </c>
      <c r="X227" s="4" t="str">
        <f t="shared" si="45"/>
        <v/>
      </c>
      <c r="Y227" s="4" t="str">
        <f t="shared" si="45"/>
        <v/>
      </c>
      <c r="Z227" s="4" t="str">
        <f t="shared" si="45"/>
        <v/>
      </c>
      <c r="AA227" s="4" t="str">
        <f t="shared" ref="W227:AC263" si="54">IF(AND($B227=AA$3, $G227=AA$2, LEFT($H227, 6)=AA$1), 1, "")</f>
        <v/>
      </c>
      <c r="AB227" s="4" t="str">
        <f t="shared" si="54"/>
        <v/>
      </c>
      <c r="AC227" s="5" t="str">
        <f t="shared" si="54"/>
        <v/>
      </c>
      <c r="AD227" s="3" t="str">
        <f t="shared" si="52"/>
        <v/>
      </c>
      <c r="AE227" s="4">
        <f t="shared" si="52"/>
        <v>1</v>
      </c>
      <c r="AF227" s="4" t="str">
        <f t="shared" si="52"/>
        <v/>
      </c>
      <c r="AG227" s="4" t="str">
        <f t="shared" si="52"/>
        <v/>
      </c>
      <c r="AH227" s="4" t="str">
        <f t="shared" si="52"/>
        <v/>
      </c>
      <c r="AI227" s="4" t="str">
        <f t="shared" si="52"/>
        <v/>
      </c>
      <c r="AJ227" s="4" t="str">
        <f t="shared" si="52"/>
        <v/>
      </c>
      <c r="AK227" s="4" t="str">
        <f t="shared" si="52"/>
        <v/>
      </c>
      <c r="AL227" s="4" t="str">
        <f t="shared" si="49"/>
        <v/>
      </c>
      <c r="AM227" s="4" t="str">
        <f t="shared" si="46"/>
        <v/>
      </c>
      <c r="AN227" s="4" t="str">
        <f t="shared" si="46"/>
        <v/>
      </c>
      <c r="AO227" s="4" t="str">
        <f t="shared" si="46"/>
        <v/>
      </c>
      <c r="AP227" s="4" t="str">
        <f t="shared" si="46"/>
        <v/>
      </c>
      <c r="AQ227" s="4" t="str">
        <f t="shared" ref="AM227:AS263" si="55">IF(AND($B227=AQ$3, $G227=AQ$2, LEFT($H227, 6)=AQ$1), 1, "")</f>
        <v/>
      </c>
      <c r="AR227" s="4" t="str">
        <f t="shared" si="55"/>
        <v/>
      </c>
      <c r="AS227" s="5" t="str">
        <f t="shared" si="55"/>
        <v/>
      </c>
      <c r="AT227" s="3" t="str">
        <f t="shared" si="53"/>
        <v/>
      </c>
      <c r="AU227" s="4" t="str">
        <f t="shared" si="53"/>
        <v/>
      </c>
      <c r="AV227" s="4" t="str">
        <f t="shared" si="53"/>
        <v/>
      </c>
      <c r="AW227" s="4" t="str">
        <f t="shared" si="53"/>
        <v/>
      </c>
      <c r="AX227" s="4" t="str">
        <f t="shared" si="53"/>
        <v/>
      </c>
      <c r="AY227" s="4" t="str">
        <f t="shared" si="53"/>
        <v/>
      </c>
      <c r="AZ227" s="4" t="str">
        <f t="shared" si="53"/>
        <v/>
      </c>
      <c r="BA227" s="4" t="str">
        <f t="shared" si="53"/>
        <v/>
      </c>
      <c r="BB227" s="4" t="str">
        <f t="shared" si="50"/>
        <v/>
      </c>
      <c r="BC227" s="4" t="str">
        <f t="shared" si="47"/>
        <v/>
      </c>
      <c r="BD227" s="4" t="str">
        <f t="shared" si="47"/>
        <v/>
      </c>
      <c r="BE227" s="4" t="str">
        <f t="shared" si="47"/>
        <v/>
      </c>
      <c r="BF227" s="4" t="str">
        <f t="shared" si="47"/>
        <v/>
      </c>
      <c r="BG227" s="4" t="str">
        <f t="shared" ref="BC227:BI263" si="56">IF(AND($B227=BG$3, $G227=BG$2, LEFT($H227, 6)=BG$1), 1, "")</f>
        <v/>
      </c>
      <c r="BH227" s="4" t="str">
        <f t="shared" si="56"/>
        <v/>
      </c>
      <c r="BI227" s="5" t="str">
        <f t="shared" si="56"/>
        <v/>
      </c>
    </row>
    <row r="228" spans="1:61" x14ac:dyDescent="0.25">
      <c r="A228">
        <v>328050</v>
      </c>
      <c r="B228" t="s">
        <v>14</v>
      </c>
      <c r="C228" t="s">
        <v>16</v>
      </c>
      <c r="D228">
        <v>55111</v>
      </c>
      <c r="E228">
        <v>196</v>
      </c>
      <c r="F228">
        <v>30</v>
      </c>
      <c r="G228">
        <v>20123</v>
      </c>
      <c r="H228" t="s">
        <v>0</v>
      </c>
      <c r="I228">
        <v>469067.00099999999</v>
      </c>
      <c r="J228">
        <v>14608</v>
      </c>
      <c r="K228">
        <v>464779.39</v>
      </c>
      <c r="L228">
        <v>455443.23</v>
      </c>
      <c r="M228">
        <v>9336.16</v>
      </c>
      <c r="N228" s="3" t="str">
        <f t="shared" si="51"/>
        <v/>
      </c>
      <c r="O228" s="4" t="str">
        <f t="shared" si="51"/>
        <v/>
      </c>
      <c r="P228" s="4" t="str">
        <f t="shared" si="51"/>
        <v/>
      </c>
      <c r="Q228" s="4" t="str">
        <f t="shared" si="51"/>
        <v/>
      </c>
      <c r="R228" s="4" t="str">
        <f t="shared" si="51"/>
        <v/>
      </c>
      <c r="S228" s="4" t="str">
        <f t="shared" si="51"/>
        <v/>
      </c>
      <c r="T228" s="4" t="str">
        <f t="shared" si="51"/>
        <v/>
      </c>
      <c r="U228" s="4" t="str">
        <f t="shared" si="51"/>
        <v/>
      </c>
      <c r="V228" s="4" t="str">
        <f t="shared" si="48"/>
        <v/>
      </c>
      <c r="W228" s="4" t="str">
        <f t="shared" si="54"/>
        <v/>
      </c>
      <c r="X228" s="4" t="str">
        <f t="shared" si="54"/>
        <v/>
      </c>
      <c r="Y228" s="4" t="str">
        <f t="shared" si="54"/>
        <v/>
      </c>
      <c r="Z228" s="4" t="str">
        <f t="shared" si="54"/>
        <v/>
      </c>
      <c r="AA228" s="4" t="str">
        <f t="shared" si="54"/>
        <v/>
      </c>
      <c r="AB228" s="4" t="str">
        <f t="shared" si="54"/>
        <v/>
      </c>
      <c r="AC228" s="5" t="str">
        <f t="shared" si="54"/>
        <v/>
      </c>
      <c r="AD228" s="3" t="str">
        <f t="shared" si="52"/>
        <v/>
      </c>
      <c r="AE228" s="4" t="str">
        <f t="shared" si="52"/>
        <v/>
      </c>
      <c r="AF228" s="4">
        <f t="shared" si="52"/>
        <v>1</v>
      </c>
      <c r="AG228" s="4" t="str">
        <f t="shared" si="52"/>
        <v/>
      </c>
      <c r="AH228" s="4" t="str">
        <f t="shared" si="52"/>
        <v/>
      </c>
      <c r="AI228" s="4" t="str">
        <f t="shared" si="52"/>
        <v/>
      </c>
      <c r="AJ228" s="4" t="str">
        <f t="shared" si="52"/>
        <v/>
      </c>
      <c r="AK228" s="4" t="str">
        <f t="shared" si="52"/>
        <v/>
      </c>
      <c r="AL228" s="4" t="str">
        <f t="shared" si="49"/>
        <v/>
      </c>
      <c r="AM228" s="4" t="str">
        <f t="shared" si="55"/>
        <v/>
      </c>
      <c r="AN228" s="4" t="str">
        <f t="shared" si="55"/>
        <v/>
      </c>
      <c r="AO228" s="4" t="str">
        <f t="shared" si="55"/>
        <v/>
      </c>
      <c r="AP228" s="4" t="str">
        <f t="shared" si="55"/>
        <v/>
      </c>
      <c r="AQ228" s="4" t="str">
        <f t="shared" si="55"/>
        <v/>
      </c>
      <c r="AR228" s="4" t="str">
        <f t="shared" si="55"/>
        <v/>
      </c>
      <c r="AS228" s="5" t="str">
        <f t="shared" si="55"/>
        <v/>
      </c>
      <c r="AT228" s="3" t="str">
        <f t="shared" si="53"/>
        <v/>
      </c>
      <c r="AU228" s="4" t="str">
        <f t="shared" si="53"/>
        <v/>
      </c>
      <c r="AV228" s="4" t="str">
        <f t="shared" si="53"/>
        <v/>
      </c>
      <c r="AW228" s="4" t="str">
        <f t="shared" si="53"/>
        <v/>
      </c>
      <c r="AX228" s="4" t="str">
        <f t="shared" si="53"/>
        <v/>
      </c>
      <c r="AY228" s="4" t="str">
        <f t="shared" si="53"/>
        <v/>
      </c>
      <c r="AZ228" s="4" t="str">
        <f t="shared" si="53"/>
        <v/>
      </c>
      <c r="BA228" s="4" t="str">
        <f t="shared" si="53"/>
        <v/>
      </c>
      <c r="BB228" s="4" t="str">
        <f t="shared" si="50"/>
        <v/>
      </c>
      <c r="BC228" s="4" t="str">
        <f t="shared" si="56"/>
        <v/>
      </c>
      <c r="BD228" s="4" t="str">
        <f t="shared" si="56"/>
        <v/>
      </c>
      <c r="BE228" s="4" t="str">
        <f t="shared" si="56"/>
        <v/>
      </c>
      <c r="BF228" s="4" t="str">
        <f t="shared" si="56"/>
        <v/>
      </c>
      <c r="BG228" s="4" t="str">
        <f t="shared" si="56"/>
        <v/>
      </c>
      <c r="BH228" s="4" t="str">
        <f t="shared" si="56"/>
        <v/>
      </c>
      <c r="BI228" s="5" t="str">
        <f t="shared" si="56"/>
        <v/>
      </c>
    </row>
    <row r="229" spans="1:61" x14ac:dyDescent="0.25">
      <c r="A229">
        <v>328051</v>
      </c>
      <c r="B229" t="s">
        <v>14</v>
      </c>
      <c r="C229" t="s">
        <v>16</v>
      </c>
      <c r="D229">
        <v>55111</v>
      </c>
      <c r="E229">
        <v>196</v>
      </c>
      <c r="F229">
        <v>30</v>
      </c>
      <c r="G229">
        <v>20124</v>
      </c>
      <c r="H229" t="s">
        <v>0</v>
      </c>
      <c r="I229">
        <v>467054.7</v>
      </c>
      <c r="J229">
        <v>14445</v>
      </c>
      <c r="K229">
        <v>289545.09999999998</v>
      </c>
      <c r="L229">
        <v>282421.40000000002</v>
      </c>
      <c r="M229">
        <v>7123.7</v>
      </c>
      <c r="N229" s="3" t="str">
        <f t="shared" si="51"/>
        <v/>
      </c>
      <c r="O229" s="4" t="str">
        <f t="shared" si="51"/>
        <v/>
      </c>
      <c r="P229" s="4" t="str">
        <f t="shared" si="51"/>
        <v/>
      </c>
      <c r="Q229" s="4" t="str">
        <f t="shared" si="51"/>
        <v/>
      </c>
      <c r="R229" s="4" t="str">
        <f t="shared" si="51"/>
        <v/>
      </c>
      <c r="S229" s="4" t="str">
        <f t="shared" si="51"/>
        <v/>
      </c>
      <c r="T229" s="4" t="str">
        <f t="shared" si="51"/>
        <v/>
      </c>
      <c r="U229" s="4" t="str">
        <f t="shared" si="51"/>
        <v/>
      </c>
      <c r="V229" s="4" t="str">
        <f t="shared" si="48"/>
        <v/>
      </c>
      <c r="W229" s="4" t="str">
        <f t="shared" si="54"/>
        <v/>
      </c>
      <c r="X229" s="4" t="str">
        <f t="shared" si="54"/>
        <v/>
      </c>
      <c r="Y229" s="4" t="str">
        <f t="shared" si="54"/>
        <v/>
      </c>
      <c r="Z229" s="4" t="str">
        <f t="shared" si="54"/>
        <v/>
      </c>
      <c r="AA229" s="4" t="str">
        <f t="shared" si="54"/>
        <v/>
      </c>
      <c r="AB229" s="4" t="str">
        <f t="shared" si="54"/>
        <v/>
      </c>
      <c r="AC229" s="5" t="str">
        <f t="shared" si="54"/>
        <v/>
      </c>
      <c r="AD229" s="3" t="str">
        <f t="shared" si="52"/>
        <v/>
      </c>
      <c r="AE229" s="4" t="str">
        <f t="shared" si="52"/>
        <v/>
      </c>
      <c r="AF229" s="4" t="str">
        <f t="shared" si="52"/>
        <v/>
      </c>
      <c r="AG229" s="4">
        <f t="shared" si="52"/>
        <v>1</v>
      </c>
      <c r="AH229" s="4" t="str">
        <f t="shared" si="52"/>
        <v/>
      </c>
      <c r="AI229" s="4" t="str">
        <f t="shared" si="52"/>
        <v/>
      </c>
      <c r="AJ229" s="4" t="str">
        <f t="shared" si="52"/>
        <v/>
      </c>
      <c r="AK229" s="4" t="str">
        <f t="shared" si="52"/>
        <v/>
      </c>
      <c r="AL229" s="4" t="str">
        <f t="shared" si="49"/>
        <v/>
      </c>
      <c r="AM229" s="4" t="str">
        <f t="shared" si="55"/>
        <v/>
      </c>
      <c r="AN229" s="4" t="str">
        <f t="shared" si="55"/>
        <v/>
      </c>
      <c r="AO229" s="4" t="str">
        <f t="shared" si="55"/>
        <v/>
      </c>
      <c r="AP229" s="4" t="str">
        <f t="shared" si="55"/>
        <v/>
      </c>
      <c r="AQ229" s="4" t="str">
        <f t="shared" si="55"/>
        <v/>
      </c>
      <c r="AR229" s="4" t="str">
        <f t="shared" si="55"/>
        <v/>
      </c>
      <c r="AS229" s="5" t="str">
        <f t="shared" si="55"/>
        <v/>
      </c>
      <c r="AT229" s="3" t="str">
        <f t="shared" si="53"/>
        <v/>
      </c>
      <c r="AU229" s="4" t="str">
        <f t="shared" si="53"/>
        <v/>
      </c>
      <c r="AV229" s="4" t="str">
        <f t="shared" si="53"/>
        <v/>
      </c>
      <c r="AW229" s="4" t="str">
        <f t="shared" si="53"/>
        <v/>
      </c>
      <c r="AX229" s="4" t="str">
        <f t="shared" si="53"/>
        <v/>
      </c>
      <c r="AY229" s="4" t="str">
        <f t="shared" si="53"/>
        <v/>
      </c>
      <c r="AZ229" s="4" t="str">
        <f t="shared" si="53"/>
        <v/>
      </c>
      <c r="BA229" s="4" t="str">
        <f t="shared" si="53"/>
        <v/>
      </c>
      <c r="BB229" s="4" t="str">
        <f t="shared" si="50"/>
        <v/>
      </c>
      <c r="BC229" s="4" t="str">
        <f t="shared" si="56"/>
        <v/>
      </c>
      <c r="BD229" s="4" t="str">
        <f t="shared" si="56"/>
        <v/>
      </c>
      <c r="BE229" s="4" t="str">
        <f t="shared" si="56"/>
        <v/>
      </c>
      <c r="BF229" s="4" t="str">
        <f t="shared" si="56"/>
        <v/>
      </c>
      <c r="BG229" s="4" t="str">
        <f t="shared" si="56"/>
        <v/>
      </c>
      <c r="BH229" s="4" t="str">
        <f t="shared" si="56"/>
        <v/>
      </c>
      <c r="BI229" s="5" t="str">
        <f t="shared" si="56"/>
        <v/>
      </c>
    </row>
    <row r="230" spans="1:61" x14ac:dyDescent="0.25">
      <c r="A230">
        <v>328052</v>
      </c>
      <c r="B230" t="s">
        <v>14</v>
      </c>
      <c r="C230" t="s">
        <v>16</v>
      </c>
      <c r="D230">
        <v>55111</v>
      </c>
      <c r="E230">
        <v>196</v>
      </c>
      <c r="F230">
        <v>90</v>
      </c>
      <c r="G230">
        <v>20122</v>
      </c>
      <c r="H230" t="s">
        <v>0</v>
      </c>
      <c r="I230">
        <v>50350</v>
      </c>
      <c r="J230">
        <v>1632</v>
      </c>
      <c r="K230">
        <v>71525.990000000005</v>
      </c>
      <c r="L230">
        <v>68574.289999999994</v>
      </c>
      <c r="M230">
        <v>2951.7</v>
      </c>
      <c r="N230" s="3" t="str">
        <f t="shared" si="51"/>
        <v/>
      </c>
      <c r="O230" s="4" t="str">
        <f t="shared" si="51"/>
        <v/>
      </c>
      <c r="P230" s="4" t="str">
        <f t="shared" si="51"/>
        <v/>
      </c>
      <c r="Q230" s="4" t="str">
        <f t="shared" si="51"/>
        <v/>
      </c>
      <c r="R230" s="4" t="str">
        <f t="shared" si="51"/>
        <v/>
      </c>
      <c r="S230" s="4" t="str">
        <f t="shared" si="51"/>
        <v/>
      </c>
      <c r="T230" s="4" t="str">
        <f t="shared" si="51"/>
        <v/>
      </c>
      <c r="U230" s="4" t="str">
        <f t="shared" si="51"/>
        <v/>
      </c>
      <c r="V230" s="4" t="str">
        <f t="shared" si="48"/>
        <v/>
      </c>
      <c r="W230" s="4" t="str">
        <f t="shared" si="54"/>
        <v/>
      </c>
      <c r="X230" s="4" t="str">
        <f t="shared" si="54"/>
        <v/>
      </c>
      <c r="Y230" s="4" t="str">
        <f t="shared" si="54"/>
        <v/>
      </c>
      <c r="Z230" s="4" t="str">
        <f t="shared" si="54"/>
        <v/>
      </c>
      <c r="AA230" s="4" t="str">
        <f t="shared" si="54"/>
        <v/>
      </c>
      <c r="AB230" s="4" t="str">
        <f t="shared" si="54"/>
        <v/>
      </c>
      <c r="AC230" s="5" t="str">
        <f t="shared" si="54"/>
        <v/>
      </c>
      <c r="AD230" s="3" t="str">
        <f t="shared" si="52"/>
        <v/>
      </c>
      <c r="AE230" s="4">
        <f t="shared" si="52"/>
        <v>1</v>
      </c>
      <c r="AF230" s="4" t="str">
        <f t="shared" si="52"/>
        <v/>
      </c>
      <c r="AG230" s="4" t="str">
        <f t="shared" si="52"/>
        <v/>
      </c>
      <c r="AH230" s="4" t="str">
        <f t="shared" si="52"/>
        <v/>
      </c>
      <c r="AI230" s="4" t="str">
        <f t="shared" si="52"/>
        <v/>
      </c>
      <c r="AJ230" s="4" t="str">
        <f t="shared" si="52"/>
        <v/>
      </c>
      <c r="AK230" s="4" t="str">
        <f t="shared" si="52"/>
        <v/>
      </c>
      <c r="AL230" s="4" t="str">
        <f t="shared" si="49"/>
        <v/>
      </c>
      <c r="AM230" s="4" t="str">
        <f t="shared" si="55"/>
        <v/>
      </c>
      <c r="AN230" s="4" t="str">
        <f t="shared" si="55"/>
        <v/>
      </c>
      <c r="AO230" s="4" t="str">
        <f t="shared" si="55"/>
        <v/>
      </c>
      <c r="AP230" s="4" t="str">
        <f t="shared" si="55"/>
        <v/>
      </c>
      <c r="AQ230" s="4" t="str">
        <f t="shared" si="55"/>
        <v/>
      </c>
      <c r="AR230" s="4" t="str">
        <f t="shared" si="55"/>
        <v/>
      </c>
      <c r="AS230" s="5" t="str">
        <f t="shared" si="55"/>
        <v/>
      </c>
      <c r="AT230" s="3" t="str">
        <f t="shared" si="53"/>
        <v/>
      </c>
      <c r="AU230" s="4" t="str">
        <f t="shared" si="53"/>
        <v/>
      </c>
      <c r="AV230" s="4" t="str">
        <f t="shared" si="53"/>
        <v/>
      </c>
      <c r="AW230" s="4" t="str">
        <f t="shared" si="53"/>
        <v/>
      </c>
      <c r="AX230" s="4" t="str">
        <f t="shared" si="53"/>
        <v/>
      </c>
      <c r="AY230" s="4" t="str">
        <f t="shared" si="53"/>
        <v/>
      </c>
      <c r="AZ230" s="4" t="str">
        <f t="shared" si="53"/>
        <v/>
      </c>
      <c r="BA230" s="4" t="str">
        <f t="shared" si="53"/>
        <v/>
      </c>
      <c r="BB230" s="4" t="str">
        <f t="shared" si="50"/>
        <v/>
      </c>
      <c r="BC230" s="4" t="str">
        <f t="shared" si="56"/>
        <v/>
      </c>
      <c r="BD230" s="4" t="str">
        <f t="shared" si="56"/>
        <v/>
      </c>
      <c r="BE230" s="4" t="str">
        <f t="shared" si="56"/>
        <v/>
      </c>
      <c r="BF230" s="4" t="str">
        <f t="shared" si="56"/>
        <v/>
      </c>
      <c r="BG230" s="4" t="str">
        <f t="shared" si="56"/>
        <v/>
      </c>
      <c r="BH230" s="4" t="str">
        <f t="shared" si="56"/>
        <v/>
      </c>
      <c r="BI230" s="5" t="str">
        <f t="shared" si="56"/>
        <v/>
      </c>
    </row>
    <row r="231" spans="1:61" x14ac:dyDescent="0.25">
      <c r="A231">
        <v>328053</v>
      </c>
      <c r="B231" t="s">
        <v>14</v>
      </c>
      <c r="C231" t="s">
        <v>16</v>
      </c>
      <c r="D231">
        <v>55111</v>
      </c>
      <c r="E231">
        <v>196</v>
      </c>
      <c r="F231">
        <v>90</v>
      </c>
      <c r="G231">
        <v>20123</v>
      </c>
      <c r="H231" t="s">
        <v>0</v>
      </c>
      <c r="I231">
        <v>180357</v>
      </c>
      <c r="J231">
        <v>5920</v>
      </c>
      <c r="K231">
        <v>149627.37</v>
      </c>
      <c r="L231">
        <v>143827.53</v>
      </c>
      <c r="M231">
        <v>5799.84</v>
      </c>
      <c r="N231" s="3" t="str">
        <f t="shared" si="51"/>
        <v/>
      </c>
      <c r="O231" s="4" t="str">
        <f t="shared" si="51"/>
        <v/>
      </c>
      <c r="P231" s="4" t="str">
        <f t="shared" si="51"/>
        <v/>
      </c>
      <c r="Q231" s="4" t="str">
        <f t="shared" si="51"/>
        <v/>
      </c>
      <c r="R231" s="4" t="str">
        <f t="shared" si="51"/>
        <v/>
      </c>
      <c r="S231" s="4" t="str">
        <f t="shared" si="51"/>
        <v/>
      </c>
      <c r="T231" s="4" t="str">
        <f t="shared" si="51"/>
        <v/>
      </c>
      <c r="U231" s="4" t="str">
        <f t="shared" si="51"/>
        <v/>
      </c>
      <c r="V231" s="4" t="str">
        <f t="shared" si="48"/>
        <v/>
      </c>
      <c r="W231" s="4" t="str">
        <f t="shared" si="54"/>
        <v/>
      </c>
      <c r="X231" s="4" t="str">
        <f t="shared" si="54"/>
        <v/>
      </c>
      <c r="Y231" s="4" t="str">
        <f t="shared" si="54"/>
        <v/>
      </c>
      <c r="Z231" s="4" t="str">
        <f t="shared" si="54"/>
        <v/>
      </c>
      <c r="AA231" s="4" t="str">
        <f t="shared" si="54"/>
        <v/>
      </c>
      <c r="AB231" s="4" t="str">
        <f t="shared" si="54"/>
        <v/>
      </c>
      <c r="AC231" s="5" t="str">
        <f t="shared" si="54"/>
        <v/>
      </c>
      <c r="AD231" s="3" t="str">
        <f t="shared" si="52"/>
        <v/>
      </c>
      <c r="AE231" s="4" t="str">
        <f t="shared" si="52"/>
        <v/>
      </c>
      <c r="AF231" s="4">
        <f t="shared" si="52"/>
        <v>1</v>
      </c>
      <c r="AG231" s="4" t="str">
        <f t="shared" si="52"/>
        <v/>
      </c>
      <c r="AH231" s="4" t="str">
        <f t="shared" si="52"/>
        <v/>
      </c>
      <c r="AI231" s="4" t="str">
        <f t="shared" si="52"/>
        <v/>
      </c>
      <c r="AJ231" s="4" t="str">
        <f t="shared" si="52"/>
        <v/>
      </c>
      <c r="AK231" s="4" t="str">
        <f t="shared" si="52"/>
        <v/>
      </c>
      <c r="AL231" s="4" t="str">
        <f t="shared" si="49"/>
        <v/>
      </c>
      <c r="AM231" s="4" t="str">
        <f t="shared" si="55"/>
        <v/>
      </c>
      <c r="AN231" s="4" t="str">
        <f t="shared" si="55"/>
        <v/>
      </c>
      <c r="AO231" s="4" t="str">
        <f t="shared" si="55"/>
        <v/>
      </c>
      <c r="AP231" s="4" t="str">
        <f t="shared" si="55"/>
        <v/>
      </c>
      <c r="AQ231" s="4" t="str">
        <f t="shared" si="55"/>
        <v/>
      </c>
      <c r="AR231" s="4" t="str">
        <f t="shared" si="55"/>
        <v/>
      </c>
      <c r="AS231" s="5" t="str">
        <f t="shared" si="55"/>
        <v/>
      </c>
      <c r="AT231" s="3" t="str">
        <f t="shared" si="53"/>
        <v/>
      </c>
      <c r="AU231" s="4" t="str">
        <f t="shared" si="53"/>
        <v/>
      </c>
      <c r="AV231" s="4" t="str">
        <f t="shared" si="53"/>
        <v/>
      </c>
      <c r="AW231" s="4" t="str">
        <f t="shared" si="53"/>
        <v/>
      </c>
      <c r="AX231" s="4" t="str">
        <f t="shared" si="53"/>
        <v/>
      </c>
      <c r="AY231" s="4" t="str">
        <f t="shared" si="53"/>
        <v/>
      </c>
      <c r="AZ231" s="4" t="str">
        <f t="shared" si="53"/>
        <v/>
      </c>
      <c r="BA231" s="4" t="str">
        <f t="shared" si="53"/>
        <v/>
      </c>
      <c r="BB231" s="4" t="str">
        <f t="shared" si="50"/>
        <v/>
      </c>
      <c r="BC231" s="4" t="str">
        <f t="shared" si="56"/>
        <v/>
      </c>
      <c r="BD231" s="4" t="str">
        <f t="shared" si="56"/>
        <v/>
      </c>
      <c r="BE231" s="4" t="str">
        <f t="shared" si="56"/>
        <v/>
      </c>
      <c r="BF231" s="4" t="str">
        <f t="shared" si="56"/>
        <v/>
      </c>
      <c r="BG231" s="4" t="str">
        <f t="shared" si="56"/>
        <v/>
      </c>
      <c r="BH231" s="4" t="str">
        <f t="shared" si="56"/>
        <v/>
      </c>
      <c r="BI231" s="5" t="str">
        <f t="shared" si="56"/>
        <v/>
      </c>
    </row>
    <row r="232" spans="1:61" x14ac:dyDescent="0.25">
      <c r="A232">
        <v>328054</v>
      </c>
      <c r="B232" t="s">
        <v>14</v>
      </c>
      <c r="C232" t="s">
        <v>16</v>
      </c>
      <c r="D232">
        <v>55111</v>
      </c>
      <c r="E232">
        <v>196</v>
      </c>
      <c r="F232">
        <v>90</v>
      </c>
      <c r="G232">
        <v>20124</v>
      </c>
      <c r="H232" t="s">
        <v>0</v>
      </c>
      <c r="I232">
        <v>168424.08100000001</v>
      </c>
      <c r="J232">
        <v>5528</v>
      </c>
      <c r="K232">
        <v>100272.29</v>
      </c>
      <c r="L232">
        <v>95769</v>
      </c>
      <c r="M232">
        <v>4503.29</v>
      </c>
      <c r="N232" s="3" t="str">
        <f t="shared" si="51"/>
        <v/>
      </c>
      <c r="O232" s="4" t="str">
        <f t="shared" si="51"/>
        <v/>
      </c>
      <c r="P232" s="4" t="str">
        <f t="shared" si="51"/>
        <v/>
      </c>
      <c r="Q232" s="4" t="str">
        <f t="shared" si="51"/>
        <v/>
      </c>
      <c r="R232" s="4" t="str">
        <f t="shared" si="51"/>
        <v/>
      </c>
      <c r="S232" s="4" t="str">
        <f t="shared" si="51"/>
        <v/>
      </c>
      <c r="T232" s="4" t="str">
        <f t="shared" si="51"/>
        <v/>
      </c>
      <c r="U232" s="4" t="str">
        <f t="shared" si="51"/>
        <v/>
      </c>
      <c r="V232" s="4" t="str">
        <f t="shared" si="48"/>
        <v/>
      </c>
      <c r="W232" s="4" t="str">
        <f t="shared" si="54"/>
        <v/>
      </c>
      <c r="X232" s="4" t="str">
        <f t="shared" si="54"/>
        <v/>
      </c>
      <c r="Y232" s="4" t="str">
        <f t="shared" si="54"/>
        <v/>
      </c>
      <c r="Z232" s="4" t="str">
        <f t="shared" si="54"/>
        <v/>
      </c>
      <c r="AA232" s="4" t="str">
        <f t="shared" si="54"/>
        <v/>
      </c>
      <c r="AB232" s="4" t="str">
        <f t="shared" si="54"/>
        <v/>
      </c>
      <c r="AC232" s="5" t="str">
        <f t="shared" si="54"/>
        <v/>
      </c>
      <c r="AD232" s="3" t="str">
        <f t="shared" si="52"/>
        <v/>
      </c>
      <c r="AE232" s="4" t="str">
        <f t="shared" si="52"/>
        <v/>
      </c>
      <c r="AF232" s="4" t="str">
        <f t="shared" si="52"/>
        <v/>
      </c>
      <c r="AG232" s="4">
        <f t="shared" si="52"/>
        <v>1</v>
      </c>
      <c r="AH232" s="4" t="str">
        <f t="shared" si="52"/>
        <v/>
      </c>
      <c r="AI232" s="4" t="str">
        <f t="shared" si="52"/>
        <v/>
      </c>
      <c r="AJ232" s="4" t="str">
        <f t="shared" si="52"/>
        <v/>
      </c>
      <c r="AK232" s="4" t="str">
        <f t="shared" si="52"/>
        <v/>
      </c>
      <c r="AL232" s="4" t="str">
        <f t="shared" si="49"/>
        <v/>
      </c>
      <c r="AM232" s="4" t="str">
        <f t="shared" si="55"/>
        <v/>
      </c>
      <c r="AN232" s="4" t="str">
        <f t="shared" si="55"/>
        <v/>
      </c>
      <c r="AO232" s="4" t="str">
        <f t="shared" si="55"/>
        <v/>
      </c>
      <c r="AP232" s="4" t="str">
        <f t="shared" si="55"/>
        <v/>
      </c>
      <c r="AQ232" s="4" t="str">
        <f t="shared" si="55"/>
        <v/>
      </c>
      <c r="AR232" s="4" t="str">
        <f t="shared" si="55"/>
        <v/>
      </c>
      <c r="AS232" s="5" t="str">
        <f t="shared" si="55"/>
        <v/>
      </c>
      <c r="AT232" s="3" t="str">
        <f t="shared" si="53"/>
        <v/>
      </c>
      <c r="AU232" s="4" t="str">
        <f t="shared" si="53"/>
        <v/>
      </c>
      <c r="AV232" s="4" t="str">
        <f t="shared" si="53"/>
        <v/>
      </c>
      <c r="AW232" s="4" t="str">
        <f t="shared" si="53"/>
        <v/>
      </c>
      <c r="AX232" s="4" t="str">
        <f t="shared" si="53"/>
        <v/>
      </c>
      <c r="AY232" s="4" t="str">
        <f t="shared" si="53"/>
        <v/>
      </c>
      <c r="AZ232" s="4" t="str">
        <f t="shared" si="53"/>
        <v/>
      </c>
      <c r="BA232" s="4" t="str">
        <f t="shared" si="53"/>
        <v/>
      </c>
      <c r="BB232" s="4" t="str">
        <f t="shared" si="50"/>
        <v/>
      </c>
      <c r="BC232" s="4" t="str">
        <f t="shared" si="56"/>
        <v/>
      </c>
      <c r="BD232" s="4" t="str">
        <f t="shared" si="56"/>
        <v/>
      </c>
      <c r="BE232" s="4" t="str">
        <f t="shared" si="56"/>
        <v/>
      </c>
      <c r="BF232" s="4" t="str">
        <f t="shared" si="56"/>
        <v/>
      </c>
      <c r="BG232" s="4" t="str">
        <f t="shared" si="56"/>
        <v/>
      </c>
      <c r="BH232" s="4" t="str">
        <f t="shared" si="56"/>
        <v/>
      </c>
      <c r="BI232" s="5" t="str">
        <f t="shared" si="56"/>
        <v/>
      </c>
    </row>
    <row r="233" spans="1:61" x14ac:dyDescent="0.25">
      <c r="A233">
        <v>449860</v>
      </c>
      <c r="B233" t="s">
        <v>15</v>
      </c>
      <c r="C233" t="s">
        <v>16</v>
      </c>
      <c r="D233">
        <v>55111</v>
      </c>
      <c r="E233">
        <v>196</v>
      </c>
      <c r="F233">
        <v>5</v>
      </c>
      <c r="G233">
        <v>20122</v>
      </c>
      <c r="H233" t="s">
        <v>0</v>
      </c>
      <c r="I233">
        <v>64522.000999999997</v>
      </c>
      <c r="J233">
        <v>2168</v>
      </c>
      <c r="K233">
        <v>153683.06</v>
      </c>
      <c r="L233">
        <v>150656.04</v>
      </c>
      <c r="M233">
        <v>3027.02</v>
      </c>
      <c r="N233" s="3" t="str">
        <f t="shared" si="51"/>
        <v/>
      </c>
      <c r="O233" s="4" t="str">
        <f t="shared" si="51"/>
        <v/>
      </c>
      <c r="P233" s="4" t="str">
        <f t="shared" si="51"/>
        <v/>
      </c>
      <c r="Q233" s="4" t="str">
        <f t="shared" si="51"/>
        <v/>
      </c>
      <c r="R233" s="4" t="str">
        <f t="shared" si="51"/>
        <v/>
      </c>
      <c r="S233" s="4" t="str">
        <f t="shared" si="51"/>
        <v/>
      </c>
      <c r="T233" s="4" t="str">
        <f t="shared" si="51"/>
        <v/>
      </c>
      <c r="U233" s="4" t="str">
        <f t="shared" si="51"/>
        <v/>
      </c>
      <c r="V233" s="4" t="str">
        <f t="shared" si="48"/>
        <v/>
      </c>
      <c r="W233" s="4" t="str">
        <f t="shared" si="54"/>
        <v/>
      </c>
      <c r="X233" s="4" t="str">
        <f t="shared" si="54"/>
        <v/>
      </c>
      <c r="Y233" s="4" t="str">
        <f t="shared" si="54"/>
        <v/>
      </c>
      <c r="Z233" s="4" t="str">
        <f t="shared" si="54"/>
        <v/>
      </c>
      <c r="AA233" s="4" t="str">
        <f t="shared" si="54"/>
        <v/>
      </c>
      <c r="AB233" s="4" t="str">
        <f t="shared" si="54"/>
        <v/>
      </c>
      <c r="AC233" s="5" t="str">
        <f t="shared" si="54"/>
        <v/>
      </c>
      <c r="AD233" s="3" t="str">
        <f t="shared" si="52"/>
        <v/>
      </c>
      <c r="AE233" s="4" t="str">
        <f t="shared" si="52"/>
        <v/>
      </c>
      <c r="AF233" s="4" t="str">
        <f t="shared" si="52"/>
        <v/>
      </c>
      <c r="AG233" s="4" t="str">
        <f t="shared" si="52"/>
        <v/>
      </c>
      <c r="AH233" s="4" t="str">
        <f t="shared" si="52"/>
        <v/>
      </c>
      <c r="AI233" s="4">
        <f t="shared" si="52"/>
        <v>1</v>
      </c>
      <c r="AJ233" s="4" t="str">
        <f t="shared" si="52"/>
        <v/>
      </c>
      <c r="AK233" s="4" t="str">
        <f t="shared" si="52"/>
        <v/>
      </c>
      <c r="AL233" s="4" t="str">
        <f t="shared" si="49"/>
        <v/>
      </c>
      <c r="AM233" s="4" t="str">
        <f t="shared" si="55"/>
        <v/>
      </c>
      <c r="AN233" s="4" t="str">
        <f t="shared" si="55"/>
        <v/>
      </c>
      <c r="AO233" s="4" t="str">
        <f t="shared" si="55"/>
        <v/>
      </c>
      <c r="AP233" s="4" t="str">
        <f t="shared" si="55"/>
        <v/>
      </c>
      <c r="AQ233" s="4" t="str">
        <f t="shared" si="55"/>
        <v/>
      </c>
      <c r="AR233" s="4" t="str">
        <f t="shared" si="55"/>
        <v/>
      </c>
      <c r="AS233" s="5" t="str">
        <f t="shared" si="55"/>
        <v/>
      </c>
      <c r="AT233" s="3" t="str">
        <f t="shared" si="53"/>
        <v/>
      </c>
      <c r="AU233" s="4" t="str">
        <f t="shared" si="53"/>
        <v/>
      </c>
      <c r="AV233" s="4" t="str">
        <f t="shared" si="53"/>
        <v/>
      </c>
      <c r="AW233" s="4" t="str">
        <f t="shared" si="53"/>
        <v/>
      </c>
      <c r="AX233" s="4" t="str">
        <f t="shared" si="53"/>
        <v/>
      </c>
      <c r="AY233" s="4" t="str">
        <f t="shared" si="53"/>
        <v/>
      </c>
      <c r="AZ233" s="4" t="str">
        <f t="shared" si="53"/>
        <v/>
      </c>
      <c r="BA233" s="4" t="str">
        <f t="shared" si="53"/>
        <v/>
      </c>
      <c r="BB233" s="4" t="str">
        <f t="shared" si="50"/>
        <v/>
      </c>
      <c r="BC233" s="4" t="str">
        <f t="shared" si="56"/>
        <v/>
      </c>
      <c r="BD233" s="4" t="str">
        <f t="shared" si="56"/>
        <v/>
      </c>
      <c r="BE233" s="4" t="str">
        <f t="shared" si="56"/>
        <v/>
      </c>
      <c r="BF233" s="4" t="str">
        <f t="shared" si="56"/>
        <v/>
      </c>
      <c r="BG233" s="4" t="str">
        <f t="shared" si="56"/>
        <v/>
      </c>
      <c r="BH233" s="4" t="str">
        <f t="shared" si="56"/>
        <v/>
      </c>
      <c r="BI233" s="5" t="str">
        <f t="shared" si="56"/>
        <v/>
      </c>
    </row>
    <row r="234" spans="1:61" x14ac:dyDescent="0.25">
      <c r="A234">
        <v>449861</v>
      </c>
      <c r="B234" t="s">
        <v>15</v>
      </c>
      <c r="C234" t="s">
        <v>16</v>
      </c>
      <c r="D234">
        <v>55111</v>
      </c>
      <c r="E234">
        <v>196</v>
      </c>
      <c r="F234">
        <v>5</v>
      </c>
      <c r="G234">
        <v>20123</v>
      </c>
      <c r="H234" t="s">
        <v>0</v>
      </c>
      <c r="I234">
        <v>224445.00099999999</v>
      </c>
      <c r="J234">
        <v>7546</v>
      </c>
      <c r="K234">
        <v>323717.42</v>
      </c>
      <c r="L234">
        <v>322322.81</v>
      </c>
      <c r="M234">
        <v>1394.61</v>
      </c>
      <c r="N234" s="3" t="str">
        <f t="shared" si="51"/>
        <v/>
      </c>
      <c r="O234" s="4" t="str">
        <f t="shared" si="51"/>
        <v/>
      </c>
      <c r="P234" s="4" t="str">
        <f t="shared" si="51"/>
        <v/>
      </c>
      <c r="Q234" s="4" t="str">
        <f t="shared" si="51"/>
        <v/>
      </c>
      <c r="R234" s="4" t="str">
        <f t="shared" si="51"/>
        <v/>
      </c>
      <c r="S234" s="4" t="str">
        <f t="shared" si="51"/>
        <v/>
      </c>
      <c r="T234" s="4" t="str">
        <f t="shared" si="51"/>
        <v/>
      </c>
      <c r="U234" s="4" t="str">
        <f t="shared" si="51"/>
        <v/>
      </c>
      <c r="V234" s="4" t="str">
        <f t="shared" si="48"/>
        <v/>
      </c>
      <c r="W234" s="4" t="str">
        <f t="shared" si="54"/>
        <v/>
      </c>
      <c r="X234" s="4" t="str">
        <f t="shared" si="54"/>
        <v/>
      </c>
      <c r="Y234" s="4" t="str">
        <f t="shared" si="54"/>
        <v/>
      </c>
      <c r="Z234" s="4" t="str">
        <f t="shared" si="54"/>
        <v/>
      </c>
      <c r="AA234" s="4" t="str">
        <f t="shared" si="54"/>
        <v/>
      </c>
      <c r="AB234" s="4" t="str">
        <f t="shared" si="54"/>
        <v/>
      </c>
      <c r="AC234" s="5" t="str">
        <f t="shared" si="54"/>
        <v/>
      </c>
      <c r="AD234" s="3" t="str">
        <f t="shared" si="52"/>
        <v/>
      </c>
      <c r="AE234" s="4" t="str">
        <f t="shared" si="52"/>
        <v/>
      </c>
      <c r="AF234" s="4" t="str">
        <f t="shared" si="52"/>
        <v/>
      </c>
      <c r="AG234" s="4" t="str">
        <f t="shared" si="52"/>
        <v/>
      </c>
      <c r="AH234" s="4" t="str">
        <f t="shared" si="52"/>
        <v/>
      </c>
      <c r="AI234" s="4" t="str">
        <f t="shared" si="52"/>
        <v/>
      </c>
      <c r="AJ234" s="4">
        <f t="shared" si="52"/>
        <v>1</v>
      </c>
      <c r="AK234" s="4" t="str">
        <f t="shared" si="52"/>
        <v/>
      </c>
      <c r="AL234" s="4" t="str">
        <f t="shared" si="49"/>
        <v/>
      </c>
      <c r="AM234" s="4" t="str">
        <f t="shared" si="55"/>
        <v/>
      </c>
      <c r="AN234" s="4" t="str">
        <f t="shared" si="55"/>
        <v/>
      </c>
      <c r="AO234" s="4" t="str">
        <f t="shared" si="55"/>
        <v/>
      </c>
      <c r="AP234" s="4" t="str">
        <f t="shared" si="55"/>
        <v/>
      </c>
      <c r="AQ234" s="4" t="str">
        <f t="shared" si="55"/>
        <v/>
      </c>
      <c r="AR234" s="4" t="str">
        <f t="shared" si="55"/>
        <v/>
      </c>
      <c r="AS234" s="5" t="str">
        <f t="shared" si="55"/>
        <v/>
      </c>
      <c r="AT234" s="3" t="str">
        <f t="shared" si="53"/>
        <v/>
      </c>
      <c r="AU234" s="4" t="str">
        <f t="shared" si="53"/>
        <v/>
      </c>
      <c r="AV234" s="4" t="str">
        <f t="shared" si="53"/>
        <v/>
      </c>
      <c r="AW234" s="4" t="str">
        <f t="shared" si="53"/>
        <v/>
      </c>
      <c r="AX234" s="4" t="str">
        <f t="shared" si="53"/>
        <v/>
      </c>
      <c r="AY234" s="4" t="str">
        <f t="shared" si="53"/>
        <v/>
      </c>
      <c r="AZ234" s="4" t="str">
        <f t="shared" si="53"/>
        <v/>
      </c>
      <c r="BA234" s="4" t="str">
        <f t="shared" si="53"/>
        <v/>
      </c>
      <c r="BB234" s="4" t="str">
        <f t="shared" si="50"/>
        <v/>
      </c>
      <c r="BC234" s="4" t="str">
        <f t="shared" si="56"/>
        <v/>
      </c>
      <c r="BD234" s="4" t="str">
        <f t="shared" si="56"/>
        <v/>
      </c>
      <c r="BE234" s="4" t="str">
        <f t="shared" si="56"/>
        <v/>
      </c>
      <c r="BF234" s="4" t="str">
        <f t="shared" si="56"/>
        <v/>
      </c>
      <c r="BG234" s="4" t="str">
        <f t="shared" si="56"/>
        <v/>
      </c>
      <c r="BH234" s="4" t="str">
        <f t="shared" si="56"/>
        <v/>
      </c>
      <c r="BI234" s="5" t="str">
        <f t="shared" si="56"/>
        <v/>
      </c>
    </row>
    <row r="235" spans="1:61" x14ac:dyDescent="0.25">
      <c r="A235">
        <v>449862</v>
      </c>
      <c r="B235" t="s">
        <v>15</v>
      </c>
      <c r="C235" t="s">
        <v>16</v>
      </c>
      <c r="D235">
        <v>55111</v>
      </c>
      <c r="E235">
        <v>196</v>
      </c>
      <c r="F235">
        <v>5</v>
      </c>
      <c r="G235">
        <v>20124</v>
      </c>
      <c r="H235" t="s">
        <v>0</v>
      </c>
      <c r="I235">
        <v>294571.00199999998</v>
      </c>
      <c r="J235">
        <v>9904</v>
      </c>
      <c r="K235">
        <v>404517.72</v>
      </c>
      <c r="L235">
        <v>403319.77</v>
      </c>
      <c r="M235">
        <v>1197.95</v>
      </c>
      <c r="N235" s="3" t="str">
        <f t="shared" si="51"/>
        <v/>
      </c>
      <c r="O235" s="4" t="str">
        <f t="shared" si="51"/>
        <v/>
      </c>
      <c r="P235" s="4" t="str">
        <f t="shared" si="51"/>
        <v/>
      </c>
      <c r="Q235" s="4" t="str">
        <f t="shared" si="51"/>
        <v/>
      </c>
      <c r="R235" s="4" t="str">
        <f t="shared" si="51"/>
        <v/>
      </c>
      <c r="S235" s="4" t="str">
        <f t="shared" si="51"/>
        <v/>
      </c>
      <c r="T235" s="4" t="str">
        <f t="shared" si="51"/>
        <v/>
      </c>
      <c r="U235" s="4" t="str">
        <f t="shared" si="51"/>
        <v/>
      </c>
      <c r="V235" s="4" t="str">
        <f t="shared" si="48"/>
        <v/>
      </c>
      <c r="W235" s="4" t="str">
        <f t="shared" si="54"/>
        <v/>
      </c>
      <c r="X235" s="4" t="str">
        <f t="shared" si="54"/>
        <v/>
      </c>
      <c r="Y235" s="4" t="str">
        <f t="shared" si="54"/>
        <v/>
      </c>
      <c r="Z235" s="4" t="str">
        <f t="shared" si="54"/>
        <v/>
      </c>
      <c r="AA235" s="4" t="str">
        <f t="shared" si="54"/>
        <v/>
      </c>
      <c r="AB235" s="4" t="str">
        <f t="shared" si="54"/>
        <v/>
      </c>
      <c r="AC235" s="5" t="str">
        <f t="shared" si="54"/>
        <v/>
      </c>
      <c r="AD235" s="3" t="str">
        <f t="shared" si="52"/>
        <v/>
      </c>
      <c r="AE235" s="4" t="str">
        <f t="shared" si="52"/>
        <v/>
      </c>
      <c r="AF235" s="4" t="str">
        <f t="shared" si="52"/>
        <v/>
      </c>
      <c r="AG235" s="4" t="str">
        <f t="shared" si="52"/>
        <v/>
      </c>
      <c r="AH235" s="4" t="str">
        <f t="shared" si="52"/>
        <v/>
      </c>
      <c r="AI235" s="4" t="str">
        <f t="shared" si="52"/>
        <v/>
      </c>
      <c r="AJ235" s="4" t="str">
        <f t="shared" si="52"/>
        <v/>
      </c>
      <c r="AK235" s="4">
        <f t="shared" si="52"/>
        <v>1</v>
      </c>
      <c r="AL235" s="4" t="str">
        <f t="shared" si="49"/>
        <v/>
      </c>
      <c r="AM235" s="4" t="str">
        <f t="shared" si="55"/>
        <v/>
      </c>
      <c r="AN235" s="4" t="str">
        <f t="shared" si="55"/>
        <v/>
      </c>
      <c r="AO235" s="4" t="str">
        <f t="shared" si="55"/>
        <v/>
      </c>
      <c r="AP235" s="4" t="str">
        <f t="shared" si="55"/>
        <v/>
      </c>
      <c r="AQ235" s="4" t="str">
        <f t="shared" si="55"/>
        <v/>
      </c>
      <c r="AR235" s="4" t="str">
        <f t="shared" si="55"/>
        <v/>
      </c>
      <c r="AS235" s="5" t="str">
        <f t="shared" si="55"/>
        <v/>
      </c>
      <c r="AT235" s="3" t="str">
        <f t="shared" si="53"/>
        <v/>
      </c>
      <c r="AU235" s="4" t="str">
        <f t="shared" si="53"/>
        <v/>
      </c>
      <c r="AV235" s="4" t="str">
        <f t="shared" si="53"/>
        <v/>
      </c>
      <c r="AW235" s="4" t="str">
        <f t="shared" si="53"/>
        <v/>
      </c>
      <c r="AX235" s="4" t="str">
        <f t="shared" si="53"/>
        <v/>
      </c>
      <c r="AY235" s="4" t="str">
        <f t="shared" si="53"/>
        <v/>
      </c>
      <c r="AZ235" s="4" t="str">
        <f t="shared" si="53"/>
        <v/>
      </c>
      <c r="BA235" s="4" t="str">
        <f t="shared" si="53"/>
        <v/>
      </c>
      <c r="BB235" s="4" t="str">
        <f t="shared" si="50"/>
        <v/>
      </c>
      <c r="BC235" s="4" t="str">
        <f t="shared" si="56"/>
        <v/>
      </c>
      <c r="BD235" s="4" t="str">
        <f t="shared" si="56"/>
        <v/>
      </c>
      <c r="BE235" s="4" t="str">
        <f t="shared" si="56"/>
        <v/>
      </c>
      <c r="BF235" s="4" t="str">
        <f t="shared" si="56"/>
        <v/>
      </c>
      <c r="BG235" s="4" t="str">
        <f t="shared" si="56"/>
        <v/>
      </c>
      <c r="BH235" s="4" t="str">
        <f t="shared" si="56"/>
        <v/>
      </c>
      <c r="BI235" s="5" t="str">
        <f t="shared" si="56"/>
        <v/>
      </c>
    </row>
    <row r="236" spans="1:61" x14ac:dyDescent="0.25">
      <c r="A236">
        <v>449863</v>
      </c>
      <c r="B236" t="s">
        <v>15</v>
      </c>
      <c r="C236" t="s">
        <v>16</v>
      </c>
      <c r="D236">
        <v>55111</v>
      </c>
      <c r="E236">
        <v>196</v>
      </c>
      <c r="F236">
        <v>30</v>
      </c>
      <c r="G236">
        <v>20122</v>
      </c>
      <c r="H236" t="s">
        <v>0</v>
      </c>
      <c r="I236">
        <v>337589</v>
      </c>
      <c r="J236">
        <v>11233</v>
      </c>
      <c r="K236">
        <v>817927.84</v>
      </c>
      <c r="L236">
        <v>813751.82</v>
      </c>
      <c r="M236">
        <v>4176.0200000000004</v>
      </c>
      <c r="N236" s="3" t="str">
        <f t="shared" si="51"/>
        <v/>
      </c>
      <c r="O236" s="4" t="str">
        <f t="shared" si="51"/>
        <v/>
      </c>
      <c r="P236" s="4" t="str">
        <f t="shared" si="51"/>
        <v/>
      </c>
      <c r="Q236" s="4" t="str">
        <f t="shared" si="51"/>
        <v/>
      </c>
      <c r="R236" s="4" t="str">
        <f t="shared" si="51"/>
        <v/>
      </c>
      <c r="S236" s="4" t="str">
        <f t="shared" si="51"/>
        <v/>
      </c>
      <c r="T236" s="4" t="str">
        <f t="shared" si="51"/>
        <v/>
      </c>
      <c r="U236" s="4" t="str">
        <f t="shared" si="51"/>
        <v/>
      </c>
      <c r="V236" s="4" t="str">
        <f t="shared" si="48"/>
        <v/>
      </c>
      <c r="W236" s="4" t="str">
        <f t="shared" si="54"/>
        <v/>
      </c>
      <c r="X236" s="4" t="str">
        <f t="shared" si="54"/>
        <v/>
      </c>
      <c r="Y236" s="4" t="str">
        <f t="shared" si="54"/>
        <v/>
      </c>
      <c r="Z236" s="4" t="str">
        <f t="shared" si="54"/>
        <v/>
      </c>
      <c r="AA236" s="4" t="str">
        <f t="shared" si="54"/>
        <v/>
      </c>
      <c r="AB236" s="4" t="str">
        <f t="shared" si="54"/>
        <v/>
      </c>
      <c r="AC236" s="5" t="str">
        <f t="shared" si="54"/>
        <v/>
      </c>
      <c r="AD236" s="3" t="str">
        <f t="shared" si="52"/>
        <v/>
      </c>
      <c r="AE236" s="4" t="str">
        <f t="shared" si="52"/>
        <v/>
      </c>
      <c r="AF236" s="4" t="str">
        <f t="shared" si="52"/>
        <v/>
      </c>
      <c r="AG236" s="4" t="str">
        <f t="shared" si="52"/>
        <v/>
      </c>
      <c r="AH236" s="4" t="str">
        <f t="shared" si="52"/>
        <v/>
      </c>
      <c r="AI236" s="4">
        <f t="shared" si="52"/>
        <v>1</v>
      </c>
      <c r="AJ236" s="4" t="str">
        <f t="shared" si="52"/>
        <v/>
      </c>
      <c r="AK236" s="4" t="str">
        <f t="shared" si="52"/>
        <v/>
      </c>
      <c r="AL236" s="4" t="str">
        <f t="shared" si="49"/>
        <v/>
      </c>
      <c r="AM236" s="4" t="str">
        <f t="shared" si="55"/>
        <v/>
      </c>
      <c r="AN236" s="4" t="str">
        <f t="shared" si="55"/>
        <v/>
      </c>
      <c r="AO236" s="4" t="str">
        <f t="shared" si="55"/>
        <v/>
      </c>
      <c r="AP236" s="4" t="str">
        <f t="shared" si="55"/>
        <v/>
      </c>
      <c r="AQ236" s="4" t="str">
        <f t="shared" si="55"/>
        <v/>
      </c>
      <c r="AR236" s="4" t="str">
        <f t="shared" si="55"/>
        <v/>
      </c>
      <c r="AS236" s="5" t="str">
        <f t="shared" si="55"/>
        <v/>
      </c>
      <c r="AT236" s="3" t="str">
        <f t="shared" si="53"/>
        <v/>
      </c>
      <c r="AU236" s="4" t="str">
        <f t="shared" si="53"/>
        <v/>
      </c>
      <c r="AV236" s="4" t="str">
        <f t="shared" si="53"/>
        <v/>
      </c>
      <c r="AW236" s="4" t="str">
        <f t="shared" si="53"/>
        <v/>
      </c>
      <c r="AX236" s="4" t="str">
        <f t="shared" si="53"/>
        <v/>
      </c>
      <c r="AY236" s="4" t="str">
        <f t="shared" si="53"/>
        <v/>
      </c>
      <c r="AZ236" s="4" t="str">
        <f t="shared" si="53"/>
        <v/>
      </c>
      <c r="BA236" s="4" t="str">
        <f t="shared" si="53"/>
        <v/>
      </c>
      <c r="BB236" s="4" t="str">
        <f t="shared" si="50"/>
        <v/>
      </c>
      <c r="BC236" s="4" t="str">
        <f t="shared" si="56"/>
        <v/>
      </c>
      <c r="BD236" s="4" t="str">
        <f t="shared" si="56"/>
        <v/>
      </c>
      <c r="BE236" s="4" t="str">
        <f t="shared" si="56"/>
        <v/>
      </c>
      <c r="BF236" s="4" t="str">
        <f t="shared" si="56"/>
        <v/>
      </c>
      <c r="BG236" s="4" t="str">
        <f t="shared" si="56"/>
        <v/>
      </c>
      <c r="BH236" s="4" t="str">
        <f t="shared" si="56"/>
        <v/>
      </c>
      <c r="BI236" s="5" t="str">
        <f t="shared" si="56"/>
        <v/>
      </c>
    </row>
    <row r="237" spans="1:61" x14ac:dyDescent="0.25">
      <c r="A237">
        <v>449864</v>
      </c>
      <c r="B237" t="s">
        <v>15</v>
      </c>
      <c r="C237" t="s">
        <v>16</v>
      </c>
      <c r="D237">
        <v>55111</v>
      </c>
      <c r="E237">
        <v>196</v>
      </c>
      <c r="F237">
        <v>30</v>
      </c>
      <c r="G237">
        <v>20123</v>
      </c>
      <c r="H237" t="s">
        <v>0</v>
      </c>
      <c r="I237">
        <v>993281.99300000002</v>
      </c>
      <c r="J237">
        <v>32832</v>
      </c>
      <c r="K237">
        <v>1357683.59</v>
      </c>
      <c r="L237">
        <v>1353666.44</v>
      </c>
      <c r="M237">
        <v>4017.15</v>
      </c>
      <c r="N237" s="3" t="str">
        <f t="shared" si="51"/>
        <v/>
      </c>
      <c r="O237" s="4" t="str">
        <f t="shared" si="51"/>
        <v/>
      </c>
      <c r="P237" s="4" t="str">
        <f t="shared" si="51"/>
        <v/>
      </c>
      <c r="Q237" s="4" t="str">
        <f t="shared" si="51"/>
        <v/>
      </c>
      <c r="R237" s="4" t="str">
        <f t="shared" si="51"/>
        <v/>
      </c>
      <c r="S237" s="4" t="str">
        <f t="shared" si="51"/>
        <v/>
      </c>
      <c r="T237" s="4" t="str">
        <f t="shared" si="51"/>
        <v/>
      </c>
      <c r="U237" s="4" t="str">
        <f t="shared" si="51"/>
        <v/>
      </c>
      <c r="V237" s="4" t="str">
        <f t="shared" si="48"/>
        <v/>
      </c>
      <c r="W237" s="4" t="str">
        <f t="shared" si="54"/>
        <v/>
      </c>
      <c r="X237" s="4" t="str">
        <f t="shared" si="54"/>
        <v/>
      </c>
      <c r="Y237" s="4" t="str">
        <f t="shared" si="54"/>
        <v/>
      </c>
      <c r="Z237" s="4" t="str">
        <f t="shared" si="54"/>
        <v/>
      </c>
      <c r="AA237" s="4" t="str">
        <f t="shared" si="54"/>
        <v/>
      </c>
      <c r="AB237" s="4" t="str">
        <f t="shared" si="54"/>
        <v/>
      </c>
      <c r="AC237" s="5" t="str">
        <f t="shared" si="54"/>
        <v/>
      </c>
      <c r="AD237" s="3" t="str">
        <f t="shared" si="52"/>
        <v/>
      </c>
      <c r="AE237" s="4" t="str">
        <f t="shared" si="52"/>
        <v/>
      </c>
      <c r="AF237" s="4" t="str">
        <f t="shared" si="52"/>
        <v/>
      </c>
      <c r="AG237" s="4" t="str">
        <f t="shared" si="52"/>
        <v/>
      </c>
      <c r="AH237" s="4" t="str">
        <f t="shared" si="52"/>
        <v/>
      </c>
      <c r="AI237" s="4" t="str">
        <f t="shared" si="52"/>
        <v/>
      </c>
      <c r="AJ237" s="4">
        <f t="shared" si="52"/>
        <v>1</v>
      </c>
      <c r="AK237" s="4" t="str">
        <f t="shared" si="52"/>
        <v/>
      </c>
      <c r="AL237" s="4" t="str">
        <f t="shared" si="49"/>
        <v/>
      </c>
      <c r="AM237" s="4" t="str">
        <f t="shared" si="55"/>
        <v/>
      </c>
      <c r="AN237" s="4" t="str">
        <f t="shared" si="55"/>
        <v/>
      </c>
      <c r="AO237" s="4" t="str">
        <f t="shared" si="55"/>
        <v/>
      </c>
      <c r="AP237" s="4" t="str">
        <f t="shared" si="55"/>
        <v/>
      </c>
      <c r="AQ237" s="4" t="str">
        <f t="shared" si="55"/>
        <v/>
      </c>
      <c r="AR237" s="4" t="str">
        <f t="shared" si="55"/>
        <v/>
      </c>
      <c r="AS237" s="5" t="str">
        <f t="shared" si="55"/>
        <v/>
      </c>
      <c r="AT237" s="3" t="str">
        <f t="shared" si="53"/>
        <v/>
      </c>
      <c r="AU237" s="4" t="str">
        <f t="shared" si="53"/>
        <v/>
      </c>
      <c r="AV237" s="4" t="str">
        <f t="shared" si="53"/>
        <v/>
      </c>
      <c r="AW237" s="4" t="str">
        <f t="shared" si="53"/>
        <v/>
      </c>
      <c r="AX237" s="4" t="str">
        <f t="shared" si="53"/>
        <v/>
      </c>
      <c r="AY237" s="4" t="str">
        <f t="shared" si="53"/>
        <v/>
      </c>
      <c r="AZ237" s="4" t="str">
        <f t="shared" si="53"/>
        <v/>
      </c>
      <c r="BA237" s="4" t="str">
        <f t="shared" si="53"/>
        <v/>
      </c>
      <c r="BB237" s="4" t="str">
        <f t="shared" si="50"/>
        <v/>
      </c>
      <c r="BC237" s="4" t="str">
        <f t="shared" si="56"/>
        <v/>
      </c>
      <c r="BD237" s="4" t="str">
        <f t="shared" si="56"/>
        <v/>
      </c>
      <c r="BE237" s="4" t="str">
        <f t="shared" si="56"/>
        <v/>
      </c>
      <c r="BF237" s="4" t="str">
        <f t="shared" si="56"/>
        <v/>
      </c>
      <c r="BG237" s="4" t="str">
        <f t="shared" si="56"/>
        <v/>
      </c>
      <c r="BH237" s="4" t="str">
        <f t="shared" si="56"/>
        <v/>
      </c>
      <c r="BI237" s="5" t="str">
        <f t="shared" si="56"/>
        <v/>
      </c>
    </row>
    <row r="238" spans="1:61" x14ac:dyDescent="0.25">
      <c r="A238">
        <v>449865</v>
      </c>
      <c r="B238" t="s">
        <v>15</v>
      </c>
      <c r="C238" t="s">
        <v>16</v>
      </c>
      <c r="D238">
        <v>55111</v>
      </c>
      <c r="E238">
        <v>196</v>
      </c>
      <c r="F238">
        <v>30</v>
      </c>
      <c r="G238">
        <v>20124</v>
      </c>
      <c r="H238" t="s">
        <v>0</v>
      </c>
      <c r="I238">
        <v>978363.94200000004</v>
      </c>
      <c r="J238">
        <v>32152</v>
      </c>
      <c r="K238">
        <v>1282877.1200000001</v>
      </c>
      <c r="L238">
        <v>1278647.8999999999</v>
      </c>
      <c r="M238">
        <v>4229.22</v>
      </c>
      <c r="N238" s="3" t="str">
        <f t="shared" si="51"/>
        <v/>
      </c>
      <c r="O238" s="4" t="str">
        <f t="shared" si="51"/>
        <v/>
      </c>
      <c r="P238" s="4" t="str">
        <f t="shared" si="51"/>
        <v/>
      </c>
      <c r="Q238" s="4" t="str">
        <f t="shared" si="51"/>
        <v/>
      </c>
      <c r="R238" s="4" t="str">
        <f t="shared" si="51"/>
        <v/>
      </c>
      <c r="S238" s="4" t="str">
        <f t="shared" si="51"/>
        <v/>
      </c>
      <c r="T238" s="4" t="str">
        <f t="shared" si="51"/>
        <v/>
      </c>
      <c r="U238" s="4" t="str">
        <f t="shared" si="51"/>
        <v/>
      </c>
      <c r="V238" s="4" t="str">
        <f t="shared" si="48"/>
        <v/>
      </c>
      <c r="W238" s="4" t="str">
        <f t="shared" si="54"/>
        <v/>
      </c>
      <c r="X238" s="4" t="str">
        <f t="shared" si="54"/>
        <v/>
      </c>
      <c r="Y238" s="4" t="str">
        <f t="shared" si="54"/>
        <v/>
      </c>
      <c r="Z238" s="4" t="str">
        <f t="shared" si="54"/>
        <v/>
      </c>
      <c r="AA238" s="4" t="str">
        <f t="shared" si="54"/>
        <v/>
      </c>
      <c r="AB238" s="4" t="str">
        <f t="shared" si="54"/>
        <v/>
      </c>
      <c r="AC238" s="5" t="str">
        <f t="shared" si="54"/>
        <v/>
      </c>
      <c r="AD238" s="3" t="str">
        <f t="shared" si="52"/>
        <v/>
      </c>
      <c r="AE238" s="4" t="str">
        <f t="shared" si="52"/>
        <v/>
      </c>
      <c r="AF238" s="4" t="str">
        <f t="shared" si="52"/>
        <v/>
      </c>
      <c r="AG238" s="4" t="str">
        <f t="shared" si="52"/>
        <v/>
      </c>
      <c r="AH238" s="4" t="str">
        <f t="shared" si="52"/>
        <v/>
      </c>
      <c r="AI238" s="4" t="str">
        <f t="shared" si="52"/>
        <v/>
      </c>
      <c r="AJ238" s="4" t="str">
        <f t="shared" si="52"/>
        <v/>
      </c>
      <c r="AK238" s="4">
        <f t="shared" si="52"/>
        <v>1</v>
      </c>
      <c r="AL238" s="4" t="str">
        <f t="shared" si="49"/>
        <v/>
      </c>
      <c r="AM238" s="4" t="str">
        <f t="shared" si="55"/>
        <v/>
      </c>
      <c r="AN238" s="4" t="str">
        <f t="shared" si="55"/>
        <v/>
      </c>
      <c r="AO238" s="4" t="str">
        <f t="shared" si="55"/>
        <v/>
      </c>
      <c r="AP238" s="4" t="str">
        <f t="shared" si="55"/>
        <v/>
      </c>
      <c r="AQ238" s="4" t="str">
        <f t="shared" si="55"/>
        <v/>
      </c>
      <c r="AR238" s="4" t="str">
        <f t="shared" si="55"/>
        <v/>
      </c>
      <c r="AS238" s="5" t="str">
        <f t="shared" si="55"/>
        <v/>
      </c>
      <c r="AT238" s="3" t="str">
        <f t="shared" si="53"/>
        <v/>
      </c>
      <c r="AU238" s="4" t="str">
        <f t="shared" si="53"/>
        <v/>
      </c>
      <c r="AV238" s="4" t="str">
        <f t="shared" si="53"/>
        <v/>
      </c>
      <c r="AW238" s="4" t="str">
        <f t="shared" si="53"/>
        <v/>
      </c>
      <c r="AX238" s="4" t="str">
        <f t="shared" si="53"/>
        <v/>
      </c>
      <c r="AY238" s="4" t="str">
        <f t="shared" si="53"/>
        <v/>
      </c>
      <c r="AZ238" s="4" t="str">
        <f t="shared" si="53"/>
        <v/>
      </c>
      <c r="BA238" s="4" t="str">
        <f t="shared" si="53"/>
        <v/>
      </c>
      <c r="BB238" s="4" t="str">
        <f t="shared" si="50"/>
        <v/>
      </c>
      <c r="BC238" s="4" t="str">
        <f t="shared" si="56"/>
        <v/>
      </c>
      <c r="BD238" s="4" t="str">
        <f t="shared" si="56"/>
        <v/>
      </c>
      <c r="BE238" s="4" t="str">
        <f t="shared" si="56"/>
        <v/>
      </c>
      <c r="BF238" s="4" t="str">
        <f t="shared" si="56"/>
        <v/>
      </c>
      <c r="BG238" s="4" t="str">
        <f t="shared" si="56"/>
        <v/>
      </c>
      <c r="BH238" s="4" t="str">
        <f t="shared" si="56"/>
        <v/>
      </c>
      <c r="BI238" s="5" t="str">
        <f t="shared" si="56"/>
        <v/>
      </c>
    </row>
    <row r="239" spans="1:61" x14ac:dyDescent="0.25">
      <c r="A239">
        <v>449866</v>
      </c>
      <c r="B239" t="s">
        <v>15</v>
      </c>
      <c r="C239" t="s">
        <v>16</v>
      </c>
      <c r="D239">
        <v>55111</v>
      </c>
      <c r="E239">
        <v>196</v>
      </c>
      <c r="F239">
        <v>90</v>
      </c>
      <c r="G239">
        <v>20122</v>
      </c>
      <c r="H239" t="s">
        <v>0</v>
      </c>
      <c r="I239">
        <v>59173</v>
      </c>
      <c r="J239">
        <v>1956</v>
      </c>
      <c r="K239">
        <v>151682.51999999999</v>
      </c>
      <c r="L239">
        <v>150059.45000000001</v>
      </c>
      <c r="M239">
        <v>1623.07</v>
      </c>
      <c r="N239" s="3" t="str">
        <f t="shared" si="51"/>
        <v/>
      </c>
      <c r="O239" s="4" t="str">
        <f t="shared" si="51"/>
        <v/>
      </c>
      <c r="P239" s="4" t="str">
        <f t="shared" si="51"/>
        <v/>
      </c>
      <c r="Q239" s="4" t="str">
        <f t="shared" si="51"/>
        <v/>
      </c>
      <c r="R239" s="4" t="str">
        <f t="shared" si="51"/>
        <v/>
      </c>
      <c r="S239" s="4" t="str">
        <f t="shared" si="51"/>
        <v/>
      </c>
      <c r="T239" s="4" t="str">
        <f t="shared" si="51"/>
        <v/>
      </c>
      <c r="U239" s="4" t="str">
        <f t="shared" si="51"/>
        <v/>
      </c>
      <c r="V239" s="4" t="str">
        <f t="shared" si="48"/>
        <v/>
      </c>
      <c r="W239" s="4" t="str">
        <f t="shared" si="54"/>
        <v/>
      </c>
      <c r="X239" s="4" t="str">
        <f t="shared" si="54"/>
        <v/>
      </c>
      <c r="Y239" s="4" t="str">
        <f t="shared" si="54"/>
        <v/>
      </c>
      <c r="Z239" s="4" t="str">
        <f t="shared" si="54"/>
        <v/>
      </c>
      <c r="AA239" s="4" t="str">
        <f t="shared" si="54"/>
        <v/>
      </c>
      <c r="AB239" s="4" t="str">
        <f t="shared" si="54"/>
        <v/>
      </c>
      <c r="AC239" s="5" t="str">
        <f t="shared" si="54"/>
        <v/>
      </c>
      <c r="AD239" s="3" t="str">
        <f t="shared" si="52"/>
        <v/>
      </c>
      <c r="AE239" s="4" t="str">
        <f t="shared" si="52"/>
        <v/>
      </c>
      <c r="AF239" s="4" t="str">
        <f t="shared" si="52"/>
        <v/>
      </c>
      <c r="AG239" s="4" t="str">
        <f t="shared" si="52"/>
        <v/>
      </c>
      <c r="AH239" s="4" t="str">
        <f t="shared" si="52"/>
        <v/>
      </c>
      <c r="AI239" s="4">
        <f t="shared" si="52"/>
        <v>1</v>
      </c>
      <c r="AJ239" s="4" t="str">
        <f t="shared" si="52"/>
        <v/>
      </c>
      <c r="AK239" s="4" t="str">
        <f t="shared" si="52"/>
        <v/>
      </c>
      <c r="AL239" s="4" t="str">
        <f t="shared" si="49"/>
        <v/>
      </c>
      <c r="AM239" s="4" t="str">
        <f t="shared" si="55"/>
        <v/>
      </c>
      <c r="AN239" s="4" t="str">
        <f t="shared" si="55"/>
        <v/>
      </c>
      <c r="AO239" s="4" t="str">
        <f t="shared" si="55"/>
        <v/>
      </c>
      <c r="AP239" s="4" t="str">
        <f t="shared" si="55"/>
        <v/>
      </c>
      <c r="AQ239" s="4" t="str">
        <f t="shared" si="55"/>
        <v/>
      </c>
      <c r="AR239" s="4" t="str">
        <f t="shared" si="55"/>
        <v/>
      </c>
      <c r="AS239" s="5" t="str">
        <f t="shared" si="55"/>
        <v/>
      </c>
      <c r="AT239" s="3" t="str">
        <f t="shared" si="53"/>
        <v/>
      </c>
      <c r="AU239" s="4" t="str">
        <f t="shared" si="53"/>
        <v/>
      </c>
      <c r="AV239" s="4" t="str">
        <f t="shared" si="53"/>
        <v/>
      </c>
      <c r="AW239" s="4" t="str">
        <f t="shared" si="53"/>
        <v/>
      </c>
      <c r="AX239" s="4" t="str">
        <f t="shared" si="53"/>
        <v/>
      </c>
      <c r="AY239" s="4" t="str">
        <f t="shared" si="53"/>
        <v/>
      </c>
      <c r="AZ239" s="4" t="str">
        <f t="shared" si="53"/>
        <v/>
      </c>
      <c r="BA239" s="4" t="str">
        <f t="shared" si="53"/>
        <v/>
      </c>
      <c r="BB239" s="4" t="str">
        <f t="shared" si="50"/>
        <v/>
      </c>
      <c r="BC239" s="4" t="str">
        <f t="shared" si="56"/>
        <v/>
      </c>
      <c r="BD239" s="4" t="str">
        <f t="shared" si="56"/>
        <v/>
      </c>
      <c r="BE239" s="4" t="str">
        <f t="shared" si="56"/>
        <v/>
      </c>
      <c r="BF239" s="4" t="str">
        <f t="shared" si="56"/>
        <v/>
      </c>
      <c r="BG239" s="4" t="str">
        <f t="shared" si="56"/>
        <v/>
      </c>
      <c r="BH239" s="4" t="str">
        <f t="shared" si="56"/>
        <v/>
      </c>
      <c r="BI239" s="5" t="str">
        <f t="shared" si="56"/>
        <v/>
      </c>
    </row>
    <row r="240" spans="1:61" x14ac:dyDescent="0.25">
      <c r="A240">
        <v>449867</v>
      </c>
      <c r="B240" t="s">
        <v>15</v>
      </c>
      <c r="C240" t="s">
        <v>16</v>
      </c>
      <c r="D240">
        <v>55111</v>
      </c>
      <c r="E240">
        <v>196</v>
      </c>
      <c r="F240">
        <v>90</v>
      </c>
      <c r="G240">
        <v>20123</v>
      </c>
      <c r="H240" t="s">
        <v>0</v>
      </c>
      <c r="I240">
        <v>173898.00200000001</v>
      </c>
      <c r="J240">
        <v>5783</v>
      </c>
      <c r="K240">
        <v>257405.24</v>
      </c>
      <c r="L240">
        <v>256389.49</v>
      </c>
      <c r="M240">
        <v>1015.75</v>
      </c>
      <c r="N240" s="3" t="str">
        <f t="shared" si="51"/>
        <v/>
      </c>
      <c r="O240" s="4" t="str">
        <f t="shared" si="51"/>
        <v/>
      </c>
      <c r="P240" s="4" t="str">
        <f t="shared" si="51"/>
        <v/>
      </c>
      <c r="Q240" s="4" t="str">
        <f t="shared" si="51"/>
        <v/>
      </c>
      <c r="R240" s="4" t="str">
        <f t="shared" si="51"/>
        <v/>
      </c>
      <c r="S240" s="4" t="str">
        <f t="shared" si="51"/>
        <v/>
      </c>
      <c r="T240" s="4" t="str">
        <f t="shared" si="51"/>
        <v/>
      </c>
      <c r="U240" s="4" t="str">
        <f t="shared" si="51"/>
        <v/>
      </c>
      <c r="V240" s="4" t="str">
        <f t="shared" si="48"/>
        <v/>
      </c>
      <c r="W240" s="4" t="str">
        <f t="shared" si="54"/>
        <v/>
      </c>
      <c r="X240" s="4" t="str">
        <f t="shared" si="54"/>
        <v/>
      </c>
      <c r="Y240" s="4" t="str">
        <f t="shared" si="54"/>
        <v/>
      </c>
      <c r="Z240" s="4" t="str">
        <f t="shared" si="54"/>
        <v/>
      </c>
      <c r="AA240" s="4" t="str">
        <f t="shared" si="54"/>
        <v/>
      </c>
      <c r="AB240" s="4" t="str">
        <f t="shared" si="54"/>
        <v/>
      </c>
      <c r="AC240" s="5" t="str">
        <f t="shared" si="54"/>
        <v/>
      </c>
      <c r="AD240" s="3" t="str">
        <f t="shared" si="52"/>
        <v/>
      </c>
      <c r="AE240" s="4" t="str">
        <f t="shared" si="52"/>
        <v/>
      </c>
      <c r="AF240" s="4" t="str">
        <f t="shared" si="52"/>
        <v/>
      </c>
      <c r="AG240" s="4" t="str">
        <f t="shared" si="52"/>
        <v/>
      </c>
      <c r="AH240" s="4" t="str">
        <f t="shared" si="52"/>
        <v/>
      </c>
      <c r="AI240" s="4" t="str">
        <f t="shared" si="52"/>
        <v/>
      </c>
      <c r="AJ240" s="4">
        <f t="shared" si="52"/>
        <v>1</v>
      </c>
      <c r="AK240" s="4" t="str">
        <f t="shared" si="52"/>
        <v/>
      </c>
      <c r="AL240" s="4" t="str">
        <f t="shared" si="49"/>
        <v/>
      </c>
      <c r="AM240" s="4" t="str">
        <f t="shared" si="55"/>
        <v/>
      </c>
      <c r="AN240" s="4" t="str">
        <f t="shared" si="55"/>
        <v/>
      </c>
      <c r="AO240" s="4" t="str">
        <f t="shared" si="55"/>
        <v/>
      </c>
      <c r="AP240" s="4" t="str">
        <f t="shared" si="55"/>
        <v/>
      </c>
      <c r="AQ240" s="4" t="str">
        <f t="shared" si="55"/>
        <v/>
      </c>
      <c r="AR240" s="4" t="str">
        <f t="shared" si="55"/>
        <v/>
      </c>
      <c r="AS240" s="5" t="str">
        <f t="shared" si="55"/>
        <v/>
      </c>
      <c r="AT240" s="3" t="str">
        <f t="shared" si="53"/>
        <v/>
      </c>
      <c r="AU240" s="4" t="str">
        <f t="shared" si="53"/>
        <v/>
      </c>
      <c r="AV240" s="4" t="str">
        <f t="shared" si="53"/>
        <v/>
      </c>
      <c r="AW240" s="4" t="str">
        <f t="shared" si="53"/>
        <v/>
      </c>
      <c r="AX240" s="4" t="str">
        <f t="shared" si="53"/>
        <v/>
      </c>
      <c r="AY240" s="4" t="str">
        <f t="shared" si="53"/>
        <v/>
      </c>
      <c r="AZ240" s="4" t="str">
        <f t="shared" si="53"/>
        <v/>
      </c>
      <c r="BA240" s="4" t="str">
        <f t="shared" si="53"/>
        <v/>
      </c>
      <c r="BB240" s="4" t="str">
        <f t="shared" si="50"/>
        <v/>
      </c>
      <c r="BC240" s="4" t="str">
        <f t="shared" si="56"/>
        <v/>
      </c>
      <c r="BD240" s="4" t="str">
        <f t="shared" si="56"/>
        <v/>
      </c>
      <c r="BE240" s="4" t="str">
        <f t="shared" si="56"/>
        <v/>
      </c>
      <c r="BF240" s="4" t="str">
        <f t="shared" si="56"/>
        <v/>
      </c>
      <c r="BG240" s="4" t="str">
        <f t="shared" si="56"/>
        <v/>
      </c>
      <c r="BH240" s="4" t="str">
        <f t="shared" si="56"/>
        <v/>
      </c>
      <c r="BI240" s="5" t="str">
        <f t="shared" si="56"/>
        <v/>
      </c>
    </row>
    <row r="241" spans="1:61" x14ac:dyDescent="0.25">
      <c r="A241">
        <v>449868</v>
      </c>
      <c r="B241" t="s">
        <v>15</v>
      </c>
      <c r="C241" t="s">
        <v>16</v>
      </c>
      <c r="D241">
        <v>55111</v>
      </c>
      <c r="E241">
        <v>196</v>
      </c>
      <c r="F241">
        <v>90</v>
      </c>
      <c r="G241">
        <v>20124</v>
      </c>
      <c r="H241" t="s">
        <v>0</v>
      </c>
      <c r="I241">
        <v>167480</v>
      </c>
      <c r="J241">
        <v>5567</v>
      </c>
      <c r="K241">
        <v>244920.44</v>
      </c>
      <c r="L241">
        <v>243742.58</v>
      </c>
      <c r="M241">
        <v>1177.8599999999999</v>
      </c>
      <c r="N241" s="3" t="str">
        <f t="shared" si="51"/>
        <v/>
      </c>
      <c r="O241" s="4" t="str">
        <f t="shared" si="51"/>
        <v/>
      </c>
      <c r="P241" s="4" t="str">
        <f t="shared" si="51"/>
        <v/>
      </c>
      <c r="Q241" s="4" t="str">
        <f t="shared" si="51"/>
        <v/>
      </c>
      <c r="R241" s="4" t="str">
        <f t="shared" si="51"/>
        <v/>
      </c>
      <c r="S241" s="4" t="str">
        <f t="shared" si="51"/>
        <v/>
      </c>
      <c r="T241" s="4" t="str">
        <f t="shared" si="51"/>
        <v/>
      </c>
      <c r="U241" s="4" t="str">
        <f t="shared" si="51"/>
        <v/>
      </c>
      <c r="V241" s="4" t="str">
        <f t="shared" si="48"/>
        <v/>
      </c>
      <c r="W241" s="4" t="str">
        <f t="shared" si="54"/>
        <v/>
      </c>
      <c r="X241" s="4" t="str">
        <f t="shared" si="54"/>
        <v/>
      </c>
      <c r="Y241" s="4" t="str">
        <f t="shared" si="54"/>
        <v/>
      </c>
      <c r="Z241" s="4" t="str">
        <f t="shared" si="54"/>
        <v/>
      </c>
      <c r="AA241" s="4" t="str">
        <f t="shared" si="54"/>
        <v/>
      </c>
      <c r="AB241" s="4" t="str">
        <f t="shared" si="54"/>
        <v/>
      </c>
      <c r="AC241" s="5" t="str">
        <f t="shared" si="54"/>
        <v/>
      </c>
      <c r="AD241" s="3" t="str">
        <f t="shared" si="52"/>
        <v/>
      </c>
      <c r="AE241" s="4" t="str">
        <f t="shared" si="52"/>
        <v/>
      </c>
      <c r="AF241" s="4" t="str">
        <f t="shared" si="52"/>
        <v/>
      </c>
      <c r="AG241" s="4" t="str">
        <f t="shared" si="52"/>
        <v/>
      </c>
      <c r="AH241" s="4" t="str">
        <f t="shared" si="52"/>
        <v/>
      </c>
      <c r="AI241" s="4" t="str">
        <f t="shared" si="52"/>
        <v/>
      </c>
      <c r="AJ241" s="4" t="str">
        <f t="shared" si="52"/>
        <v/>
      </c>
      <c r="AK241" s="4">
        <f t="shared" si="52"/>
        <v>1</v>
      </c>
      <c r="AL241" s="4" t="str">
        <f t="shared" si="49"/>
        <v/>
      </c>
      <c r="AM241" s="4" t="str">
        <f t="shared" si="55"/>
        <v/>
      </c>
      <c r="AN241" s="4" t="str">
        <f t="shared" si="55"/>
        <v/>
      </c>
      <c r="AO241" s="4" t="str">
        <f t="shared" si="55"/>
        <v/>
      </c>
      <c r="AP241" s="4" t="str">
        <f t="shared" si="55"/>
        <v/>
      </c>
      <c r="AQ241" s="4" t="str">
        <f t="shared" si="55"/>
        <v/>
      </c>
      <c r="AR241" s="4" t="str">
        <f t="shared" si="55"/>
        <v/>
      </c>
      <c r="AS241" s="5" t="str">
        <f t="shared" si="55"/>
        <v/>
      </c>
      <c r="AT241" s="3" t="str">
        <f t="shared" si="53"/>
        <v/>
      </c>
      <c r="AU241" s="4" t="str">
        <f t="shared" si="53"/>
        <v/>
      </c>
      <c r="AV241" s="4" t="str">
        <f t="shared" si="53"/>
        <v/>
      </c>
      <c r="AW241" s="4" t="str">
        <f t="shared" si="53"/>
        <v/>
      </c>
      <c r="AX241" s="4" t="str">
        <f t="shared" si="53"/>
        <v/>
      </c>
      <c r="AY241" s="4" t="str">
        <f t="shared" si="53"/>
        <v/>
      </c>
      <c r="AZ241" s="4" t="str">
        <f t="shared" si="53"/>
        <v/>
      </c>
      <c r="BA241" s="4" t="str">
        <f t="shared" si="53"/>
        <v/>
      </c>
      <c r="BB241" s="4" t="str">
        <f t="shared" si="50"/>
        <v/>
      </c>
      <c r="BC241" s="4" t="str">
        <f t="shared" si="56"/>
        <v/>
      </c>
      <c r="BD241" s="4" t="str">
        <f t="shared" si="56"/>
        <v/>
      </c>
      <c r="BE241" s="4" t="str">
        <f t="shared" si="56"/>
        <v/>
      </c>
      <c r="BF241" s="4" t="str">
        <f t="shared" si="56"/>
        <v/>
      </c>
      <c r="BG241" s="4" t="str">
        <f t="shared" si="56"/>
        <v/>
      </c>
      <c r="BH241" s="4" t="str">
        <f t="shared" si="56"/>
        <v/>
      </c>
      <c r="BI241" s="5" t="str">
        <f t="shared" si="56"/>
        <v/>
      </c>
    </row>
    <row r="242" spans="1:61" x14ac:dyDescent="0.25">
      <c r="A242">
        <v>574453</v>
      </c>
      <c r="B242" t="s">
        <v>14</v>
      </c>
      <c r="C242" t="s">
        <v>16</v>
      </c>
      <c r="D242">
        <v>55111</v>
      </c>
      <c r="E242">
        <v>196</v>
      </c>
      <c r="F242">
        <v>5</v>
      </c>
      <c r="G242">
        <v>20131</v>
      </c>
      <c r="H242" t="s">
        <v>0</v>
      </c>
      <c r="I242">
        <v>456546.54399999999</v>
      </c>
      <c r="J242">
        <v>15369</v>
      </c>
      <c r="K242">
        <v>251188.67</v>
      </c>
      <c r="L242">
        <v>241880.7</v>
      </c>
      <c r="M242">
        <v>9307.9699999999993</v>
      </c>
      <c r="N242" s="3" t="str">
        <f t="shared" si="51"/>
        <v/>
      </c>
      <c r="O242" s="4" t="str">
        <f t="shared" si="51"/>
        <v/>
      </c>
      <c r="P242" s="4" t="str">
        <f t="shared" si="51"/>
        <v/>
      </c>
      <c r="Q242" s="4" t="str">
        <f t="shared" si="51"/>
        <v/>
      </c>
      <c r="R242" s="4" t="str">
        <f t="shared" si="51"/>
        <v/>
      </c>
      <c r="S242" s="4" t="str">
        <f t="shared" si="51"/>
        <v/>
      </c>
      <c r="T242" s="4" t="str">
        <f t="shared" si="51"/>
        <v/>
      </c>
      <c r="U242" s="4" t="str">
        <f t="shared" si="51"/>
        <v/>
      </c>
      <c r="V242" s="4" t="str">
        <f t="shared" si="48"/>
        <v/>
      </c>
      <c r="W242" s="4" t="str">
        <f t="shared" si="54"/>
        <v/>
      </c>
      <c r="X242" s="4" t="str">
        <f t="shared" si="54"/>
        <v/>
      </c>
      <c r="Y242" s="4" t="str">
        <f t="shared" si="54"/>
        <v/>
      </c>
      <c r="Z242" s="4" t="str">
        <f t="shared" si="54"/>
        <v/>
      </c>
      <c r="AA242" s="4" t="str">
        <f t="shared" si="54"/>
        <v/>
      </c>
      <c r="AB242" s="4" t="str">
        <f t="shared" si="54"/>
        <v/>
      </c>
      <c r="AC242" s="5" t="str">
        <f t="shared" si="54"/>
        <v/>
      </c>
      <c r="AD242" s="3" t="str">
        <f t="shared" si="52"/>
        <v/>
      </c>
      <c r="AE242" s="4" t="str">
        <f t="shared" si="52"/>
        <v/>
      </c>
      <c r="AF242" s="4" t="str">
        <f t="shared" si="52"/>
        <v/>
      </c>
      <c r="AG242" s="4" t="str">
        <f t="shared" si="52"/>
        <v/>
      </c>
      <c r="AH242" s="4" t="str">
        <f t="shared" si="52"/>
        <v/>
      </c>
      <c r="AI242" s="4" t="str">
        <f t="shared" si="52"/>
        <v/>
      </c>
      <c r="AJ242" s="4" t="str">
        <f t="shared" si="52"/>
        <v/>
      </c>
      <c r="AK242" s="4" t="str">
        <f t="shared" si="52"/>
        <v/>
      </c>
      <c r="AL242" s="4" t="str">
        <f t="shared" si="49"/>
        <v/>
      </c>
      <c r="AM242" s="4" t="str">
        <f t="shared" si="55"/>
        <v/>
      </c>
      <c r="AN242" s="4" t="str">
        <f t="shared" si="55"/>
        <v/>
      </c>
      <c r="AO242" s="4" t="str">
        <f t="shared" si="55"/>
        <v/>
      </c>
      <c r="AP242" s="4" t="str">
        <f t="shared" si="55"/>
        <v/>
      </c>
      <c r="AQ242" s="4" t="str">
        <f t="shared" si="55"/>
        <v/>
      </c>
      <c r="AR242" s="4" t="str">
        <f t="shared" si="55"/>
        <v/>
      </c>
      <c r="AS242" s="5" t="str">
        <f t="shared" si="55"/>
        <v/>
      </c>
      <c r="AT242" s="3">
        <f t="shared" si="53"/>
        <v>1</v>
      </c>
      <c r="AU242" s="4" t="str">
        <f t="shared" si="53"/>
        <v/>
      </c>
      <c r="AV242" s="4" t="str">
        <f t="shared" si="53"/>
        <v/>
      </c>
      <c r="AW242" s="4" t="str">
        <f t="shared" si="53"/>
        <v/>
      </c>
      <c r="AX242" s="4" t="str">
        <f t="shared" si="53"/>
        <v/>
      </c>
      <c r="AY242" s="4" t="str">
        <f t="shared" si="53"/>
        <v/>
      </c>
      <c r="AZ242" s="4" t="str">
        <f t="shared" si="53"/>
        <v/>
      </c>
      <c r="BA242" s="4" t="str">
        <f t="shared" si="53"/>
        <v/>
      </c>
      <c r="BB242" s="4" t="str">
        <f t="shared" si="50"/>
        <v/>
      </c>
      <c r="BC242" s="4" t="str">
        <f t="shared" si="56"/>
        <v/>
      </c>
      <c r="BD242" s="4" t="str">
        <f t="shared" si="56"/>
        <v/>
      </c>
      <c r="BE242" s="4" t="str">
        <f t="shared" si="56"/>
        <v/>
      </c>
      <c r="BF242" s="4" t="str">
        <f t="shared" si="56"/>
        <v/>
      </c>
      <c r="BG242" s="4" t="str">
        <f t="shared" si="56"/>
        <v/>
      </c>
      <c r="BH242" s="4" t="str">
        <f t="shared" si="56"/>
        <v/>
      </c>
      <c r="BI242" s="5" t="str">
        <f t="shared" si="56"/>
        <v/>
      </c>
    </row>
    <row r="243" spans="1:61" x14ac:dyDescent="0.25">
      <c r="A243">
        <v>574454</v>
      </c>
      <c r="B243" t="s">
        <v>14</v>
      </c>
      <c r="C243" t="s">
        <v>16</v>
      </c>
      <c r="D243">
        <v>55111</v>
      </c>
      <c r="E243">
        <v>196</v>
      </c>
      <c r="F243">
        <v>5</v>
      </c>
      <c r="G243">
        <v>20132</v>
      </c>
      <c r="H243" t="s">
        <v>0</v>
      </c>
      <c r="I243">
        <v>437977.34</v>
      </c>
      <c r="J243">
        <v>14811</v>
      </c>
      <c r="K243">
        <v>217186.3</v>
      </c>
      <c r="L243">
        <v>209243.44</v>
      </c>
      <c r="M243">
        <v>7942.86</v>
      </c>
      <c r="N243" s="3" t="str">
        <f t="shared" si="51"/>
        <v/>
      </c>
      <c r="O243" s="4" t="str">
        <f t="shared" ref="N243:U274" si="57">IF(AND($B243=O$3, $G243=O$2, $H243=O$1), 1, "")</f>
        <v/>
      </c>
      <c r="P243" s="4" t="str">
        <f t="shared" si="57"/>
        <v/>
      </c>
      <c r="Q243" s="4" t="str">
        <f t="shared" si="57"/>
        <v/>
      </c>
      <c r="R243" s="4" t="str">
        <f t="shared" si="57"/>
        <v/>
      </c>
      <c r="S243" s="4" t="str">
        <f t="shared" si="57"/>
        <v/>
      </c>
      <c r="T243" s="4" t="str">
        <f t="shared" si="57"/>
        <v/>
      </c>
      <c r="U243" s="4" t="str">
        <f t="shared" si="57"/>
        <v/>
      </c>
      <c r="V243" s="4" t="str">
        <f t="shared" si="48"/>
        <v/>
      </c>
      <c r="W243" s="4" t="str">
        <f t="shared" si="54"/>
        <v/>
      </c>
      <c r="X243" s="4" t="str">
        <f t="shared" si="54"/>
        <v/>
      </c>
      <c r="Y243" s="4" t="str">
        <f t="shared" si="54"/>
        <v/>
      </c>
      <c r="Z243" s="4" t="str">
        <f t="shared" si="54"/>
        <v/>
      </c>
      <c r="AA243" s="4" t="str">
        <f t="shared" si="54"/>
        <v/>
      </c>
      <c r="AB243" s="4" t="str">
        <f t="shared" si="54"/>
        <v/>
      </c>
      <c r="AC243" s="5" t="str">
        <f t="shared" si="54"/>
        <v/>
      </c>
      <c r="AD243" s="3" t="str">
        <f t="shared" si="52"/>
        <v/>
      </c>
      <c r="AE243" s="4" t="str">
        <f t="shared" ref="AD243:AK274" si="58">IF(AND($B243=AE$3, $G243=AE$2, $H243=AE$1), 1, "")</f>
        <v/>
      </c>
      <c r="AF243" s="4" t="str">
        <f t="shared" si="58"/>
        <v/>
      </c>
      <c r="AG243" s="4" t="str">
        <f t="shared" si="58"/>
        <v/>
      </c>
      <c r="AH243" s="4" t="str">
        <f t="shared" si="58"/>
        <v/>
      </c>
      <c r="AI243" s="4" t="str">
        <f t="shared" si="58"/>
        <v/>
      </c>
      <c r="AJ243" s="4" t="str">
        <f t="shared" si="58"/>
        <v/>
      </c>
      <c r="AK243" s="4" t="str">
        <f t="shared" si="58"/>
        <v/>
      </c>
      <c r="AL243" s="4" t="str">
        <f t="shared" si="49"/>
        <v/>
      </c>
      <c r="AM243" s="4" t="str">
        <f t="shared" si="55"/>
        <v/>
      </c>
      <c r="AN243" s="4" t="str">
        <f t="shared" si="55"/>
        <v/>
      </c>
      <c r="AO243" s="4" t="str">
        <f t="shared" si="55"/>
        <v/>
      </c>
      <c r="AP243" s="4" t="str">
        <f t="shared" si="55"/>
        <v/>
      </c>
      <c r="AQ243" s="4" t="str">
        <f t="shared" si="55"/>
        <v/>
      </c>
      <c r="AR243" s="4" t="str">
        <f t="shared" si="55"/>
        <v/>
      </c>
      <c r="AS243" s="5" t="str">
        <f t="shared" si="55"/>
        <v/>
      </c>
      <c r="AT243" s="3" t="str">
        <f t="shared" si="53"/>
        <v/>
      </c>
      <c r="AU243" s="4">
        <f t="shared" ref="AT243:BA274" si="59">IF(AND($B243=AU$3, $G243=AU$2, $H243=AU$1), 1, "")</f>
        <v>1</v>
      </c>
      <c r="AV243" s="4" t="str">
        <f t="shared" si="59"/>
        <v/>
      </c>
      <c r="AW243" s="4" t="str">
        <f t="shared" si="59"/>
        <v/>
      </c>
      <c r="AX243" s="4" t="str">
        <f t="shared" si="59"/>
        <v/>
      </c>
      <c r="AY243" s="4" t="str">
        <f t="shared" si="59"/>
        <v/>
      </c>
      <c r="AZ243" s="4" t="str">
        <f t="shared" si="59"/>
        <v/>
      </c>
      <c r="BA243" s="4" t="str">
        <f t="shared" si="59"/>
        <v/>
      </c>
      <c r="BB243" s="4" t="str">
        <f t="shared" si="50"/>
        <v/>
      </c>
      <c r="BC243" s="4" t="str">
        <f t="shared" si="56"/>
        <v/>
      </c>
      <c r="BD243" s="4" t="str">
        <f t="shared" si="56"/>
        <v/>
      </c>
      <c r="BE243" s="4" t="str">
        <f t="shared" si="56"/>
        <v/>
      </c>
      <c r="BF243" s="4" t="str">
        <f t="shared" si="56"/>
        <v/>
      </c>
      <c r="BG243" s="4" t="str">
        <f t="shared" si="56"/>
        <v/>
      </c>
      <c r="BH243" s="4" t="str">
        <f t="shared" si="56"/>
        <v/>
      </c>
      <c r="BI243" s="5" t="str">
        <f t="shared" si="56"/>
        <v/>
      </c>
    </row>
    <row r="244" spans="1:61" x14ac:dyDescent="0.25">
      <c r="A244">
        <v>574455</v>
      </c>
      <c r="B244" t="s">
        <v>14</v>
      </c>
      <c r="C244" t="s">
        <v>16</v>
      </c>
      <c r="D244">
        <v>55111</v>
      </c>
      <c r="E244">
        <v>196</v>
      </c>
      <c r="F244">
        <v>5</v>
      </c>
      <c r="G244">
        <v>20133</v>
      </c>
      <c r="H244" t="s">
        <v>0</v>
      </c>
      <c r="I244">
        <v>448895.73200000002</v>
      </c>
      <c r="J244">
        <v>15232</v>
      </c>
      <c r="K244">
        <v>242677.48</v>
      </c>
      <c r="L244">
        <v>235547.91</v>
      </c>
      <c r="M244">
        <v>7129.57</v>
      </c>
      <c r="N244" s="3" t="str">
        <f t="shared" si="57"/>
        <v/>
      </c>
      <c r="O244" s="4" t="str">
        <f t="shared" si="57"/>
        <v/>
      </c>
      <c r="P244" s="4" t="str">
        <f t="shared" si="57"/>
        <v/>
      </c>
      <c r="Q244" s="4" t="str">
        <f t="shared" si="57"/>
        <v/>
      </c>
      <c r="R244" s="4" t="str">
        <f t="shared" si="57"/>
        <v/>
      </c>
      <c r="S244" s="4" t="str">
        <f t="shared" si="57"/>
        <v/>
      </c>
      <c r="T244" s="4" t="str">
        <f t="shared" si="57"/>
        <v/>
      </c>
      <c r="U244" s="4" t="str">
        <f t="shared" si="57"/>
        <v/>
      </c>
      <c r="V244" s="4" t="str">
        <f t="shared" si="48"/>
        <v/>
      </c>
      <c r="W244" s="4" t="str">
        <f t="shared" si="54"/>
        <v/>
      </c>
      <c r="X244" s="4" t="str">
        <f t="shared" si="54"/>
        <v/>
      </c>
      <c r="Y244" s="4" t="str">
        <f t="shared" si="54"/>
        <v/>
      </c>
      <c r="Z244" s="4" t="str">
        <f t="shared" si="54"/>
        <v/>
      </c>
      <c r="AA244" s="4" t="str">
        <f t="shared" si="54"/>
        <v/>
      </c>
      <c r="AB244" s="4" t="str">
        <f t="shared" si="54"/>
        <v/>
      </c>
      <c r="AC244" s="5" t="str">
        <f t="shared" si="54"/>
        <v/>
      </c>
      <c r="AD244" s="3" t="str">
        <f t="shared" si="58"/>
        <v/>
      </c>
      <c r="AE244" s="4" t="str">
        <f t="shared" si="58"/>
        <v/>
      </c>
      <c r="AF244" s="4" t="str">
        <f t="shared" si="58"/>
        <v/>
      </c>
      <c r="AG244" s="4" t="str">
        <f t="shared" si="58"/>
        <v/>
      </c>
      <c r="AH244" s="4" t="str">
        <f t="shared" si="58"/>
        <v/>
      </c>
      <c r="AI244" s="4" t="str">
        <f t="shared" si="58"/>
        <v/>
      </c>
      <c r="AJ244" s="4" t="str">
        <f t="shared" si="58"/>
        <v/>
      </c>
      <c r="AK244" s="4" t="str">
        <f t="shared" si="58"/>
        <v/>
      </c>
      <c r="AL244" s="4" t="str">
        <f t="shared" si="49"/>
        <v/>
      </c>
      <c r="AM244" s="4" t="str">
        <f t="shared" si="55"/>
        <v/>
      </c>
      <c r="AN244" s="4" t="str">
        <f t="shared" si="55"/>
        <v/>
      </c>
      <c r="AO244" s="4" t="str">
        <f t="shared" si="55"/>
        <v/>
      </c>
      <c r="AP244" s="4" t="str">
        <f t="shared" si="55"/>
        <v/>
      </c>
      <c r="AQ244" s="4" t="str">
        <f t="shared" si="55"/>
        <v/>
      </c>
      <c r="AR244" s="4" t="str">
        <f t="shared" si="55"/>
        <v/>
      </c>
      <c r="AS244" s="5" t="str">
        <f t="shared" si="55"/>
        <v/>
      </c>
      <c r="AT244" s="3" t="str">
        <f t="shared" si="59"/>
        <v/>
      </c>
      <c r="AU244" s="4" t="str">
        <f t="shared" si="59"/>
        <v/>
      </c>
      <c r="AV244" s="4">
        <f t="shared" si="59"/>
        <v>1</v>
      </c>
      <c r="AW244" s="4" t="str">
        <f t="shared" si="59"/>
        <v/>
      </c>
      <c r="AX244" s="4" t="str">
        <f t="shared" si="59"/>
        <v/>
      </c>
      <c r="AY244" s="4" t="str">
        <f t="shared" si="59"/>
        <v/>
      </c>
      <c r="AZ244" s="4" t="str">
        <f t="shared" si="59"/>
        <v/>
      </c>
      <c r="BA244" s="4" t="str">
        <f t="shared" si="59"/>
        <v/>
      </c>
      <c r="BB244" s="4" t="str">
        <f t="shared" si="50"/>
        <v/>
      </c>
      <c r="BC244" s="4" t="str">
        <f t="shared" si="56"/>
        <v/>
      </c>
      <c r="BD244" s="4" t="str">
        <f t="shared" si="56"/>
        <v/>
      </c>
      <c r="BE244" s="4" t="str">
        <f t="shared" si="56"/>
        <v/>
      </c>
      <c r="BF244" s="4" t="str">
        <f t="shared" si="56"/>
        <v/>
      </c>
      <c r="BG244" s="4" t="str">
        <f t="shared" si="56"/>
        <v/>
      </c>
      <c r="BH244" s="4" t="str">
        <f t="shared" si="56"/>
        <v/>
      </c>
      <c r="BI244" s="5" t="str">
        <f t="shared" si="56"/>
        <v/>
      </c>
    </row>
    <row r="245" spans="1:61" x14ac:dyDescent="0.25">
      <c r="A245">
        <v>574456</v>
      </c>
      <c r="B245" t="s">
        <v>14</v>
      </c>
      <c r="C245" t="s">
        <v>16</v>
      </c>
      <c r="D245">
        <v>55111</v>
      </c>
      <c r="E245">
        <v>196</v>
      </c>
      <c r="F245">
        <v>5</v>
      </c>
      <c r="G245">
        <v>20134</v>
      </c>
      <c r="H245" t="s">
        <v>0</v>
      </c>
      <c r="I245">
        <v>458212.90899999999</v>
      </c>
      <c r="J245">
        <v>15460</v>
      </c>
      <c r="K245">
        <v>232701.2</v>
      </c>
      <c r="L245">
        <v>224798.17</v>
      </c>
      <c r="M245">
        <v>7903.03</v>
      </c>
      <c r="N245" s="3" t="str">
        <f t="shared" si="57"/>
        <v/>
      </c>
      <c r="O245" s="4" t="str">
        <f t="shared" si="57"/>
        <v/>
      </c>
      <c r="P245" s="4" t="str">
        <f t="shared" si="57"/>
        <v/>
      </c>
      <c r="Q245" s="4" t="str">
        <f t="shared" si="57"/>
        <v/>
      </c>
      <c r="R245" s="4" t="str">
        <f t="shared" si="57"/>
        <v/>
      </c>
      <c r="S245" s="4" t="str">
        <f t="shared" si="57"/>
        <v/>
      </c>
      <c r="T245" s="4" t="str">
        <f t="shared" si="57"/>
        <v/>
      </c>
      <c r="U245" s="4" t="str">
        <f t="shared" si="57"/>
        <v/>
      </c>
      <c r="V245" s="4" t="str">
        <f t="shared" si="48"/>
        <v/>
      </c>
      <c r="W245" s="4" t="str">
        <f t="shared" si="54"/>
        <v/>
      </c>
      <c r="X245" s="4" t="str">
        <f t="shared" si="54"/>
        <v/>
      </c>
      <c r="Y245" s="4" t="str">
        <f t="shared" si="54"/>
        <v/>
      </c>
      <c r="Z245" s="4" t="str">
        <f t="shared" si="54"/>
        <v/>
      </c>
      <c r="AA245" s="4" t="str">
        <f t="shared" si="54"/>
        <v/>
      </c>
      <c r="AB245" s="4" t="str">
        <f t="shared" si="54"/>
        <v/>
      </c>
      <c r="AC245" s="5" t="str">
        <f t="shared" si="54"/>
        <v/>
      </c>
      <c r="AD245" s="3" t="str">
        <f t="shared" si="58"/>
        <v/>
      </c>
      <c r="AE245" s="4" t="str">
        <f t="shared" si="58"/>
        <v/>
      </c>
      <c r="AF245" s="4" t="str">
        <f t="shared" si="58"/>
        <v/>
      </c>
      <c r="AG245" s="4" t="str">
        <f t="shared" si="58"/>
        <v/>
      </c>
      <c r="AH245" s="4" t="str">
        <f t="shared" si="58"/>
        <v/>
      </c>
      <c r="AI245" s="4" t="str">
        <f t="shared" si="58"/>
        <v/>
      </c>
      <c r="AJ245" s="4" t="str">
        <f t="shared" si="58"/>
        <v/>
      </c>
      <c r="AK245" s="4" t="str">
        <f t="shared" si="58"/>
        <v/>
      </c>
      <c r="AL245" s="4" t="str">
        <f t="shared" si="49"/>
        <v/>
      </c>
      <c r="AM245" s="4" t="str">
        <f t="shared" si="55"/>
        <v/>
      </c>
      <c r="AN245" s="4" t="str">
        <f t="shared" si="55"/>
        <v/>
      </c>
      <c r="AO245" s="4" t="str">
        <f t="shared" si="55"/>
        <v/>
      </c>
      <c r="AP245" s="4" t="str">
        <f t="shared" si="55"/>
        <v/>
      </c>
      <c r="AQ245" s="4" t="str">
        <f t="shared" si="55"/>
        <v/>
      </c>
      <c r="AR245" s="4" t="str">
        <f t="shared" si="55"/>
        <v/>
      </c>
      <c r="AS245" s="5" t="str">
        <f t="shared" si="55"/>
        <v/>
      </c>
      <c r="AT245" s="3" t="str">
        <f t="shared" si="59"/>
        <v/>
      </c>
      <c r="AU245" s="4" t="str">
        <f t="shared" si="59"/>
        <v/>
      </c>
      <c r="AV245" s="4" t="str">
        <f t="shared" si="59"/>
        <v/>
      </c>
      <c r="AW245" s="4">
        <f t="shared" si="59"/>
        <v>1</v>
      </c>
      <c r="AX245" s="4" t="str">
        <f t="shared" si="59"/>
        <v/>
      </c>
      <c r="AY245" s="4" t="str">
        <f t="shared" si="59"/>
        <v/>
      </c>
      <c r="AZ245" s="4" t="str">
        <f t="shared" si="59"/>
        <v/>
      </c>
      <c r="BA245" s="4" t="str">
        <f t="shared" si="59"/>
        <v/>
      </c>
      <c r="BB245" s="4" t="str">
        <f t="shared" si="50"/>
        <v/>
      </c>
      <c r="BC245" s="4" t="str">
        <f t="shared" si="56"/>
        <v/>
      </c>
      <c r="BD245" s="4" t="str">
        <f t="shared" si="56"/>
        <v/>
      </c>
      <c r="BE245" s="4" t="str">
        <f t="shared" si="56"/>
        <v/>
      </c>
      <c r="BF245" s="4" t="str">
        <f t="shared" si="56"/>
        <v/>
      </c>
      <c r="BG245" s="4" t="str">
        <f t="shared" si="56"/>
        <v/>
      </c>
      <c r="BH245" s="4" t="str">
        <f t="shared" si="56"/>
        <v/>
      </c>
      <c r="BI245" s="5" t="str">
        <f t="shared" si="56"/>
        <v/>
      </c>
    </row>
    <row r="246" spans="1:61" x14ac:dyDescent="0.25">
      <c r="A246">
        <v>574457</v>
      </c>
      <c r="B246" t="s">
        <v>14</v>
      </c>
      <c r="C246" t="s">
        <v>16</v>
      </c>
      <c r="D246">
        <v>55111</v>
      </c>
      <c r="E246">
        <v>196</v>
      </c>
      <c r="F246">
        <v>30</v>
      </c>
      <c r="G246">
        <v>20131</v>
      </c>
      <c r="H246" t="s">
        <v>0</v>
      </c>
      <c r="I246">
        <v>425306.1</v>
      </c>
      <c r="J246">
        <v>13030</v>
      </c>
      <c r="K246">
        <v>262012.56</v>
      </c>
      <c r="L246">
        <v>251983.4</v>
      </c>
      <c r="M246">
        <v>10029.16</v>
      </c>
      <c r="N246" s="3" t="str">
        <f t="shared" si="57"/>
        <v/>
      </c>
      <c r="O246" s="4" t="str">
        <f t="shared" si="57"/>
        <v/>
      </c>
      <c r="P246" s="4" t="str">
        <f t="shared" si="57"/>
        <v/>
      </c>
      <c r="Q246" s="4" t="str">
        <f t="shared" si="57"/>
        <v/>
      </c>
      <c r="R246" s="4" t="str">
        <f t="shared" si="57"/>
        <v/>
      </c>
      <c r="S246" s="4" t="str">
        <f t="shared" si="57"/>
        <v/>
      </c>
      <c r="T246" s="4" t="str">
        <f t="shared" si="57"/>
        <v/>
      </c>
      <c r="U246" s="4" t="str">
        <f t="shared" si="57"/>
        <v/>
      </c>
      <c r="V246" s="4" t="str">
        <f t="shared" si="48"/>
        <v/>
      </c>
      <c r="W246" s="4" t="str">
        <f t="shared" si="54"/>
        <v/>
      </c>
      <c r="X246" s="4" t="str">
        <f t="shared" si="54"/>
        <v/>
      </c>
      <c r="Y246" s="4" t="str">
        <f t="shared" si="54"/>
        <v/>
      </c>
      <c r="Z246" s="4" t="str">
        <f t="shared" si="54"/>
        <v/>
      </c>
      <c r="AA246" s="4" t="str">
        <f t="shared" si="54"/>
        <v/>
      </c>
      <c r="AB246" s="4" t="str">
        <f t="shared" si="54"/>
        <v/>
      </c>
      <c r="AC246" s="5" t="str">
        <f t="shared" si="54"/>
        <v/>
      </c>
      <c r="AD246" s="3" t="str">
        <f t="shared" si="58"/>
        <v/>
      </c>
      <c r="AE246" s="4" t="str">
        <f t="shared" si="58"/>
        <v/>
      </c>
      <c r="AF246" s="4" t="str">
        <f t="shared" si="58"/>
        <v/>
      </c>
      <c r="AG246" s="4" t="str">
        <f t="shared" si="58"/>
        <v/>
      </c>
      <c r="AH246" s="4" t="str">
        <f t="shared" si="58"/>
        <v/>
      </c>
      <c r="AI246" s="4" t="str">
        <f t="shared" si="58"/>
        <v/>
      </c>
      <c r="AJ246" s="4" t="str">
        <f t="shared" si="58"/>
        <v/>
      </c>
      <c r="AK246" s="4" t="str">
        <f t="shared" si="58"/>
        <v/>
      </c>
      <c r="AL246" s="4" t="str">
        <f t="shared" si="49"/>
        <v/>
      </c>
      <c r="AM246" s="4" t="str">
        <f t="shared" si="55"/>
        <v/>
      </c>
      <c r="AN246" s="4" t="str">
        <f t="shared" si="55"/>
        <v/>
      </c>
      <c r="AO246" s="4" t="str">
        <f t="shared" si="55"/>
        <v/>
      </c>
      <c r="AP246" s="4" t="str">
        <f t="shared" si="55"/>
        <v/>
      </c>
      <c r="AQ246" s="4" t="str">
        <f t="shared" si="55"/>
        <v/>
      </c>
      <c r="AR246" s="4" t="str">
        <f t="shared" si="55"/>
        <v/>
      </c>
      <c r="AS246" s="5" t="str">
        <f t="shared" si="55"/>
        <v/>
      </c>
      <c r="AT246" s="3">
        <f t="shared" si="59"/>
        <v>1</v>
      </c>
      <c r="AU246" s="4" t="str">
        <f t="shared" si="59"/>
        <v/>
      </c>
      <c r="AV246" s="4" t="str">
        <f t="shared" si="59"/>
        <v/>
      </c>
      <c r="AW246" s="4" t="str">
        <f t="shared" si="59"/>
        <v/>
      </c>
      <c r="AX246" s="4" t="str">
        <f t="shared" si="59"/>
        <v/>
      </c>
      <c r="AY246" s="4" t="str">
        <f t="shared" si="59"/>
        <v/>
      </c>
      <c r="AZ246" s="4" t="str">
        <f t="shared" si="59"/>
        <v/>
      </c>
      <c r="BA246" s="4" t="str">
        <f t="shared" si="59"/>
        <v/>
      </c>
      <c r="BB246" s="4" t="str">
        <f t="shared" si="50"/>
        <v/>
      </c>
      <c r="BC246" s="4" t="str">
        <f t="shared" si="56"/>
        <v/>
      </c>
      <c r="BD246" s="4" t="str">
        <f t="shared" si="56"/>
        <v/>
      </c>
      <c r="BE246" s="4" t="str">
        <f t="shared" si="56"/>
        <v/>
      </c>
      <c r="BF246" s="4" t="str">
        <f t="shared" si="56"/>
        <v/>
      </c>
      <c r="BG246" s="4" t="str">
        <f t="shared" si="56"/>
        <v/>
      </c>
      <c r="BH246" s="4" t="str">
        <f t="shared" si="56"/>
        <v/>
      </c>
      <c r="BI246" s="5" t="str">
        <f t="shared" si="56"/>
        <v/>
      </c>
    </row>
    <row r="247" spans="1:61" x14ac:dyDescent="0.25">
      <c r="A247">
        <v>574458</v>
      </c>
      <c r="B247" t="s">
        <v>14</v>
      </c>
      <c r="C247" t="s">
        <v>16</v>
      </c>
      <c r="D247">
        <v>55111</v>
      </c>
      <c r="E247">
        <v>196</v>
      </c>
      <c r="F247">
        <v>30</v>
      </c>
      <c r="G247">
        <v>20132</v>
      </c>
      <c r="H247" t="s">
        <v>0</v>
      </c>
      <c r="I247">
        <v>182444.5</v>
      </c>
      <c r="J247">
        <v>5772</v>
      </c>
      <c r="K247">
        <v>107925.2</v>
      </c>
      <c r="L247">
        <v>104365.05</v>
      </c>
      <c r="M247">
        <v>3560.15</v>
      </c>
      <c r="N247" s="3" t="str">
        <f t="shared" si="57"/>
        <v/>
      </c>
      <c r="O247" s="4" t="str">
        <f t="shared" si="57"/>
        <v/>
      </c>
      <c r="P247" s="4" t="str">
        <f t="shared" si="57"/>
        <v/>
      </c>
      <c r="Q247" s="4" t="str">
        <f t="shared" si="57"/>
        <v/>
      </c>
      <c r="R247" s="4" t="str">
        <f t="shared" si="57"/>
        <v/>
      </c>
      <c r="S247" s="4" t="str">
        <f t="shared" si="57"/>
        <v/>
      </c>
      <c r="T247" s="4" t="str">
        <f t="shared" si="57"/>
        <v/>
      </c>
      <c r="U247" s="4" t="str">
        <f t="shared" si="57"/>
        <v/>
      </c>
      <c r="V247" s="4" t="str">
        <f t="shared" si="48"/>
        <v/>
      </c>
      <c r="W247" s="4" t="str">
        <f t="shared" si="54"/>
        <v/>
      </c>
      <c r="X247" s="4" t="str">
        <f t="shared" si="54"/>
        <v/>
      </c>
      <c r="Y247" s="4" t="str">
        <f t="shared" si="54"/>
        <v/>
      </c>
      <c r="Z247" s="4" t="str">
        <f t="shared" si="54"/>
        <v/>
      </c>
      <c r="AA247" s="4" t="str">
        <f t="shared" si="54"/>
        <v/>
      </c>
      <c r="AB247" s="4" t="str">
        <f t="shared" si="54"/>
        <v/>
      </c>
      <c r="AC247" s="5" t="str">
        <f t="shared" si="54"/>
        <v/>
      </c>
      <c r="AD247" s="3" t="str">
        <f t="shared" si="58"/>
        <v/>
      </c>
      <c r="AE247" s="4" t="str">
        <f t="shared" si="58"/>
        <v/>
      </c>
      <c r="AF247" s="4" t="str">
        <f t="shared" si="58"/>
        <v/>
      </c>
      <c r="AG247" s="4" t="str">
        <f t="shared" si="58"/>
        <v/>
      </c>
      <c r="AH247" s="4" t="str">
        <f t="shared" si="58"/>
        <v/>
      </c>
      <c r="AI247" s="4" t="str">
        <f t="shared" si="58"/>
        <v/>
      </c>
      <c r="AJ247" s="4" t="str">
        <f t="shared" si="58"/>
        <v/>
      </c>
      <c r="AK247" s="4" t="str">
        <f t="shared" si="58"/>
        <v/>
      </c>
      <c r="AL247" s="4" t="str">
        <f t="shared" si="49"/>
        <v/>
      </c>
      <c r="AM247" s="4" t="str">
        <f t="shared" si="55"/>
        <v/>
      </c>
      <c r="AN247" s="4" t="str">
        <f t="shared" si="55"/>
        <v/>
      </c>
      <c r="AO247" s="4" t="str">
        <f t="shared" si="55"/>
        <v/>
      </c>
      <c r="AP247" s="4" t="str">
        <f t="shared" si="55"/>
        <v/>
      </c>
      <c r="AQ247" s="4" t="str">
        <f t="shared" si="55"/>
        <v/>
      </c>
      <c r="AR247" s="4" t="str">
        <f t="shared" si="55"/>
        <v/>
      </c>
      <c r="AS247" s="5" t="str">
        <f t="shared" si="55"/>
        <v/>
      </c>
      <c r="AT247" s="3" t="str">
        <f t="shared" si="59"/>
        <v/>
      </c>
      <c r="AU247" s="4">
        <f t="shared" si="59"/>
        <v>1</v>
      </c>
      <c r="AV247" s="4" t="str">
        <f t="shared" si="59"/>
        <v/>
      </c>
      <c r="AW247" s="4" t="str">
        <f t="shared" si="59"/>
        <v/>
      </c>
      <c r="AX247" s="4" t="str">
        <f t="shared" si="59"/>
        <v/>
      </c>
      <c r="AY247" s="4" t="str">
        <f t="shared" si="59"/>
        <v/>
      </c>
      <c r="AZ247" s="4" t="str">
        <f t="shared" si="59"/>
        <v/>
      </c>
      <c r="BA247" s="4" t="str">
        <f t="shared" si="59"/>
        <v/>
      </c>
      <c r="BB247" s="4" t="str">
        <f t="shared" si="50"/>
        <v/>
      </c>
      <c r="BC247" s="4" t="str">
        <f t="shared" si="56"/>
        <v/>
      </c>
      <c r="BD247" s="4" t="str">
        <f t="shared" si="56"/>
        <v/>
      </c>
      <c r="BE247" s="4" t="str">
        <f t="shared" si="56"/>
        <v/>
      </c>
      <c r="BF247" s="4" t="str">
        <f t="shared" si="56"/>
        <v/>
      </c>
      <c r="BG247" s="4" t="str">
        <f t="shared" si="56"/>
        <v/>
      </c>
      <c r="BH247" s="4" t="str">
        <f t="shared" si="56"/>
        <v/>
      </c>
      <c r="BI247" s="5" t="str">
        <f t="shared" si="56"/>
        <v/>
      </c>
    </row>
    <row r="248" spans="1:61" x14ac:dyDescent="0.25">
      <c r="A248">
        <v>574459</v>
      </c>
      <c r="B248" t="s">
        <v>14</v>
      </c>
      <c r="C248" t="s">
        <v>16</v>
      </c>
      <c r="D248">
        <v>55111</v>
      </c>
      <c r="E248">
        <v>196</v>
      </c>
      <c r="F248">
        <v>30</v>
      </c>
      <c r="G248">
        <v>20133</v>
      </c>
      <c r="H248" t="s">
        <v>0</v>
      </c>
      <c r="I248">
        <v>99088</v>
      </c>
      <c r="J248">
        <v>3218</v>
      </c>
      <c r="K248">
        <v>49284.69</v>
      </c>
      <c r="L248">
        <v>47915.67</v>
      </c>
      <c r="M248">
        <v>1369.02</v>
      </c>
      <c r="N248" s="3" t="str">
        <f t="shared" si="57"/>
        <v/>
      </c>
      <c r="O248" s="4" t="str">
        <f t="shared" si="57"/>
        <v/>
      </c>
      <c r="P248" s="4" t="str">
        <f t="shared" si="57"/>
        <v/>
      </c>
      <c r="Q248" s="4" t="str">
        <f t="shared" si="57"/>
        <v/>
      </c>
      <c r="R248" s="4" t="str">
        <f t="shared" si="57"/>
        <v/>
      </c>
      <c r="S248" s="4" t="str">
        <f t="shared" si="57"/>
        <v/>
      </c>
      <c r="T248" s="4" t="str">
        <f t="shared" si="57"/>
        <v/>
      </c>
      <c r="U248" s="4" t="str">
        <f t="shared" si="57"/>
        <v/>
      </c>
      <c r="V248" s="4" t="str">
        <f t="shared" si="48"/>
        <v/>
      </c>
      <c r="W248" s="4" t="str">
        <f t="shared" si="54"/>
        <v/>
      </c>
      <c r="X248" s="4" t="str">
        <f t="shared" si="54"/>
        <v/>
      </c>
      <c r="Y248" s="4" t="str">
        <f t="shared" si="54"/>
        <v/>
      </c>
      <c r="Z248" s="4" t="str">
        <f t="shared" si="54"/>
        <v/>
      </c>
      <c r="AA248" s="4" t="str">
        <f t="shared" si="54"/>
        <v/>
      </c>
      <c r="AB248" s="4" t="str">
        <f t="shared" si="54"/>
        <v/>
      </c>
      <c r="AC248" s="5" t="str">
        <f t="shared" si="54"/>
        <v/>
      </c>
      <c r="AD248" s="3" t="str">
        <f t="shared" si="58"/>
        <v/>
      </c>
      <c r="AE248" s="4" t="str">
        <f t="shared" si="58"/>
        <v/>
      </c>
      <c r="AF248" s="4" t="str">
        <f t="shared" si="58"/>
        <v/>
      </c>
      <c r="AG248" s="4" t="str">
        <f t="shared" si="58"/>
        <v/>
      </c>
      <c r="AH248" s="4" t="str">
        <f t="shared" si="58"/>
        <v/>
      </c>
      <c r="AI248" s="4" t="str">
        <f t="shared" si="58"/>
        <v/>
      </c>
      <c r="AJ248" s="4" t="str">
        <f t="shared" si="58"/>
        <v/>
      </c>
      <c r="AK248" s="4" t="str">
        <f t="shared" si="58"/>
        <v/>
      </c>
      <c r="AL248" s="4" t="str">
        <f t="shared" si="49"/>
        <v/>
      </c>
      <c r="AM248" s="4" t="str">
        <f t="shared" si="55"/>
        <v/>
      </c>
      <c r="AN248" s="4" t="str">
        <f t="shared" si="55"/>
        <v/>
      </c>
      <c r="AO248" s="4" t="str">
        <f t="shared" si="55"/>
        <v/>
      </c>
      <c r="AP248" s="4" t="str">
        <f t="shared" si="55"/>
        <v/>
      </c>
      <c r="AQ248" s="4" t="str">
        <f t="shared" si="55"/>
        <v/>
      </c>
      <c r="AR248" s="4" t="str">
        <f t="shared" si="55"/>
        <v/>
      </c>
      <c r="AS248" s="5" t="str">
        <f t="shared" si="55"/>
        <v/>
      </c>
      <c r="AT248" s="3" t="str">
        <f t="shared" si="59"/>
        <v/>
      </c>
      <c r="AU248" s="4" t="str">
        <f t="shared" si="59"/>
        <v/>
      </c>
      <c r="AV248" s="4">
        <f t="shared" si="59"/>
        <v>1</v>
      </c>
      <c r="AW248" s="4" t="str">
        <f t="shared" si="59"/>
        <v/>
      </c>
      <c r="AX248" s="4" t="str">
        <f t="shared" si="59"/>
        <v/>
      </c>
      <c r="AY248" s="4" t="str">
        <f t="shared" si="59"/>
        <v/>
      </c>
      <c r="AZ248" s="4" t="str">
        <f t="shared" si="59"/>
        <v/>
      </c>
      <c r="BA248" s="4" t="str">
        <f t="shared" si="59"/>
        <v/>
      </c>
      <c r="BB248" s="4" t="str">
        <f t="shared" si="50"/>
        <v/>
      </c>
      <c r="BC248" s="4" t="str">
        <f t="shared" si="56"/>
        <v/>
      </c>
      <c r="BD248" s="4" t="str">
        <f t="shared" si="56"/>
        <v/>
      </c>
      <c r="BE248" s="4" t="str">
        <f t="shared" si="56"/>
        <v/>
      </c>
      <c r="BF248" s="4" t="str">
        <f t="shared" si="56"/>
        <v/>
      </c>
      <c r="BG248" s="4" t="str">
        <f t="shared" si="56"/>
        <v/>
      </c>
      <c r="BH248" s="4" t="str">
        <f t="shared" si="56"/>
        <v/>
      </c>
      <c r="BI248" s="5" t="str">
        <f t="shared" si="56"/>
        <v/>
      </c>
    </row>
    <row r="249" spans="1:61" x14ac:dyDescent="0.25">
      <c r="A249">
        <v>574460</v>
      </c>
      <c r="B249" t="s">
        <v>14</v>
      </c>
      <c r="C249" t="s">
        <v>16</v>
      </c>
      <c r="D249">
        <v>55111</v>
      </c>
      <c r="E249">
        <v>196</v>
      </c>
      <c r="F249">
        <v>30</v>
      </c>
      <c r="G249">
        <v>20134</v>
      </c>
      <c r="H249" t="s">
        <v>0</v>
      </c>
      <c r="I249">
        <v>90318.2</v>
      </c>
      <c r="J249">
        <v>2960</v>
      </c>
      <c r="K249">
        <v>40516.51</v>
      </c>
      <c r="L249">
        <v>39366.239999999998</v>
      </c>
      <c r="M249">
        <v>1150.27</v>
      </c>
      <c r="N249" s="3" t="str">
        <f t="shared" si="57"/>
        <v/>
      </c>
      <c r="O249" s="4" t="str">
        <f t="shared" si="57"/>
        <v/>
      </c>
      <c r="P249" s="4" t="str">
        <f t="shared" si="57"/>
        <v/>
      </c>
      <c r="Q249" s="4" t="str">
        <f t="shared" si="57"/>
        <v/>
      </c>
      <c r="R249" s="4" t="str">
        <f t="shared" si="57"/>
        <v/>
      </c>
      <c r="S249" s="4" t="str">
        <f t="shared" si="57"/>
        <v/>
      </c>
      <c r="T249" s="4" t="str">
        <f t="shared" si="57"/>
        <v/>
      </c>
      <c r="U249" s="4" t="str">
        <f t="shared" si="57"/>
        <v/>
      </c>
      <c r="V249" s="4" t="str">
        <f t="shared" si="48"/>
        <v/>
      </c>
      <c r="W249" s="4" t="str">
        <f t="shared" si="54"/>
        <v/>
      </c>
      <c r="X249" s="4" t="str">
        <f t="shared" si="54"/>
        <v/>
      </c>
      <c r="Y249" s="4" t="str">
        <f t="shared" si="54"/>
        <v/>
      </c>
      <c r="Z249" s="4" t="str">
        <f t="shared" si="54"/>
        <v/>
      </c>
      <c r="AA249" s="4" t="str">
        <f t="shared" si="54"/>
        <v/>
      </c>
      <c r="AB249" s="4" t="str">
        <f t="shared" si="54"/>
        <v/>
      </c>
      <c r="AC249" s="5" t="str">
        <f t="shared" si="54"/>
        <v/>
      </c>
      <c r="AD249" s="3" t="str">
        <f t="shared" si="58"/>
        <v/>
      </c>
      <c r="AE249" s="4" t="str">
        <f t="shared" si="58"/>
        <v/>
      </c>
      <c r="AF249" s="4" t="str">
        <f t="shared" si="58"/>
        <v/>
      </c>
      <c r="AG249" s="4" t="str">
        <f t="shared" si="58"/>
        <v/>
      </c>
      <c r="AH249" s="4" t="str">
        <f t="shared" si="58"/>
        <v/>
      </c>
      <c r="AI249" s="4" t="str">
        <f t="shared" si="58"/>
        <v/>
      </c>
      <c r="AJ249" s="4" t="str">
        <f t="shared" si="58"/>
        <v/>
      </c>
      <c r="AK249" s="4" t="str">
        <f t="shared" si="58"/>
        <v/>
      </c>
      <c r="AL249" s="4" t="str">
        <f t="shared" si="49"/>
        <v/>
      </c>
      <c r="AM249" s="4" t="str">
        <f t="shared" si="55"/>
        <v/>
      </c>
      <c r="AN249" s="4" t="str">
        <f t="shared" si="55"/>
        <v/>
      </c>
      <c r="AO249" s="4" t="str">
        <f t="shared" si="55"/>
        <v/>
      </c>
      <c r="AP249" s="4" t="str">
        <f t="shared" si="55"/>
        <v/>
      </c>
      <c r="AQ249" s="4" t="str">
        <f t="shared" si="55"/>
        <v/>
      </c>
      <c r="AR249" s="4" t="str">
        <f t="shared" si="55"/>
        <v/>
      </c>
      <c r="AS249" s="5" t="str">
        <f t="shared" si="55"/>
        <v/>
      </c>
      <c r="AT249" s="3" t="str">
        <f t="shared" si="59"/>
        <v/>
      </c>
      <c r="AU249" s="4" t="str">
        <f t="shared" si="59"/>
        <v/>
      </c>
      <c r="AV249" s="4" t="str">
        <f t="shared" si="59"/>
        <v/>
      </c>
      <c r="AW249" s="4">
        <f t="shared" si="59"/>
        <v>1</v>
      </c>
      <c r="AX249" s="4" t="str">
        <f t="shared" si="59"/>
        <v/>
      </c>
      <c r="AY249" s="4" t="str">
        <f t="shared" si="59"/>
        <v/>
      </c>
      <c r="AZ249" s="4" t="str">
        <f t="shared" si="59"/>
        <v/>
      </c>
      <c r="BA249" s="4" t="str">
        <f t="shared" si="59"/>
        <v/>
      </c>
      <c r="BB249" s="4" t="str">
        <f t="shared" si="50"/>
        <v/>
      </c>
      <c r="BC249" s="4" t="str">
        <f t="shared" si="56"/>
        <v/>
      </c>
      <c r="BD249" s="4" t="str">
        <f t="shared" si="56"/>
        <v/>
      </c>
      <c r="BE249" s="4" t="str">
        <f t="shared" si="56"/>
        <v/>
      </c>
      <c r="BF249" s="4" t="str">
        <f t="shared" si="56"/>
        <v/>
      </c>
      <c r="BG249" s="4" t="str">
        <f t="shared" si="56"/>
        <v/>
      </c>
      <c r="BH249" s="4" t="str">
        <f t="shared" si="56"/>
        <v/>
      </c>
      <c r="BI249" s="5" t="str">
        <f t="shared" si="56"/>
        <v/>
      </c>
    </row>
    <row r="250" spans="1:61" x14ac:dyDescent="0.25">
      <c r="A250">
        <v>574461</v>
      </c>
      <c r="B250" t="s">
        <v>14</v>
      </c>
      <c r="C250" t="s">
        <v>16</v>
      </c>
      <c r="D250">
        <v>55111</v>
      </c>
      <c r="E250">
        <v>196</v>
      </c>
      <c r="F250">
        <v>90</v>
      </c>
      <c r="G250">
        <v>20131</v>
      </c>
      <c r="H250" t="s">
        <v>0</v>
      </c>
      <c r="I250">
        <v>137751</v>
      </c>
      <c r="J250">
        <v>4536</v>
      </c>
      <c r="K250">
        <v>80929.7</v>
      </c>
      <c r="L250">
        <v>77356.34</v>
      </c>
      <c r="M250">
        <v>3573.36</v>
      </c>
      <c r="N250" s="3" t="str">
        <f t="shared" si="57"/>
        <v/>
      </c>
      <c r="O250" s="4" t="str">
        <f t="shared" si="57"/>
        <v/>
      </c>
      <c r="P250" s="4" t="str">
        <f t="shared" si="57"/>
        <v/>
      </c>
      <c r="Q250" s="4" t="str">
        <f t="shared" si="57"/>
        <v/>
      </c>
      <c r="R250" s="4" t="str">
        <f t="shared" si="57"/>
        <v/>
      </c>
      <c r="S250" s="4" t="str">
        <f t="shared" si="57"/>
        <v/>
      </c>
      <c r="T250" s="4" t="str">
        <f t="shared" si="57"/>
        <v/>
      </c>
      <c r="U250" s="4" t="str">
        <f t="shared" si="57"/>
        <v/>
      </c>
      <c r="V250" s="4" t="str">
        <f t="shared" si="48"/>
        <v/>
      </c>
      <c r="W250" s="4" t="str">
        <f t="shared" si="54"/>
        <v/>
      </c>
      <c r="X250" s="4" t="str">
        <f t="shared" si="54"/>
        <v/>
      </c>
      <c r="Y250" s="4" t="str">
        <f t="shared" si="54"/>
        <v/>
      </c>
      <c r="Z250" s="4" t="str">
        <f t="shared" si="54"/>
        <v/>
      </c>
      <c r="AA250" s="4" t="str">
        <f t="shared" si="54"/>
        <v/>
      </c>
      <c r="AB250" s="4" t="str">
        <f t="shared" si="54"/>
        <v/>
      </c>
      <c r="AC250" s="5" t="str">
        <f t="shared" si="54"/>
        <v/>
      </c>
      <c r="AD250" s="3" t="str">
        <f t="shared" si="58"/>
        <v/>
      </c>
      <c r="AE250" s="4" t="str">
        <f t="shared" si="58"/>
        <v/>
      </c>
      <c r="AF250" s="4" t="str">
        <f t="shared" si="58"/>
        <v/>
      </c>
      <c r="AG250" s="4" t="str">
        <f t="shared" si="58"/>
        <v/>
      </c>
      <c r="AH250" s="4" t="str">
        <f t="shared" si="58"/>
        <v/>
      </c>
      <c r="AI250" s="4" t="str">
        <f t="shared" si="58"/>
        <v/>
      </c>
      <c r="AJ250" s="4" t="str">
        <f t="shared" si="58"/>
        <v/>
      </c>
      <c r="AK250" s="4" t="str">
        <f t="shared" si="58"/>
        <v/>
      </c>
      <c r="AL250" s="4" t="str">
        <f t="shared" si="49"/>
        <v/>
      </c>
      <c r="AM250" s="4" t="str">
        <f t="shared" si="55"/>
        <v/>
      </c>
      <c r="AN250" s="4" t="str">
        <f t="shared" si="55"/>
        <v/>
      </c>
      <c r="AO250" s="4" t="str">
        <f t="shared" si="55"/>
        <v/>
      </c>
      <c r="AP250" s="4" t="str">
        <f t="shared" si="55"/>
        <v/>
      </c>
      <c r="AQ250" s="4" t="str">
        <f t="shared" si="55"/>
        <v/>
      </c>
      <c r="AR250" s="4" t="str">
        <f t="shared" si="55"/>
        <v/>
      </c>
      <c r="AS250" s="5" t="str">
        <f t="shared" si="55"/>
        <v/>
      </c>
      <c r="AT250" s="3">
        <f t="shared" si="59"/>
        <v>1</v>
      </c>
      <c r="AU250" s="4" t="str">
        <f t="shared" si="59"/>
        <v/>
      </c>
      <c r="AV250" s="4" t="str">
        <f t="shared" si="59"/>
        <v/>
      </c>
      <c r="AW250" s="4" t="str">
        <f t="shared" si="59"/>
        <v/>
      </c>
      <c r="AX250" s="4" t="str">
        <f t="shared" si="59"/>
        <v/>
      </c>
      <c r="AY250" s="4" t="str">
        <f t="shared" si="59"/>
        <v/>
      </c>
      <c r="AZ250" s="4" t="str">
        <f t="shared" si="59"/>
        <v/>
      </c>
      <c r="BA250" s="4" t="str">
        <f t="shared" si="59"/>
        <v/>
      </c>
      <c r="BB250" s="4" t="str">
        <f t="shared" si="50"/>
        <v/>
      </c>
      <c r="BC250" s="4" t="str">
        <f t="shared" si="56"/>
        <v/>
      </c>
      <c r="BD250" s="4" t="str">
        <f t="shared" si="56"/>
        <v/>
      </c>
      <c r="BE250" s="4" t="str">
        <f t="shared" si="56"/>
        <v/>
      </c>
      <c r="BF250" s="4" t="str">
        <f t="shared" si="56"/>
        <v/>
      </c>
      <c r="BG250" s="4" t="str">
        <f t="shared" si="56"/>
        <v/>
      </c>
      <c r="BH250" s="4" t="str">
        <f t="shared" si="56"/>
        <v/>
      </c>
      <c r="BI250" s="5" t="str">
        <f t="shared" si="56"/>
        <v/>
      </c>
    </row>
    <row r="251" spans="1:61" x14ac:dyDescent="0.25">
      <c r="A251">
        <v>574462</v>
      </c>
      <c r="B251" t="s">
        <v>14</v>
      </c>
      <c r="C251" t="s">
        <v>16</v>
      </c>
      <c r="D251">
        <v>55111</v>
      </c>
      <c r="E251">
        <v>196</v>
      </c>
      <c r="F251">
        <v>90</v>
      </c>
      <c r="G251">
        <v>20132</v>
      </c>
      <c r="H251" t="s">
        <v>0</v>
      </c>
      <c r="I251">
        <v>124382.00199999999</v>
      </c>
      <c r="J251">
        <v>4063</v>
      </c>
      <c r="K251">
        <v>71749.78</v>
      </c>
      <c r="L251">
        <v>69534.98</v>
      </c>
      <c r="M251">
        <v>2214.8000000000002</v>
      </c>
      <c r="N251" s="3" t="str">
        <f t="shared" si="57"/>
        <v/>
      </c>
      <c r="O251" s="4" t="str">
        <f t="shared" si="57"/>
        <v/>
      </c>
      <c r="P251" s="4" t="str">
        <f t="shared" si="57"/>
        <v/>
      </c>
      <c r="Q251" s="4" t="str">
        <f t="shared" si="57"/>
        <v/>
      </c>
      <c r="R251" s="4" t="str">
        <f t="shared" si="57"/>
        <v/>
      </c>
      <c r="S251" s="4" t="str">
        <f t="shared" si="57"/>
        <v/>
      </c>
      <c r="T251" s="4" t="str">
        <f t="shared" si="57"/>
        <v/>
      </c>
      <c r="U251" s="4" t="str">
        <f t="shared" si="57"/>
        <v/>
      </c>
      <c r="V251" s="4" t="str">
        <f t="shared" si="48"/>
        <v/>
      </c>
      <c r="W251" s="4" t="str">
        <f t="shared" si="54"/>
        <v/>
      </c>
      <c r="X251" s="4" t="str">
        <f t="shared" si="54"/>
        <v/>
      </c>
      <c r="Y251" s="4" t="str">
        <f t="shared" si="54"/>
        <v/>
      </c>
      <c r="Z251" s="4" t="str">
        <f t="shared" si="54"/>
        <v/>
      </c>
      <c r="AA251" s="4" t="str">
        <f t="shared" si="54"/>
        <v/>
      </c>
      <c r="AB251" s="4" t="str">
        <f t="shared" si="54"/>
        <v/>
      </c>
      <c r="AC251" s="5" t="str">
        <f t="shared" si="54"/>
        <v/>
      </c>
      <c r="AD251" s="3" t="str">
        <f t="shared" si="58"/>
        <v/>
      </c>
      <c r="AE251" s="4" t="str">
        <f t="shared" si="58"/>
        <v/>
      </c>
      <c r="AF251" s="4" t="str">
        <f t="shared" si="58"/>
        <v/>
      </c>
      <c r="AG251" s="4" t="str">
        <f t="shared" si="58"/>
        <v/>
      </c>
      <c r="AH251" s="4" t="str">
        <f t="shared" si="58"/>
        <v/>
      </c>
      <c r="AI251" s="4" t="str">
        <f t="shared" si="58"/>
        <v/>
      </c>
      <c r="AJ251" s="4" t="str">
        <f t="shared" si="58"/>
        <v/>
      </c>
      <c r="AK251" s="4" t="str">
        <f t="shared" si="58"/>
        <v/>
      </c>
      <c r="AL251" s="4" t="str">
        <f t="shared" si="49"/>
        <v/>
      </c>
      <c r="AM251" s="4" t="str">
        <f t="shared" si="55"/>
        <v/>
      </c>
      <c r="AN251" s="4" t="str">
        <f t="shared" si="55"/>
        <v/>
      </c>
      <c r="AO251" s="4" t="str">
        <f t="shared" si="55"/>
        <v/>
      </c>
      <c r="AP251" s="4" t="str">
        <f t="shared" si="55"/>
        <v/>
      </c>
      <c r="AQ251" s="4" t="str">
        <f t="shared" si="55"/>
        <v/>
      </c>
      <c r="AR251" s="4" t="str">
        <f t="shared" si="55"/>
        <v/>
      </c>
      <c r="AS251" s="5" t="str">
        <f t="shared" si="55"/>
        <v/>
      </c>
      <c r="AT251" s="3" t="str">
        <f t="shared" si="59"/>
        <v/>
      </c>
      <c r="AU251" s="4">
        <f t="shared" si="59"/>
        <v>1</v>
      </c>
      <c r="AV251" s="4" t="str">
        <f t="shared" si="59"/>
        <v/>
      </c>
      <c r="AW251" s="4" t="str">
        <f t="shared" si="59"/>
        <v/>
      </c>
      <c r="AX251" s="4" t="str">
        <f t="shared" si="59"/>
        <v/>
      </c>
      <c r="AY251" s="4" t="str">
        <f t="shared" si="59"/>
        <v/>
      </c>
      <c r="AZ251" s="4" t="str">
        <f t="shared" si="59"/>
        <v/>
      </c>
      <c r="BA251" s="4" t="str">
        <f t="shared" si="59"/>
        <v/>
      </c>
      <c r="BB251" s="4" t="str">
        <f t="shared" si="50"/>
        <v/>
      </c>
      <c r="BC251" s="4" t="str">
        <f t="shared" si="56"/>
        <v/>
      </c>
      <c r="BD251" s="4" t="str">
        <f t="shared" si="56"/>
        <v/>
      </c>
      <c r="BE251" s="4" t="str">
        <f t="shared" si="56"/>
        <v/>
      </c>
      <c r="BF251" s="4" t="str">
        <f t="shared" si="56"/>
        <v/>
      </c>
      <c r="BG251" s="4" t="str">
        <f t="shared" si="56"/>
        <v/>
      </c>
      <c r="BH251" s="4" t="str">
        <f t="shared" si="56"/>
        <v/>
      </c>
      <c r="BI251" s="5" t="str">
        <f t="shared" si="56"/>
        <v/>
      </c>
    </row>
    <row r="252" spans="1:61" x14ac:dyDescent="0.25">
      <c r="A252">
        <v>574463</v>
      </c>
      <c r="B252" t="s">
        <v>14</v>
      </c>
      <c r="C252" t="s">
        <v>16</v>
      </c>
      <c r="D252">
        <v>55111</v>
      </c>
      <c r="E252">
        <v>196</v>
      </c>
      <c r="F252">
        <v>90</v>
      </c>
      <c r="G252">
        <v>20133</v>
      </c>
      <c r="H252" t="s">
        <v>0</v>
      </c>
      <c r="I252">
        <v>111288.167</v>
      </c>
      <c r="J252">
        <v>3622</v>
      </c>
      <c r="K252">
        <v>69643.13</v>
      </c>
      <c r="L252">
        <v>67768.22</v>
      </c>
      <c r="M252">
        <v>1874.91</v>
      </c>
      <c r="N252" s="3" t="str">
        <f t="shared" si="57"/>
        <v/>
      </c>
      <c r="O252" s="4" t="str">
        <f t="shared" si="57"/>
        <v/>
      </c>
      <c r="P252" s="4" t="str">
        <f t="shared" si="57"/>
        <v/>
      </c>
      <c r="Q252" s="4" t="str">
        <f t="shared" si="57"/>
        <v/>
      </c>
      <c r="R252" s="4" t="str">
        <f t="shared" si="57"/>
        <v/>
      </c>
      <c r="S252" s="4" t="str">
        <f t="shared" si="57"/>
        <v/>
      </c>
      <c r="T252" s="4" t="str">
        <f t="shared" si="57"/>
        <v/>
      </c>
      <c r="U252" s="4" t="str">
        <f t="shared" si="57"/>
        <v/>
      </c>
      <c r="V252" s="4" t="str">
        <f t="shared" si="48"/>
        <v/>
      </c>
      <c r="W252" s="4" t="str">
        <f t="shared" si="54"/>
        <v/>
      </c>
      <c r="X252" s="4" t="str">
        <f t="shared" si="54"/>
        <v/>
      </c>
      <c r="Y252" s="4" t="str">
        <f t="shared" si="54"/>
        <v/>
      </c>
      <c r="Z252" s="4" t="str">
        <f t="shared" si="54"/>
        <v/>
      </c>
      <c r="AA252" s="4" t="str">
        <f t="shared" si="54"/>
        <v/>
      </c>
      <c r="AB252" s="4" t="str">
        <f t="shared" si="54"/>
        <v/>
      </c>
      <c r="AC252" s="5" t="str">
        <f t="shared" si="54"/>
        <v/>
      </c>
      <c r="AD252" s="3" t="str">
        <f t="shared" si="58"/>
        <v/>
      </c>
      <c r="AE252" s="4" t="str">
        <f t="shared" si="58"/>
        <v/>
      </c>
      <c r="AF252" s="4" t="str">
        <f t="shared" si="58"/>
        <v/>
      </c>
      <c r="AG252" s="4" t="str">
        <f t="shared" si="58"/>
        <v/>
      </c>
      <c r="AH252" s="4" t="str">
        <f t="shared" si="58"/>
        <v/>
      </c>
      <c r="AI252" s="4" t="str">
        <f t="shared" si="58"/>
        <v/>
      </c>
      <c r="AJ252" s="4" t="str">
        <f t="shared" si="58"/>
        <v/>
      </c>
      <c r="AK252" s="4" t="str">
        <f t="shared" si="58"/>
        <v/>
      </c>
      <c r="AL252" s="4" t="str">
        <f t="shared" si="49"/>
        <v/>
      </c>
      <c r="AM252" s="4" t="str">
        <f t="shared" si="55"/>
        <v/>
      </c>
      <c r="AN252" s="4" t="str">
        <f t="shared" si="55"/>
        <v/>
      </c>
      <c r="AO252" s="4" t="str">
        <f t="shared" si="55"/>
        <v/>
      </c>
      <c r="AP252" s="4" t="str">
        <f t="shared" si="55"/>
        <v/>
      </c>
      <c r="AQ252" s="4" t="str">
        <f t="shared" si="55"/>
        <v/>
      </c>
      <c r="AR252" s="4" t="str">
        <f t="shared" si="55"/>
        <v/>
      </c>
      <c r="AS252" s="5" t="str">
        <f t="shared" si="55"/>
        <v/>
      </c>
      <c r="AT252" s="3" t="str">
        <f t="shared" si="59"/>
        <v/>
      </c>
      <c r="AU252" s="4" t="str">
        <f t="shared" si="59"/>
        <v/>
      </c>
      <c r="AV252" s="4">
        <f t="shared" si="59"/>
        <v>1</v>
      </c>
      <c r="AW252" s="4" t="str">
        <f t="shared" si="59"/>
        <v/>
      </c>
      <c r="AX252" s="4" t="str">
        <f t="shared" si="59"/>
        <v/>
      </c>
      <c r="AY252" s="4" t="str">
        <f t="shared" si="59"/>
        <v/>
      </c>
      <c r="AZ252" s="4" t="str">
        <f t="shared" si="59"/>
        <v/>
      </c>
      <c r="BA252" s="4" t="str">
        <f t="shared" si="59"/>
        <v/>
      </c>
      <c r="BB252" s="4" t="str">
        <f t="shared" si="50"/>
        <v/>
      </c>
      <c r="BC252" s="4" t="str">
        <f t="shared" si="56"/>
        <v/>
      </c>
      <c r="BD252" s="4" t="str">
        <f t="shared" si="56"/>
        <v/>
      </c>
      <c r="BE252" s="4" t="str">
        <f t="shared" si="56"/>
        <v/>
      </c>
      <c r="BF252" s="4" t="str">
        <f t="shared" si="56"/>
        <v/>
      </c>
      <c r="BG252" s="4" t="str">
        <f t="shared" si="56"/>
        <v/>
      </c>
      <c r="BH252" s="4" t="str">
        <f t="shared" si="56"/>
        <v/>
      </c>
      <c r="BI252" s="5" t="str">
        <f t="shared" si="56"/>
        <v/>
      </c>
    </row>
    <row r="253" spans="1:61" x14ac:dyDescent="0.25">
      <c r="A253">
        <v>574464</v>
      </c>
      <c r="B253" t="s">
        <v>14</v>
      </c>
      <c r="C253" t="s">
        <v>16</v>
      </c>
      <c r="D253">
        <v>55111</v>
      </c>
      <c r="E253">
        <v>196</v>
      </c>
      <c r="F253">
        <v>90</v>
      </c>
      <c r="G253">
        <v>20134</v>
      </c>
      <c r="H253" t="s">
        <v>0</v>
      </c>
      <c r="I253">
        <v>101373</v>
      </c>
      <c r="J253">
        <v>3285</v>
      </c>
      <c r="K253">
        <v>70080.990000000005</v>
      </c>
      <c r="L253">
        <v>68203.61</v>
      </c>
      <c r="M253">
        <v>1877.38</v>
      </c>
      <c r="N253" s="3" t="str">
        <f t="shared" si="57"/>
        <v/>
      </c>
      <c r="O253" s="4" t="str">
        <f t="shared" si="57"/>
        <v/>
      </c>
      <c r="P253" s="4" t="str">
        <f t="shared" si="57"/>
        <v/>
      </c>
      <c r="Q253" s="4" t="str">
        <f t="shared" si="57"/>
        <v/>
      </c>
      <c r="R253" s="4" t="str">
        <f t="shared" si="57"/>
        <v/>
      </c>
      <c r="S253" s="4" t="str">
        <f t="shared" si="57"/>
        <v/>
      </c>
      <c r="T253" s="4" t="str">
        <f t="shared" si="57"/>
        <v/>
      </c>
      <c r="U253" s="4" t="str">
        <f t="shared" si="57"/>
        <v/>
      </c>
      <c r="V253" s="4" t="str">
        <f t="shared" si="48"/>
        <v/>
      </c>
      <c r="W253" s="4" t="str">
        <f t="shared" si="54"/>
        <v/>
      </c>
      <c r="X253" s="4" t="str">
        <f t="shared" si="54"/>
        <v/>
      </c>
      <c r="Y253" s="4" t="str">
        <f t="shared" si="54"/>
        <v/>
      </c>
      <c r="Z253" s="4" t="str">
        <f t="shared" si="54"/>
        <v/>
      </c>
      <c r="AA253" s="4" t="str">
        <f t="shared" si="54"/>
        <v/>
      </c>
      <c r="AB253" s="4" t="str">
        <f t="shared" si="54"/>
        <v/>
      </c>
      <c r="AC253" s="5" t="str">
        <f t="shared" si="54"/>
        <v/>
      </c>
      <c r="AD253" s="3" t="str">
        <f t="shared" si="58"/>
        <v/>
      </c>
      <c r="AE253" s="4" t="str">
        <f t="shared" si="58"/>
        <v/>
      </c>
      <c r="AF253" s="4" t="str">
        <f t="shared" si="58"/>
        <v/>
      </c>
      <c r="AG253" s="4" t="str">
        <f t="shared" si="58"/>
        <v/>
      </c>
      <c r="AH253" s="4" t="str">
        <f t="shared" si="58"/>
        <v/>
      </c>
      <c r="AI253" s="4" t="str">
        <f t="shared" si="58"/>
        <v/>
      </c>
      <c r="AJ253" s="4" t="str">
        <f t="shared" si="58"/>
        <v/>
      </c>
      <c r="AK253" s="4" t="str">
        <f t="shared" si="58"/>
        <v/>
      </c>
      <c r="AL253" s="4" t="str">
        <f t="shared" si="49"/>
        <v/>
      </c>
      <c r="AM253" s="4" t="str">
        <f t="shared" si="55"/>
        <v/>
      </c>
      <c r="AN253" s="4" t="str">
        <f t="shared" si="55"/>
        <v/>
      </c>
      <c r="AO253" s="4" t="str">
        <f t="shared" si="55"/>
        <v/>
      </c>
      <c r="AP253" s="4" t="str">
        <f t="shared" si="55"/>
        <v/>
      </c>
      <c r="AQ253" s="4" t="str">
        <f t="shared" si="55"/>
        <v/>
      </c>
      <c r="AR253" s="4" t="str">
        <f t="shared" si="55"/>
        <v/>
      </c>
      <c r="AS253" s="5" t="str">
        <f t="shared" si="55"/>
        <v/>
      </c>
      <c r="AT253" s="3" t="str">
        <f t="shared" si="59"/>
        <v/>
      </c>
      <c r="AU253" s="4" t="str">
        <f t="shared" si="59"/>
        <v/>
      </c>
      <c r="AV253" s="4" t="str">
        <f t="shared" si="59"/>
        <v/>
      </c>
      <c r="AW253" s="4">
        <f t="shared" si="59"/>
        <v>1</v>
      </c>
      <c r="AX253" s="4" t="str">
        <f t="shared" si="59"/>
        <v/>
      </c>
      <c r="AY253" s="4" t="str">
        <f t="shared" si="59"/>
        <v/>
      </c>
      <c r="AZ253" s="4" t="str">
        <f t="shared" si="59"/>
        <v/>
      </c>
      <c r="BA253" s="4" t="str">
        <f t="shared" si="59"/>
        <v/>
      </c>
      <c r="BB253" s="4" t="str">
        <f t="shared" si="50"/>
        <v/>
      </c>
      <c r="BC253" s="4" t="str">
        <f t="shared" si="56"/>
        <v/>
      </c>
      <c r="BD253" s="4" t="str">
        <f t="shared" si="56"/>
        <v/>
      </c>
      <c r="BE253" s="4" t="str">
        <f t="shared" si="56"/>
        <v/>
      </c>
      <c r="BF253" s="4" t="str">
        <f t="shared" si="56"/>
        <v/>
      </c>
      <c r="BG253" s="4" t="str">
        <f t="shared" si="56"/>
        <v/>
      </c>
      <c r="BH253" s="4" t="str">
        <f t="shared" si="56"/>
        <v/>
      </c>
      <c r="BI253" s="5" t="str">
        <f t="shared" si="56"/>
        <v/>
      </c>
    </row>
    <row r="254" spans="1:61" x14ac:dyDescent="0.25">
      <c r="A254">
        <v>701263</v>
      </c>
      <c r="B254" t="s">
        <v>15</v>
      </c>
      <c r="C254" t="s">
        <v>16</v>
      </c>
      <c r="D254">
        <v>55111</v>
      </c>
      <c r="E254">
        <v>196</v>
      </c>
      <c r="F254">
        <v>5</v>
      </c>
      <c r="G254">
        <v>20131</v>
      </c>
      <c r="H254" t="s">
        <v>0</v>
      </c>
      <c r="I254">
        <v>333482.36099999998</v>
      </c>
      <c r="J254">
        <v>11265</v>
      </c>
      <c r="K254">
        <v>451394.8</v>
      </c>
      <c r="L254">
        <v>423698.78</v>
      </c>
      <c r="M254">
        <v>27696.02</v>
      </c>
      <c r="N254" s="3" t="str">
        <f t="shared" si="57"/>
        <v/>
      </c>
      <c r="O254" s="4" t="str">
        <f t="shared" si="57"/>
        <v/>
      </c>
      <c r="P254" s="4" t="str">
        <f t="shared" si="57"/>
        <v/>
      </c>
      <c r="Q254" s="4" t="str">
        <f t="shared" si="57"/>
        <v/>
      </c>
      <c r="R254" s="4" t="str">
        <f t="shared" si="57"/>
        <v/>
      </c>
      <c r="S254" s="4" t="str">
        <f t="shared" si="57"/>
        <v/>
      </c>
      <c r="T254" s="4" t="str">
        <f t="shared" si="57"/>
        <v/>
      </c>
      <c r="U254" s="4" t="str">
        <f t="shared" si="57"/>
        <v/>
      </c>
      <c r="V254" s="4" t="str">
        <f t="shared" si="48"/>
        <v/>
      </c>
      <c r="W254" s="4" t="str">
        <f t="shared" si="54"/>
        <v/>
      </c>
      <c r="X254" s="4" t="str">
        <f t="shared" si="54"/>
        <v/>
      </c>
      <c r="Y254" s="4" t="str">
        <f t="shared" si="54"/>
        <v/>
      </c>
      <c r="Z254" s="4" t="str">
        <f t="shared" si="54"/>
        <v/>
      </c>
      <c r="AA254" s="4" t="str">
        <f t="shared" si="54"/>
        <v/>
      </c>
      <c r="AB254" s="4" t="str">
        <f t="shared" si="54"/>
        <v/>
      </c>
      <c r="AC254" s="5" t="str">
        <f t="shared" si="54"/>
        <v/>
      </c>
      <c r="AD254" s="3" t="str">
        <f t="shared" si="58"/>
        <v/>
      </c>
      <c r="AE254" s="4" t="str">
        <f t="shared" si="58"/>
        <v/>
      </c>
      <c r="AF254" s="4" t="str">
        <f t="shared" si="58"/>
        <v/>
      </c>
      <c r="AG254" s="4" t="str">
        <f t="shared" si="58"/>
        <v/>
      </c>
      <c r="AH254" s="4" t="str">
        <f t="shared" si="58"/>
        <v/>
      </c>
      <c r="AI254" s="4" t="str">
        <f t="shared" si="58"/>
        <v/>
      </c>
      <c r="AJ254" s="4" t="str">
        <f t="shared" si="58"/>
        <v/>
      </c>
      <c r="AK254" s="4" t="str">
        <f t="shared" si="58"/>
        <v/>
      </c>
      <c r="AL254" s="4" t="str">
        <f t="shared" si="49"/>
        <v/>
      </c>
      <c r="AM254" s="4" t="str">
        <f t="shared" si="55"/>
        <v/>
      </c>
      <c r="AN254" s="4" t="str">
        <f t="shared" si="55"/>
        <v/>
      </c>
      <c r="AO254" s="4" t="str">
        <f t="shared" si="55"/>
        <v/>
      </c>
      <c r="AP254" s="4" t="str">
        <f t="shared" si="55"/>
        <v/>
      </c>
      <c r="AQ254" s="4" t="str">
        <f t="shared" si="55"/>
        <v/>
      </c>
      <c r="AR254" s="4" t="str">
        <f t="shared" si="55"/>
        <v/>
      </c>
      <c r="AS254" s="5" t="str">
        <f t="shared" si="55"/>
        <v/>
      </c>
      <c r="AT254" s="3" t="str">
        <f t="shared" si="59"/>
        <v/>
      </c>
      <c r="AU254" s="4" t="str">
        <f t="shared" si="59"/>
        <v/>
      </c>
      <c r="AV254" s="4" t="str">
        <f t="shared" si="59"/>
        <v/>
      </c>
      <c r="AW254" s="4" t="str">
        <f t="shared" si="59"/>
        <v/>
      </c>
      <c r="AX254" s="4">
        <f t="shared" si="59"/>
        <v>1</v>
      </c>
      <c r="AY254" s="4" t="str">
        <f t="shared" si="59"/>
        <v/>
      </c>
      <c r="AZ254" s="4" t="str">
        <f t="shared" si="59"/>
        <v/>
      </c>
      <c r="BA254" s="4" t="str">
        <f t="shared" si="59"/>
        <v/>
      </c>
      <c r="BB254" s="4" t="str">
        <f t="shared" si="50"/>
        <v/>
      </c>
      <c r="BC254" s="4" t="str">
        <f t="shared" si="56"/>
        <v/>
      </c>
      <c r="BD254" s="4" t="str">
        <f t="shared" si="56"/>
        <v/>
      </c>
      <c r="BE254" s="4" t="str">
        <f t="shared" si="56"/>
        <v/>
      </c>
      <c r="BF254" s="4" t="str">
        <f t="shared" si="56"/>
        <v/>
      </c>
      <c r="BG254" s="4" t="str">
        <f t="shared" si="56"/>
        <v/>
      </c>
      <c r="BH254" s="4" t="str">
        <f t="shared" si="56"/>
        <v/>
      </c>
      <c r="BI254" s="5" t="str">
        <f t="shared" si="56"/>
        <v/>
      </c>
    </row>
    <row r="255" spans="1:61" x14ac:dyDescent="0.25">
      <c r="A255">
        <v>701264</v>
      </c>
      <c r="B255" t="s">
        <v>15</v>
      </c>
      <c r="C255" t="s">
        <v>16</v>
      </c>
      <c r="D255">
        <v>55111</v>
      </c>
      <c r="E255">
        <v>196</v>
      </c>
      <c r="F255">
        <v>5</v>
      </c>
      <c r="G255">
        <v>20132</v>
      </c>
      <c r="H255" t="s">
        <v>0</v>
      </c>
      <c r="I255">
        <v>331849</v>
      </c>
      <c r="J255">
        <v>10997</v>
      </c>
      <c r="K255">
        <v>334996.53000000003</v>
      </c>
      <c r="L255">
        <v>327128.58</v>
      </c>
      <c r="M255">
        <v>7867.95</v>
      </c>
      <c r="N255" s="3" t="str">
        <f t="shared" si="57"/>
        <v/>
      </c>
      <c r="O255" s="4" t="str">
        <f t="shared" si="57"/>
        <v/>
      </c>
      <c r="P255" s="4" t="str">
        <f t="shared" si="57"/>
        <v/>
      </c>
      <c r="Q255" s="4" t="str">
        <f t="shared" si="57"/>
        <v/>
      </c>
      <c r="R255" s="4" t="str">
        <f t="shared" si="57"/>
        <v/>
      </c>
      <c r="S255" s="4" t="str">
        <f t="shared" si="57"/>
        <v/>
      </c>
      <c r="T255" s="4" t="str">
        <f t="shared" si="57"/>
        <v/>
      </c>
      <c r="U255" s="4" t="str">
        <f t="shared" si="57"/>
        <v/>
      </c>
      <c r="V255" s="4" t="str">
        <f t="shared" si="48"/>
        <v/>
      </c>
      <c r="W255" s="4" t="str">
        <f t="shared" si="54"/>
        <v/>
      </c>
      <c r="X255" s="4" t="str">
        <f t="shared" si="54"/>
        <v/>
      </c>
      <c r="Y255" s="4" t="str">
        <f t="shared" si="54"/>
        <v/>
      </c>
      <c r="Z255" s="4" t="str">
        <f t="shared" si="54"/>
        <v/>
      </c>
      <c r="AA255" s="4" t="str">
        <f t="shared" si="54"/>
        <v/>
      </c>
      <c r="AB255" s="4" t="str">
        <f t="shared" si="54"/>
        <v/>
      </c>
      <c r="AC255" s="5" t="str">
        <f t="shared" si="54"/>
        <v/>
      </c>
      <c r="AD255" s="3" t="str">
        <f t="shared" si="58"/>
        <v/>
      </c>
      <c r="AE255" s="4" t="str">
        <f t="shared" si="58"/>
        <v/>
      </c>
      <c r="AF255" s="4" t="str">
        <f t="shared" si="58"/>
        <v/>
      </c>
      <c r="AG255" s="4" t="str">
        <f t="shared" si="58"/>
        <v/>
      </c>
      <c r="AH255" s="4" t="str">
        <f t="shared" si="58"/>
        <v/>
      </c>
      <c r="AI255" s="4" t="str">
        <f t="shared" si="58"/>
        <v/>
      </c>
      <c r="AJ255" s="4" t="str">
        <f t="shared" si="58"/>
        <v/>
      </c>
      <c r="AK255" s="4" t="str">
        <f t="shared" si="58"/>
        <v/>
      </c>
      <c r="AL255" s="4" t="str">
        <f t="shared" si="49"/>
        <v/>
      </c>
      <c r="AM255" s="4" t="str">
        <f t="shared" si="55"/>
        <v/>
      </c>
      <c r="AN255" s="4" t="str">
        <f t="shared" si="55"/>
        <v/>
      </c>
      <c r="AO255" s="4" t="str">
        <f t="shared" si="55"/>
        <v/>
      </c>
      <c r="AP255" s="4" t="str">
        <f t="shared" si="55"/>
        <v/>
      </c>
      <c r="AQ255" s="4" t="str">
        <f t="shared" si="55"/>
        <v/>
      </c>
      <c r="AR255" s="4" t="str">
        <f t="shared" si="55"/>
        <v/>
      </c>
      <c r="AS255" s="5" t="str">
        <f t="shared" si="55"/>
        <v/>
      </c>
      <c r="AT255" s="3" t="str">
        <f t="shared" si="59"/>
        <v/>
      </c>
      <c r="AU255" s="4" t="str">
        <f t="shared" si="59"/>
        <v/>
      </c>
      <c r="AV255" s="4" t="str">
        <f t="shared" si="59"/>
        <v/>
      </c>
      <c r="AW255" s="4" t="str">
        <f t="shared" si="59"/>
        <v/>
      </c>
      <c r="AX255" s="4" t="str">
        <f t="shared" si="59"/>
        <v/>
      </c>
      <c r="AY255" s="4">
        <f t="shared" si="59"/>
        <v>1</v>
      </c>
      <c r="AZ255" s="4" t="str">
        <f t="shared" si="59"/>
        <v/>
      </c>
      <c r="BA255" s="4" t="str">
        <f t="shared" si="59"/>
        <v/>
      </c>
      <c r="BB255" s="4" t="str">
        <f t="shared" si="50"/>
        <v/>
      </c>
      <c r="BC255" s="4" t="str">
        <f t="shared" si="56"/>
        <v/>
      </c>
      <c r="BD255" s="4" t="str">
        <f t="shared" si="56"/>
        <v/>
      </c>
      <c r="BE255" s="4" t="str">
        <f t="shared" si="56"/>
        <v/>
      </c>
      <c r="BF255" s="4" t="str">
        <f t="shared" si="56"/>
        <v/>
      </c>
      <c r="BG255" s="4" t="str">
        <f t="shared" si="56"/>
        <v/>
      </c>
      <c r="BH255" s="4" t="str">
        <f t="shared" si="56"/>
        <v/>
      </c>
      <c r="BI255" s="5" t="str">
        <f t="shared" si="56"/>
        <v/>
      </c>
    </row>
    <row r="256" spans="1:61" x14ac:dyDescent="0.25">
      <c r="A256">
        <v>701265</v>
      </c>
      <c r="B256" t="s">
        <v>15</v>
      </c>
      <c r="C256" t="s">
        <v>16</v>
      </c>
      <c r="D256">
        <v>55111</v>
      </c>
      <c r="E256">
        <v>196</v>
      </c>
      <c r="F256">
        <v>5</v>
      </c>
      <c r="G256">
        <v>20133</v>
      </c>
      <c r="H256" t="s">
        <v>0</v>
      </c>
      <c r="I256">
        <v>324951</v>
      </c>
      <c r="J256">
        <v>10870</v>
      </c>
      <c r="K256">
        <v>264908.28999999998</v>
      </c>
      <c r="L256">
        <v>262483.46999999997</v>
      </c>
      <c r="M256">
        <v>2424.8200000000002</v>
      </c>
      <c r="N256" s="3" t="str">
        <f t="shared" si="57"/>
        <v/>
      </c>
      <c r="O256" s="4" t="str">
        <f t="shared" si="57"/>
        <v/>
      </c>
      <c r="P256" s="4" t="str">
        <f t="shared" si="57"/>
        <v/>
      </c>
      <c r="Q256" s="4" t="str">
        <f t="shared" si="57"/>
        <v/>
      </c>
      <c r="R256" s="4" t="str">
        <f t="shared" si="57"/>
        <v/>
      </c>
      <c r="S256" s="4" t="str">
        <f t="shared" si="57"/>
        <v/>
      </c>
      <c r="T256" s="4" t="str">
        <f t="shared" si="57"/>
        <v/>
      </c>
      <c r="U256" s="4" t="str">
        <f t="shared" si="57"/>
        <v/>
      </c>
      <c r="V256" s="4" t="str">
        <f t="shared" si="48"/>
        <v/>
      </c>
      <c r="W256" s="4" t="str">
        <f t="shared" si="54"/>
        <v/>
      </c>
      <c r="X256" s="4" t="str">
        <f t="shared" si="54"/>
        <v/>
      </c>
      <c r="Y256" s="4" t="str">
        <f t="shared" si="54"/>
        <v/>
      </c>
      <c r="Z256" s="4" t="str">
        <f t="shared" si="54"/>
        <v/>
      </c>
      <c r="AA256" s="4" t="str">
        <f t="shared" si="54"/>
        <v/>
      </c>
      <c r="AB256" s="4" t="str">
        <f t="shared" si="54"/>
        <v/>
      </c>
      <c r="AC256" s="5" t="str">
        <f t="shared" si="54"/>
        <v/>
      </c>
      <c r="AD256" s="3" t="str">
        <f t="shared" si="58"/>
        <v/>
      </c>
      <c r="AE256" s="4" t="str">
        <f t="shared" si="58"/>
        <v/>
      </c>
      <c r="AF256" s="4" t="str">
        <f t="shared" si="58"/>
        <v/>
      </c>
      <c r="AG256" s="4" t="str">
        <f t="shared" si="58"/>
        <v/>
      </c>
      <c r="AH256" s="4" t="str">
        <f t="shared" si="58"/>
        <v/>
      </c>
      <c r="AI256" s="4" t="str">
        <f t="shared" si="58"/>
        <v/>
      </c>
      <c r="AJ256" s="4" t="str">
        <f t="shared" si="58"/>
        <v/>
      </c>
      <c r="AK256" s="4" t="str">
        <f t="shared" si="58"/>
        <v/>
      </c>
      <c r="AL256" s="4" t="str">
        <f t="shared" si="49"/>
        <v/>
      </c>
      <c r="AM256" s="4" t="str">
        <f t="shared" si="55"/>
        <v/>
      </c>
      <c r="AN256" s="4" t="str">
        <f t="shared" si="55"/>
        <v/>
      </c>
      <c r="AO256" s="4" t="str">
        <f t="shared" si="55"/>
        <v/>
      </c>
      <c r="AP256" s="4" t="str">
        <f t="shared" si="55"/>
        <v/>
      </c>
      <c r="AQ256" s="4" t="str">
        <f t="shared" si="55"/>
        <v/>
      </c>
      <c r="AR256" s="4" t="str">
        <f t="shared" si="55"/>
        <v/>
      </c>
      <c r="AS256" s="5" t="str">
        <f t="shared" si="55"/>
        <v/>
      </c>
      <c r="AT256" s="3" t="str">
        <f t="shared" si="59"/>
        <v/>
      </c>
      <c r="AU256" s="4" t="str">
        <f t="shared" si="59"/>
        <v/>
      </c>
      <c r="AV256" s="4" t="str">
        <f t="shared" si="59"/>
        <v/>
      </c>
      <c r="AW256" s="4" t="str">
        <f t="shared" si="59"/>
        <v/>
      </c>
      <c r="AX256" s="4" t="str">
        <f t="shared" si="59"/>
        <v/>
      </c>
      <c r="AY256" s="4" t="str">
        <f t="shared" si="59"/>
        <v/>
      </c>
      <c r="AZ256" s="4">
        <f t="shared" si="59"/>
        <v>1</v>
      </c>
      <c r="BA256" s="4" t="str">
        <f t="shared" si="59"/>
        <v/>
      </c>
      <c r="BB256" s="4" t="str">
        <f t="shared" si="50"/>
        <v/>
      </c>
      <c r="BC256" s="4" t="str">
        <f t="shared" si="56"/>
        <v/>
      </c>
      <c r="BD256" s="4" t="str">
        <f t="shared" si="56"/>
        <v/>
      </c>
      <c r="BE256" s="4" t="str">
        <f t="shared" si="56"/>
        <v/>
      </c>
      <c r="BF256" s="4" t="str">
        <f t="shared" si="56"/>
        <v/>
      </c>
      <c r="BG256" s="4" t="str">
        <f t="shared" si="56"/>
        <v/>
      </c>
      <c r="BH256" s="4" t="str">
        <f t="shared" si="56"/>
        <v/>
      </c>
      <c r="BI256" s="5" t="str">
        <f t="shared" si="56"/>
        <v/>
      </c>
    </row>
    <row r="257" spans="1:61" x14ac:dyDescent="0.25">
      <c r="A257">
        <v>701266</v>
      </c>
      <c r="B257" t="s">
        <v>15</v>
      </c>
      <c r="C257" t="s">
        <v>16</v>
      </c>
      <c r="D257">
        <v>55111</v>
      </c>
      <c r="E257">
        <v>196</v>
      </c>
      <c r="F257">
        <v>5</v>
      </c>
      <c r="G257">
        <v>20134</v>
      </c>
      <c r="H257" t="s">
        <v>0</v>
      </c>
      <c r="I257">
        <v>350537</v>
      </c>
      <c r="J257">
        <v>11773</v>
      </c>
      <c r="K257">
        <v>270899.76</v>
      </c>
      <c r="L257">
        <v>267643.53000000003</v>
      </c>
      <c r="M257">
        <v>3256.23</v>
      </c>
      <c r="N257" s="3" t="str">
        <f t="shared" si="57"/>
        <v/>
      </c>
      <c r="O257" s="4" t="str">
        <f t="shared" si="57"/>
        <v/>
      </c>
      <c r="P257" s="4" t="str">
        <f t="shared" si="57"/>
        <v/>
      </c>
      <c r="Q257" s="4" t="str">
        <f t="shared" si="57"/>
        <v/>
      </c>
      <c r="R257" s="4" t="str">
        <f t="shared" si="57"/>
        <v/>
      </c>
      <c r="S257" s="4" t="str">
        <f t="shared" si="57"/>
        <v/>
      </c>
      <c r="T257" s="4" t="str">
        <f t="shared" si="57"/>
        <v/>
      </c>
      <c r="U257" s="4" t="str">
        <f t="shared" si="57"/>
        <v/>
      </c>
      <c r="V257" s="4" t="str">
        <f t="shared" si="48"/>
        <v/>
      </c>
      <c r="W257" s="4" t="str">
        <f t="shared" si="54"/>
        <v/>
      </c>
      <c r="X257" s="4" t="str">
        <f t="shared" si="54"/>
        <v/>
      </c>
      <c r="Y257" s="4" t="str">
        <f t="shared" si="54"/>
        <v/>
      </c>
      <c r="Z257" s="4" t="str">
        <f t="shared" si="54"/>
        <v/>
      </c>
      <c r="AA257" s="4" t="str">
        <f t="shared" si="54"/>
        <v/>
      </c>
      <c r="AB257" s="4" t="str">
        <f t="shared" si="54"/>
        <v/>
      </c>
      <c r="AC257" s="5" t="str">
        <f t="shared" si="54"/>
        <v/>
      </c>
      <c r="AD257" s="3" t="str">
        <f t="shared" si="58"/>
        <v/>
      </c>
      <c r="AE257" s="4" t="str">
        <f t="shared" si="58"/>
        <v/>
      </c>
      <c r="AF257" s="4" t="str">
        <f t="shared" si="58"/>
        <v/>
      </c>
      <c r="AG257" s="4" t="str">
        <f t="shared" si="58"/>
        <v/>
      </c>
      <c r="AH257" s="4" t="str">
        <f t="shared" si="58"/>
        <v/>
      </c>
      <c r="AI257" s="4" t="str">
        <f t="shared" si="58"/>
        <v/>
      </c>
      <c r="AJ257" s="4" t="str">
        <f t="shared" si="58"/>
        <v/>
      </c>
      <c r="AK257" s="4" t="str">
        <f t="shared" si="58"/>
        <v/>
      </c>
      <c r="AL257" s="4" t="str">
        <f t="shared" si="49"/>
        <v/>
      </c>
      <c r="AM257" s="4" t="str">
        <f t="shared" si="55"/>
        <v/>
      </c>
      <c r="AN257" s="4" t="str">
        <f t="shared" si="55"/>
        <v/>
      </c>
      <c r="AO257" s="4" t="str">
        <f t="shared" si="55"/>
        <v/>
      </c>
      <c r="AP257" s="4" t="str">
        <f t="shared" si="55"/>
        <v/>
      </c>
      <c r="AQ257" s="4" t="str">
        <f t="shared" si="55"/>
        <v/>
      </c>
      <c r="AR257" s="4" t="str">
        <f t="shared" si="55"/>
        <v/>
      </c>
      <c r="AS257" s="5" t="str">
        <f t="shared" si="55"/>
        <v/>
      </c>
      <c r="AT257" s="3" t="str">
        <f t="shared" si="59"/>
        <v/>
      </c>
      <c r="AU257" s="4" t="str">
        <f t="shared" si="59"/>
        <v/>
      </c>
      <c r="AV257" s="4" t="str">
        <f t="shared" si="59"/>
        <v/>
      </c>
      <c r="AW257" s="4" t="str">
        <f t="shared" si="59"/>
        <v/>
      </c>
      <c r="AX257" s="4" t="str">
        <f t="shared" si="59"/>
        <v/>
      </c>
      <c r="AY257" s="4" t="str">
        <f t="shared" si="59"/>
        <v/>
      </c>
      <c r="AZ257" s="4" t="str">
        <f t="shared" si="59"/>
        <v/>
      </c>
      <c r="BA257" s="4">
        <f t="shared" si="59"/>
        <v>1</v>
      </c>
      <c r="BB257" s="4" t="str">
        <f t="shared" si="50"/>
        <v/>
      </c>
      <c r="BC257" s="4" t="str">
        <f t="shared" si="56"/>
        <v/>
      </c>
      <c r="BD257" s="4" t="str">
        <f t="shared" si="56"/>
        <v/>
      </c>
      <c r="BE257" s="4" t="str">
        <f t="shared" si="56"/>
        <v/>
      </c>
      <c r="BF257" s="4" t="str">
        <f t="shared" si="56"/>
        <v/>
      </c>
      <c r="BG257" s="4" t="str">
        <f t="shared" si="56"/>
        <v/>
      </c>
      <c r="BH257" s="4" t="str">
        <f t="shared" si="56"/>
        <v/>
      </c>
      <c r="BI257" s="5" t="str">
        <f t="shared" si="56"/>
        <v/>
      </c>
    </row>
    <row r="258" spans="1:61" x14ac:dyDescent="0.25">
      <c r="A258">
        <v>701267</v>
      </c>
      <c r="B258" t="s">
        <v>15</v>
      </c>
      <c r="C258" t="s">
        <v>16</v>
      </c>
      <c r="D258">
        <v>55111</v>
      </c>
      <c r="E258">
        <v>196</v>
      </c>
      <c r="F258">
        <v>30</v>
      </c>
      <c r="G258">
        <v>20131</v>
      </c>
      <c r="H258" t="s">
        <v>0</v>
      </c>
      <c r="I258">
        <v>1056194.642</v>
      </c>
      <c r="J258">
        <v>34807</v>
      </c>
      <c r="K258">
        <v>1344613.79</v>
      </c>
      <c r="L258">
        <v>1304496.93</v>
      </c>
      <c r="M258">
        <v>40116.86</v>
      </c>
      <c r="N258" s="3" t="str">
        <f t="shared" si="57"/>
        <v/>
      </c>
      <c r="O258" s="4" t="str">
        <f t="shared" si="57"/>
        <v/>
      </c>
      <c r="P258" s="4" t="str">
        <f t="shared" si="57"/>
        <v/>
      </c>
      <c r="Q258" s="4" t="str">
        <f t="shared" si="57"/>
        <v/>
      </c>
      <c r="R258" s="4" t="str">
        <f t="shared" si="57"/>
        <v/>
      </c>
      <c r="S258" s="4" t="str">
        <f t="shared" si="57"/>
        <v/>
      </c>
      <c r="T258" s="4" t="str">
        <f t="shared" si="57"/>
        <v/>
      </c>
      <c r="U258" s="4" t="str">
        <f t="shared" si="57"/>
        <v/>
      </c>
      <c r="V258" s="4" t="str">
        <f t="shared" si="48"/>
        <v/>
      </c>
      <c r="W258" s="4" t="str">
        <f t="shared" si="54"/>
        <v/>
      </c>
      <c r="X258" s="4" t="str">
        <f t="shared" si="54"/>
        <v/>
      </c>
      <c r="Y258" s="4" t="str">
        <f t="shared" si="54"/>
        <v/>
      </c>
      <c r="Z258" s="4" t="str">
        <f t="shared" si="54"/>
        <v/>
      </c>
      <c r="AA258" s="4" t="str">
        <f t="shared" si="54"/>
        <v/>
      </c>
      <c r="AB258" s="4" t="str">
        <f t="shared" si="54"/>
        <v/>
      </c>
      <c r="AC258" s="5" t="str">
        <f t="shared" si="54"/>
        <v/>
      </c>
      <c r="AD258" s="3" t="str">
        <f t="shared" si="58"/>
        <v/>
      </c>
      <c r="AE258" s="4" t="str">
        <f t="shared" si="58"/>
        <v/>
      </c>
      <c r="AF258" s="4" t="str">
        <f t="shared" si="58"/>
        <v/>
      </c>
      <c r="AG258" s="4" t="str">
        <f t="shared" si="58"/>
        <v/>
      </c>
      <c r="AH258" s="4" t="str">
        <f t="shared" si="58"/>
        <v/>
      </c>
      <c r="AI258" s="4" t="str">
        <f t="shared" si="58"/>
        <v/>
      </c>
      <c r="AJ258" s="4" t="str">
        <f t="shared" si="58"/>
        <v/>
      </c>
      <c r="AK258" s="4" t="str">
        <f t="shared" si="58"/>
        <v/>
      </c>
      <c r="AL258" s="4" t="str">
        <f t="shared" si="49"/>
        <v/>
      </c>
      <c r="AM258" s="4" t="str">
        <f t="shared" si="55"/>
        <v/>
      </c>
      <c r="AN258" s="4" t="str">
        <f t="shared" si="55"/>
        <v/>
      </c>
      <c r="AO258" s="4" t="str">
        <f t="shared" si="55"/>
        <v/>
      </c>
      <c r="AP258" s="4" t="str">
        <f t="shared" si="55"/>
        <v/>
      </c>
      <c r="AQ258" s="4" t="str">
        <f t="shared" si="55"/>
        <v/>
      </c>
      <c r="AR258" s="4" t="str">
        <f t="shared" si="55"/>
        <v/>
      </c>
      <c r="AS258" s="5" t="str">
        <f t="shared" si="55"/>
        <v/>
      </c>
      <c r="AT258" s="3" t="str">
        <f t="shared" si="59"/>
        <v/>
      </c>
      <c r="AU258" s="4" t="str">
        <f t="shared" si="59"/>
        <v/>
      </c>
      <c r="AV258" s="4" t="str">
        <f t="shared" si="59"/>
        <v/>
      </c>
      <c r="AW258" s="4" t="str">
        <f t="shared" si="59"/>
        <v/>
      </c>
      <c r="AX258" s="4">
        <f t="shared" si="59"/>
        <v>1</v>
      </c>
      <c r="AY258" s="4" t="str">
        <f t="shared" si="59"/>
        <v/>
      </c>
      <c r="AZ258" s="4" t="str">
        <f t="shared" si="59"/>
        <v/>
      </c>
      <c r="BA258" s="4" t="str">
        <f t="shared" si="59"/>
        <v/>
      </c>
      <c r="BB258" s="4" t="str">
        <f t="shared" si="50"/>
        <v/>
      </c>
      <c r="BC258" s="4" t="str">
        <f t="shared" si="56"/>
        <v/>
      </c>
      <c r="BD258" s="4" t="str">
        <f t="shared" si="56"/>
        <v/>
      </c>
      <c r="BE258" s="4" t="str">
        <f t="shared" si="56"/>
        <v/>
      </c>
      <c r="BF258" s="4" t="str">
        <f t="shared" si="56"/>
        <v/>
      </c>
      <c r="BG258" s="4" t="str">
        <f t="shared" si="56"/>
        <v/>
      </c>
      <c r="BH258" s="4" t="str">
        <f t="shared" si="56"/>
        <v/>
      </c>
      <c r="BI258" s="5" t="str">
        <f t="shared" si="56"/>
        <v/>
      </c>
    </row>
    <row r="259" spans="1:61" x14ac:dyDescent="0.25">
      <c r="A259">
        <v>701268</v>
      </c>
      <c r="B259" t="s">
        <v>15</v>
      </c>
      <c r="C259" t="s">
        <v>16</v>
      </c>
      <c r="D259">
        <v>55111</v>
      </c>
      <c r="E259">
        <v>196</v>
      </c>
      <c r="F259">
        <v>30</v>
      </c>
      <c r="G259">
        <v>20132</v>
      </c>
      <c r="H259" t="s">
        <v>0</v>
      </c>
      <c r="I259">
        <v>453698</v>
      </c>
      <c r="J259">
        <v>14767</v>
      </c>
      <c r="K259">
        <v>493835.35</v>
      </c>
      <c r="L259">
        <v>477605.42</v>
      </c>
      <c r="M259">
        <v>16229.93</v>
      </c>
      <c r="N259" s="3" t="str">
        <f t="shared" si="57"/>
        <v/>
      </c>
      <c r="O259" s="4" t="str">
        <f t="shared" si="57"/>
        <v/>
      </c>
      <c r="P259" s="4" t="str">
        <f t="shared" si="57"/>
        <v/>
      </c>
      <c r="Q259" s="4" t="str">
        <f t="shared" si="57"/>
        <v/>
      </c>
      <c r="R259" s="4" t="str">
        <f t="shared" si="57"/>
        <v/>
      </c>
      <c r="S259" s="4" t="str">
        <f t="shared" si="57"/>
        <v/>
      </c>
      <c r="T259" s="4" t="str">
        <f t="shared" si="57"/>
        <v/>
      </c>
      <c r="U259" s="4" t="str">
        <f t="shared" si="57"/>
        <v/>
      </c>
      <c r="V259" s="4" t="str">
        <f t="shared" si="48"/>
        <v/>
      </c>
      <c r="W259" s="4" t="str">
        <f t="shared" si="54"/>
        <v/>
      </c>
      <c r="X259" s="4" t="str">
        <f t="shared" si="54"/>
        <v/>
      </c>
      <c r="Y259" s="4" t="str">
        <f t="shared" si="54"/>
        <v/>
      </c>
      <c r="Z259" s="4" t="str">
        <f t="shared" si="54"/>
        <v/>
      </c>
      <c r="AA259" s="4" t="str">
        <f t="shared" si="54"/>
        <v/>
      </c>
      <c r="AB259" s="4" t="str">
        <f t="shared" si="54"/>
        <v/>
      </c>
      <c r="AC259" s="5" t="str">
        <f t="shared" si="54"/>
        <v/>
      </c>
      <c r="AD259" s="3" t="str">
        <f t="shared" si="58"/>
        <v/>
      </c>
      <c r="AE259" s="4" t="str">
        <f t="shared" si="58"/>
        <v/>
      </c>
      <c r="AF259" s="4" t="str">
        <f t="shared" si="58"/>
        <v/>
      </c>
      <c r="AG259" s="4" t="str">
        <f t="shared" si="58"/>
        <v/>
      </c>
      <c r="AH259" s="4" t="str">
        <f t="shared" si="58"/>
        <v/>
      </c>
      <c r="AI259" s="4" t="str">
        <f t="shared" si="58"/>
        <v/>
      </c>
      <c r="AJ259" s="4" t="str">
        <f t="shared" si="58"/>
        <v/>
      </c>
      <c r="AK259" s="4" t="str">
        <f t="shared" si="58"/>
        <v/>
      </c>
      <c r="AL259" s="4" t="str">
        <f t="shared" si="49"/>
        <v/>
      </c>
      <c r="AM259" s="4" t="str">
        <f t="shared" si="55"/>
        <v/>
      </c>
      <c r="AN259" s="4" t="str">
        <f t="shared" si="55"/>
        <v/>
      </c>
      <c r="AO259" s="4" t="str">
        <f t="shared" si="55"/>
        <v/>
      </c>
      <c r="AP259" s="4" t="str">
        <f t="shared" si="55"/>
        <v/>
      </c>
      <c r="AQ259" s="4" t="str">
        <f t="shared" si="55"/>
        <v/>
      </c>
      <c r="AR259" s="4" t="str">
        <f t="shared" si="55"/>
        <v/>
      </c>
      <c r="AS259" s="5" t="str">
        <f t="shared" si="55"/>
        <v/>
      </c>
      <c r="AT259" s="3" t="str">
        <f t="shared" si="59"/>
        <v/>
      </c>
      <c r="AU259" s="4" t="str">
        <f t="shared" si="59"/>
        <v/>
      </c>
      <c r="AV259" s="4" t="str">
        <f t="shared" si="59"/>
        <v/>
      </c>
      <c r="AW259" s="4" t="str">
        <f t="shared" si="59"/>
        <v/>
      </c>
      <c r="AX259" s="4" t="str">
        <f t="shared" si="59"/>
        <v/>
      </c>
      <c r="AY259" s="4">
        <f t="shared" si="59"/>
        <v>1</v>
      </c>
      <c r="AZ259" s="4" t="str">
        <f t="shared" si="59"/>
        <v/>
      </c>
      <c r="BA259" s="4" t="str">
        <f t="shared" si="59"/>
        <v/>
      </c>
      <c r="BB259" s="4" t="str">
        <f t="shared" si="50"/>
        <v/>
      </c>
      <c r="BC259" s="4" t="str">
        <f t="shared" si="56"/>
        <v/>
      </c>
      <c r="BD259" s="4" t="str">
        <f t="shared" si="56"/>
        <v/>
      </c>
      <c r="BE259" s="4" t="str">
        <f t="shared" si="56"/>
        <v/>
      </c>
      <c r="BF259" s="4" t="str">
        <f t="shared" si="56"/>
        <v/>
      </c>
      <c r="BG259" s="4" t="str">
        <f t="shared" si="56"/>
        <v/>
      </c>
      <c r="BH259" s="4" t="str">
        <f t="shared" si="56"/>
        <v/>
      </c>
      <c r="BI259" s="5" t="str">
        <f t="shared" si="56"/>
        <v/>
      </c>
    </row>
    <row r="260" spans="1:61" x14ac:dyDescent="0.25">
      <c r="A260">
        <v>701269</v>
      </c>
      <c r="B260" t="s">
        <v>15</v>
      </c>
      <c r="C260" t="s">
        <v>16</v>
      </c>
      <c r="D260">
        <v>55111</v>
      </c>
      <c r="E260">
        <v>196</v>
      </c>
      <c r="F260">
        <v>30</v>
      </c>
      <c r="G260">
        <v>20133</v>
      </c>
      <c r="H260" t="s">
        <v>0</v>
      </c>
      <c r="I260">
        <v>253556</v>
      </c>
      <c r="J260">
        <v>8440</v>
      </c>
      <c r="K260">
        <v>227508.08</v>
      </c>
      <c r="L260">
        <v>225599.96</v>
      </c>
      <c r="M260">
        <v>1908.12</v>
      </c>
      <c r="N260" s="3" t="str">
        <f t="shared" si="57"/>
        <v/>
      </c>
      <c r="O260" s="4" t="str">
        <f t="shared" si="57"/>
        <v/>
      </c>
      <c r="P260" s="4" t="str">
        <f t="shared" si="57"/>
        <v/>
      </c>
      <c r="Q260" s="4" t="str">
        <f t="shared" si="57"/>
        <v/>
      </c>
      <c r="R260" s="4" t="str">
        <f t="shared" si="57"/>
        <v/>
      </c>
      <c r="S260" s="4" t="str">
        <f t="shared" si="57"/>
        <v/>
      </c>
      <c r="T260" s="4" t="str">
        <f t="shared" si="57"/>
        <v/>
      </c>
      <c r="U260" s="4" t="str">
        <f t="shared" si="57"/>
        <v/>
      </c>
      <c r="V260" s="4" t="str">
        <f t="shared" si="48"/>
        <v/>
      </c>
      <c r="W260" s="4" t="str">
        <f t="shared" si="54"/>
        <v/>
      </c>
      <c r="X260" s="4" t="str">
        <f t="shared" si="54"/>
        <v/>
      </c>
      <c r="Y260" s="4" t="str">
        <f t="shared" si="54"/>
        <v/>
      </c>
      <c r="Z260" s="4" t="str">
        <f t="shared" si="54"/>
        <v/>
      </c>
      <c r="AA260" s="4" t="str">
        <f t="shared" si="54"/>
        <v/>
      </c>
      <c r="AB260" s="4" t="str">
        <f t="shared" si="54"/>
        <v/>
      </c>
      <c r="AC260" s="5" t="str">
        <f t="shared" si="54"/>
        <v/>
      </c>
      <c r="AD260" s="3" t="str">
        <f t="shared" si="58"/>
        <v/>
      </c>
      <c r="AE260" s="4" t="str">
        <f t="shared" si="58"/>
        <v/>
      </c>
      <c r="AF260" s="4" t="str">
        <f t="shared" si="58"/>
        <v/>
      </c>
      <c r="AG260" s="4" t="str">
        <f t="shared" si="58"/>
        <v/>
      </c>
      <c r="AH260" s="4" t="str">
        <f t="shared" si="58"/>
        <v/>
      </c>
      <c r="AI260" s="4" t="str">
        <f t="shared" si="58"/>
        <v/>
      </c>
      <c r="AJ260" s="4" t="str">
        <f t="shared" si="58"/>
        <v/>
      </c>
      <c r="AK260" s="4" t="str">
        <f t="shared" si="58"/>
        <v/>
      </c>
      <c r="AL260" s="4" t="str">
        <f t="shared" si="49"/>
        <v/>
      </c>
      <c r="AM260" s="4" t="str">
        <f t="shared" si="55"/>
        <v/>
      </c>
      <c r="AN260" s="4" t="str">
        <f t="shared" si="55"/>
        <v/>
      </c>
      <c r="AO260" s="4" t="str">
        <f t="shared" si="55"/>
        <v/>
      </c>
      <c r="AP260" s="4" t="str">
        <f t="shared" si="55"/>
        <v/>
      </c>
      <c r="AQ260" s="4" t="str">
        <f t="shared" si="55"/>
        <v/>
      </c>
      <c r="AR260" s="4" t="str">
        <f t="shared" si="55"/>
        <v/>
      </c>
      <c r="AS260" s="5" t="str">
        <f t="shared" si="55"/>
        <v/>
      </c>
      <c r="AT260" s="3" t="str">
        <f t="shared" si="59"/>
        <v/>
      </c>
      <c r="AU260" s="4" t="str">
        <f t="shared" si="59"/>
        <v/>
      </c>
      <c r="AV260" s="4" t="str">
        <f t="shared" si="59"/>
        <v/>
      </c>
      <c r="AW260" s="4" t="str">
        <f t="shared" si="59"/>
        <v/>
      </c>
      <c r="AX260" s="4" t="str">
        <f t="shared" si="59"/>
        <v/>
      </c>
      <c r="AY260" s="4" t="str">
        <f t="shared" si="59"/>
        <v/>
      </c>
      <c r="AZ260" s="4">
        <f t="shared" si="59"/>
        <v>1</v>
      </c>
      <c r="BA260" s="4" t="str">
        <f t="shared" si="59"/>
        <v/>
      </c>
      <c r="BB260" s="4" t="str">
        <f t="shared" si="50"/>
        <v/>
      </c>
      <c r="BC260" s="4" t="str">
        <f t="shared" si="56"/>
        <v/>
      </c>
      <c r="BD260" s="4" t="str">
        <f t="shared" si="56"/>
        <v/>
      </c>
      <c r="BE260" s="4" t="str">
        <f t="shared" si="56"/>
        <v/>
      </c>
      <c r="BF260" s="4" t="str">
        <f t="shared" si="56"/>
        <v/>
      </c>
      <c r="BG260" s="4" t="str">
        <f t="shared" si="56"/>
        <v/>
      </c>
      <c r="BH260" s="4" t="str">
        <f t="shared" si="56"/>
        <v/>
      </c>
      <c r="BI260" s="5" t="str">
        <f t="shared" si="56"/>
        <v/>
      </c>
    </row>
    <row r="261" spans="1:61" x14ac:dyDescent="0.25">
      <c r="A261">
        <v>701270</v>
      </c>
      <c r="B261" t="s">
        <v>15</v>
      </c>
      <c r="C261" t="s">
        <v>16</v>
      </c>
      <c r="D261">
        <v>55111</v>
      </c>
      <c r="E261">
        <v>196</v>
      </c>
      <c r="F261">
        <v>30</v>
      </c>
      <c r="G261">
        <v>20134</v>
      </c>
      <c r="H261" t="s">
        <v>0</v>
      </c>
      <c r="I261">
        <v>138994</v>
      </c>
      <c r="J261">
        <v>4613</v>
      </c>
      <c r="K261">
        <v>141210.12</v>
      </c>
      <c r="L261">
        <v>138731.9</v>
      </c>
      <c r="M261">
        <v>2478.2199999999998</v>
      </c>
      <c r="N261" s="3" t="str">
        <f t="shared" si="57"/>
        <v/>
      </c>
      <c r="O261" s="4" t="str">
        <f t="shared" si="57"/>
        <v/>
      </c>
      <c r="P261" s="4" t="str">
        <f t="shared" si="57"/>
        <v/>
      </c>
      <c r="Q261" s="4" t="str">
        <f t="shared" si="57"/>
        <v/>
      </c>
      <c r="R261" s="4" t="str">
        <f t="shared" si="57"/>
        <v/>
      </c>
      <c r="S261" s="4" t="str">
        <f t="shared" si="57"/>
        <v/>
      </c>
      <c r="T261" s="4" t="str">
        <f t="shared" si="57"/>
        <v/>
      </c>
      <c r="U261" s="4" t="str">
        <f t="shared" si="57"/>
        <v/>
      </c>
      <c r="V261" s="4" t="str">
        <f t="shared" si="48"/>
        <v/>
      </c>
      <c r="W261" s="4" t="str">
        <f t="shared" si="54"/>
        <v/>
      </c>
      <c r="X261" s="4" t="str">
        <f t="shared" si="54"/>
        <v/>
      </c>
      <c r="Y261" s="4" t="str">
        <f t="shared" si="54"/>
        <v/>
      </c>
      <c r="Z261" s="4" t="str">
        <f t="shared" si="54"/>
        <v/>
      </c>
      <c r="AA261" s="4" t="str">
        <f t="shared" si="54"/>
        <v/>
      </c>
      <c r="AB261" s="4" t="str">
        <f t="shared" si="54"/>
        <v/>
      </c>
      <c r="AC261" s="5" t="str">
        <f t="shared" si="54"/>
        <v/>
      </c>
      <c r="AD261" s="3" t="str">
        <f t="shared" si="58"/>
        <v/>
      </c>
      <c r="AE261" s="4" t="str">
        <f t="shared" si="58"/>
        <v/>
      </c>
      <c r="AF261" s="4" t="str">
        <f t="shared" si="58"/>
        <v/>
      </c>
      <c r="AG261" s="4" t="str">
        <f t="shared" si="58"/>
        <v/>
      </c>
      <c r="AH261" s="4" t="str">
        <f t="shared" si="58"/>
        <v/>
      </c>
      <c r="AI261" s="4" t="str">
        <f t="shared" si="58"/>
        <v/>
      </c>
      <c r="AJ261" s="4" t="str">
        <f t="shared" si="58"/>
        <v/>
      </c>
      <c r="AK261" s="4" t="str">
        <f t="shared" si="58"/>
        <v/>
      </c>
      <c r="AL261" s="4" t="str">
        <f t="shared" si="49"/>
        <v/>
      </c>
      <c r="AM261" s="4" t="str">
        <f t="shared" si="55"/>
        <v/>
      </c>
      <c r="AN261" s="4" t="str">
        <f t="shared" si="55"/>
        <v/>
      </c>
      <c r="AO261" s="4" t="str">
        <f t="shared" si="55"/>
        <v/>
      </c>
      <c r="AP261" s="4" t="str">
        <f t="shared" si="55"/>
        <v/>
      </c>
      <c r="AQ261" s="4" t="str">
        <f t="shared" si="55"/>
        <v/>
      </c>
      <c r="AR261" s="4" t="str">
        <f t="shared" si="55"/>
        <v/>
      </c>
      <c r="AS261" s="5" t="str">
        <f t="shared" si="55"/>
        <v/>
      </c>
      <c r="AT261" s="3" t="str">
        <f t="shared" si="59"/>
        <v/>
      </c>
      <c r="AU261" s="4" t="str">
        <f t="shared" si="59"/>
        <v/>
      </c>
      <c r="AV261" s="4" t="str">
        <f t="shared" si="59"/>
        <v/>
      </c>
      <c r="AW261" s="4" t="str">
        <f t="shared" si="59"/>
        <v/>
      </c>
      <c r="AX261" s="4" t="str">
        <f t="shared" si="59"/>
        <v/>
      </c>
      <c r="AY261" s="4" t="str">
        <f t="shared" si="59"/>
        <v/>
      </c>
      <c r="AZ261" s="4" t="str">
        <f t="shared" si="59"/>
        <v/>
      </c>
      <c r="BA261" s="4">
        <f t="shared" si="59"/>
        <v>1</v>
      </c>
      <c r="BB261" s="4" t="str">
        <f t="shared" si="50"/>
        <v/>
      </c>
      <c r="BC261" s="4" t="str">
        <f t="shared" si="56"/>
        <v/>
      </c>
      <c r="BD261" s="4" t="str">
        <f t="shared" si="56"/>
        <v/>
      </c>
      <c r="BE261" s="4" t="str">
        <f t="shared" si="56"/>
        <v/>
      </c>
      <c r="BF261" s="4" t="str">
        <f t="shared" si="56"/>
        <v/>
      </c>
      <c r="BG261" s="4" t="str">
        <f t="shared" si="56"/>
        <v/>
      </c>
      <c r="BH261" s="4" t="str">
        <f t="shared" si="56"/>
        <v/>
      </c>
      <c r="BI261" s="5" t="str">
        <f t="shared" si="56"/>
        <v/>
      </c>
    </row>
    <row r="262" spans="1:61" x14ac:dyDescent="0.25">
      <c r="A262">
        <v>701271</v>
      </c>
      <c r="B262" t="s">
        <v>15</v>
      </c>
      <c r="C262" t="s">
        <v>16</v>
      </c>
      <c r="D262">
        <v>55111</v>
      </c>
      <c r="E262">
        <v>196</v>
      </c>
      <c r="F262">
        <v>90</v>
      </c>
      <c r="G262">
        <v>20131</v>
      </c>
      <c r="H262" t="s">
        <v>0</v>
      </c>
      <c r="I262">
        <v>160046.902</v>
      </c>
      <c r="J262">
        <v>5400</v>
      </c>
      <c r="K262">
        <v>229948.47</v>
      </c>
      <c r="L262">
        <v>213917.59</v>
      </c>
      <c r="M262">
        <v>16030.88</v>
      </c>
      <c r="N262" s="3" t="str">
        <f t="shared" si="57"/>
        <v/>
      </c>
      <c r="O262" s="4" t="str">
        <f t="shared" si="57"/>
        <v/>
      </c>
      <c r="P262" s="4" t="str">
        <f t="shared" si="57"/>
        <v/>
      </c>
      <c r="Q262" s="4" t="str">
        <f t="shared" si="57"/>
        <v/>
      </c>
      <c r="R262" s="4" t="str">
        <f t="shared" si="57"/>
        <v/>
      </c>
      <c r="S262" s="4" t="str">
        <f t="shared" si="57"/>
        <v/>
      </c>
      <c r="T262" s="4" t="str">
        <f t="shared" si="57"/>
        <v/>
      </c>
      <c r="U262" s="4" t="str">
        <f t="shared" si="57"/>
        <v/>
      </c>
      <c r="V262" s="4" t="str">
        <f t="shared" si="48"/>
        <v/>
      </c>
      <c r="W262" s="4" t="str">
        <f t="shared" si="54"/>
        <v/>
      </c>
      <c r="X262" s="4" t="str">
        <f t="shared" si="54"/>
        <v/>
      </c>
      <c r="Y262" s="4" t="str">
        <f t="shared" si="54"/>
        <v/>
      </c>
      <c r="Z262" s="4" t="str">
        <f t="shared" si="54"/>
        <v/>
      </c>
      <c r="AA262" s="4" t="str">
        <f t="shared" si="54"/>
        <v/>
      </c>
      <c r="AB262" s="4" t="str">
        <f t="shared" si="54"/>
        <v/>
      </c>
      <c r="AC262" s="5" t="str">
        <f t="shared" si="54"/>
        <v/>
      </c>
      <c r="AD262" s="3" t="str">
        <f t="shared" si="58"/>
        <v/>
      </c>
      <c r="AE262" s="4" t="str">
        <f t="shared" si="58"/>
        <v/>
      </c>
      <c r="AF262" s="4" t="str">
        <f t="shared" si="58"/>
        <v/>
      </c>
      <c r="AG262" s="4" t="str">
        <f t="shared" si="58"/>
        <v/>
      </c>
      <c r="AH262" s="4" t="str">
        <f t="shared" si="58"/>
        <v/>
      </c>
      <c r="AI262" s="4" t="str">
        <f t="shared" si="58"/>
        <v/>
      </c>
      <c r="AJ262" s="4" t="str">
        <f t="shared" si="58"/>
        <v/>
      </c>
      <c r="AK262" s="4" t="str">
        <f t="shared" si="58"/>
        <v/>
      </c>
      <c r="AL262" s="4" t="str">
        <f t="shared" si="49"/>
        <v/>
      </c>
      <c r="AM262" s="4" t="str">
        <f t="shared" si="55"/>
        <v/>
      </c>
      <c r="AN262" s="4" t="str">
        <f t="shared" si="55"/>
        <v/>
      </c>
      <c r="AO262" s="4" t="str">
        <f t="shared" si="55"/>
        <v/>
      </c>
      <c r="AP262" s="4" t="str">
        <f t="shared" si="55"/>
        <v/>
      </c>
      <c r="AQ262" s="4" t="str">
        <f t="shared" si="55"/>
        <v/>
      </c>
      <c r="AR262" s="4" t="str">
        <f t="shared" si="55"/>
        <v/>
      </c>
      <c r="AS262" s="5" t="str">
        <f t="shared" si="55"/>
        <v/>
      </c>
      <c r="AT262" s="3" t="str">
        <f t="shared" si="59"/>
        <v/>
      </c>
      <c r="AU262" s="4" t="str">
        <f t="shared" si="59"/>
        <v/>
      </c>
      <c r="AV262" s="4" t="str">
        <f t="shared" si="59"/>
        <v/>
      </c>
      <c r="AW262" s="4" t="str">
        <f t="shared" si="59"/>
        <v/>
      </c>
      <c r="AX262" s="4">
        <f t="shared" si="59"/>
        <v>1</v>
      </c>
      <c r="AY262" s="4" t="str">
        <f t="shared" si="59"/>
        <v/>
      </c>
      <c r="AZ262" s="4" t="str">
        <f t="shared" si="59"/>
        <v/>
      </c>
      <c r="BA262" s="4" t="str">
        <f t="shared" si="59"/>
        <v/>
      </c>
      <c r="BB262" s="4" t="str">
        <f t="shared" si="50"/>
        <v/>
      </c>
      <c r="BC262" s="4" t="str">
        <f t="shared" si="56"/>
        <v/>
      </c>
      <c r="BD262" s="4" t="str">
        <f t="shared" si="56"/>
        <v/>
      </c>
      <c r="BE262" s="4" t="str">
        <f t="shared" si="56"/>
        <v/>
      </c>
      <c r="BF262" s="4" t="str">
        <f t="shared" si="56"/>
        <v/>
      </c>
      <c r="BG262" s="4" t="str">
        <f t="shared" si="56"/>
        <v/>
      </c>
      <c r="BH262" s="4" t="str">
        <f t="shared" si="56"/>
        <v/>
      </c>
      <c r="BI262" s="5" t="str">
        <f t="shared" si="56"/>
        <v/>
      </c>
    </row>
    <row r="263" spans="1:61" x14ac:dyDescent="0.25">
      <c r="A263">
        <v>701272</v>
      </c>
      <c r="B263" t="s">
        <v>15</v>
      </c>
      <c r="C263" t="s">
        <v>16</v>
      </c>
      <c r="D263">
        <v>55111</v>
      </c>
      <c r="E263">
        <v>196</v>
      </c>
      <c r="F263">
        <v>90</v>
      </c>
      <c r="G263">
        <v>20132</v>
      </c>
      <c r="H263" t="s">
        <v>0</v>
      </c>
      <c r="I263">
        <v>144687</v>
      </c>
      <c r="J263">
        <v>4765</v>
      </c>
      <c r="K263">
        <v>170226.57</v>
      </c>
      <c r="L263">
        <v>165959.26</v>
      </c>
      <c r="M263">
        <v>4267.3100000000004</v>
      </c>
      <c r="N263" s="3" t="str">
        <f t="shared" si="57"/>
        <v/>
      </c>
      <c r="O263" s="4" t="str">
        <f t="shared" si="57"/>
        <v/>
      </c>
      <c r="P263" s="4" t="str">
        <f t="shared" si="57"/>
        <v/>
      </c>
      <c r="Q263" s="4" t="str">
        <f t="shared" si="57"/>
        <v/>
      </c>
      <c r="R263" s="4" t="str">
        <f t="shared" si="57"/>
        <v/>
      </c>
      <c r="S263" s="4" t="str">
        <f t="shared" si="57"/>
        <v/>
      </c>
      <c r="T263" s="4" t="str">
        <f t="shared" si="57"/>
        <v/>
      </c>
      <c r="U263" s="4" t="str">
        <f t="shared" si="57"/>
        <v/>
      </c>
      <c r="V263" s="4" t="str">
        <f t="shared" si="48"/>
        <v/>
      </c>
      <c r="W263" s="4" t="str">
        <f t="shared" si="54"/>
        <v/>
      </c>
      <c r="X263" s="4" t="str">
        <f t="shared" si="54"/>
        <v/>
      </c>
      <c r="Y263" s="4" t="str">
        <f t="shared" si="54"/>
        <v/>
      </c>
      <c r="Z263" s="4" t="str">
        <f t="shared" si="54"/>
        <v/>
      </c>
      <c r="AA263" s="4" t="str">
        <f t="shared" si="54"/>
        <v/>
      </c>
      <c r="AB263" s="4" t="str">
        <f t="shared" si="54"/>
        <v/>
      </c>
      <c r="AC263" s="5" t="str">
        <f t="shared" si="54"/>
        <v/>
      </c>
      <c r="AD263" s="3" t="str">
        <f t="shared" si="58"/>
        <v/>
      </c>
      <c r="AE263" s="4" t="str">
        <f t="shared" si="58"/>
        <v/>
      </c>
      <c r="AF263" s="4" t="str">
        <f t="shared" si="58"/>
        <v/>
      </c>
      <c r="AG263" s="4" t="str">
        <f t="shared" si="58"/>
        <v/>
      </c>
      <c r="AH263" s="4" t="str">
        <f t="shared" si="58"/>
        <v/>
      </c>
      <c r="AI263" s="4" t="str">
        <f t="shared" si="58"/>
        <v/>
      </c>
      <c r="AJ263" s="4" t="str">
        <f t="shared" si="58"/>
        <v/>
      </c>
      <c r="AK263" s="4" t="str">
        <f t="shared" si="58"/>
        <v/>
      </c>
      <c r="AL263" s="4" t="str">
        <f t="shared" si="49"/>
        <v/>
      </c>
      <c r="AM263" s="4" t="str">
        <f t="shared" si="55"/>
        <v/>
      </c>
      <c r="AN263" s="4" t="str">
        <f t="shared" si="55"/>
        <v/>
      </c>
      <c r="AO263" s="4" t="str">
        <f t="shared" si="55"/>
        <v/>
      </c>
      <c r="AP263" s="4" t="str">
        <f t="shared" si="55"/>
        <v/>
      </c>
      <c r="AQ263" s="4" t="str">
        <f t="shared" si="55"/>
        <v/>
      </c>
      <c r="AR263" s="4" t="str">
        <f t="shared" si="55"/>
        <v/>
      </c>
      <c r="AS263" s="5" t="str">
        <f t="shared" si="55"/>
        <v/>
      </c>
      <c r="AT263" s="3" t="str">
        <f t="shared" si="59"/>
        <v/>
      </c>
      <c r="AU263" s="4" t="str">
        <f t="shared" si="59"/>
        <v/>
      </c>
      <c r="AV263" s="4" t="str">
        <f t="shared" si="59"/>
        <v/>
      </c>
      <c r="AW263" s="4" t="str">
        <f t="shared" si="59"/>
        <v/>
      </c>
      <c r="AX263" s="4" t="str">
        <f t="shared" si="59"/>
        <v/>
      </c>
      <c r="AY263" s="4">
        <f t="shared" si="59"/>
        <v>1</v>
      </c>
      <c r="AZ263" s="4" t="str">
        <f t="shared" si="59"/>
        <v/>
      </c>
      <c r="BA263" s="4" t="str">
        <f t="shared" si="59"/>
        <v/>
      </c>
      <c r="BB263" s="4" t="str">
        <f t="shared" si="50"/>
        <v/>
      </c>
      <c r="BC263" s="4" t="str">
        <f t="shared" si="56"/>
        <v/>
      </c>
      <c r="BD263" s="4" t="str">
        <f t="shared" si="56"/>
        <v/>
      </c>
      <c r="BE263" s="4" t="str">
        <f t="shared" si="56"/>
        <v/>
      </c>
      <c r="BF263" s="4" t="str">
        <f t="shared" si="56"/>
        <v/>
      </c>
      <c r="BG263" s="4" t="str">
        <f t="shared" si="56"/>
        <v/>
      </c>
      <c r="BH263" s="4" t="str">
        <f t="shared" si="56"/>
        <v/>
      </c>
      <c r="BI263" s="5" t="str">
        <f t="shared" si="56"/>
        <v/>
      </c>
    </row>
    <row r="264" spans="1:61" x14ac:dyDescent="0.25">
      <c r="A264">
        <v>701273</v>
      </c>
      <c r="B264" t="s">
        <v>15</v>
      </c>
      <c r="C264" t="s">
        <v>16</v>
      </c>
      <c r="D264">
        <v>55111</v>
      </c>
      <c r="E264">
        <v>196</v>
      </c>
      <c r="F264">
        <v>90</v>
      </c>
      <c r="G264">
        <v>20133</v>
      </c>
      <c r="H264" t="s">
        <v>0</v>
      </c>
      <c r="I264">
        <v>128100</v>
      </c>
      <c r="J264">
        <v>4302</v>
      </c>
      <c r="K264">
        <v>124023.57</v>
      </c>
      <c r="L264">
        <v>122722.5</v>
      </c>
      <c r="M264">
        <v>1301.07</v>
      </c>
      <c r="N264" s="3" t="str">
        <f t="shared" si="57"/>
        <v/>
      </c>
      <c r="O264" s="4" t="str">
        <f t="shared" si="57"/>
        <v/>
      </c>
      <c r="P264" s="4" t="str">
        <f t="shared" si="57"/>
        <v/>
      </c>
      <c r="Q264" s="4" t="str">
        <f t="shared" si="57"/>
        <v/>
      </c>
      <c r="R264" s="4" t="str">
        <f t="shared" si="57"/>
        <v/>
      </c>
      <c r="S264" s="4" t="str">
        <f t="shared" si="57"/>
        <v/>
      </c>
      <c r="T264" s="4" t="str">
        <f t="shared" si="57"/>
        <v/>
      </c>
      <c r="U264" s="4" t="str">
        <f t="shared" si="57"/>
        <v/>
      </c>
      <c r="V264" s="4" t="str">
        <f t="shared" si="48"/>
        <v/>
      </c>
      <c r="W264" s="4" t="str">
        <f t="shared" si="48"/>
        <v/>
      </c>
      <c r="X264" s="4" t="str">
        <f t="shared" si="48"/>
        <v/>
      </c>
      <c r="Y264" s="4" t="str">
        <f t="shared" si="48"/>
        <v/>
      </c>
      <c r="Z264" s="4" t="str">
        <f t="shared" si="48"/>
        <v/>
      </c>
      <c r="AA264" s="4" t="str">
        <f t="shared" si="48"/>
        <v/>
      </c>
      <c r="AB264" s="4" t="str">
        <f t="shared" si="48"/>
        <v/>
      </c>
      <c r="AC264" s="5" t="str">
        <f t="shared" si="48"/>
        <v/>
      </c>
      <c r="AD264" s="3" t="str">
        <f t="shared" si="58"/>
        <v/>
      </c>
      <c r="AE264" s="4" t="str">
        <f t="shared" si="58"/>
        <v/>
      </c>
      <c r="AF264" s="4" t="str">
        <f t="shared" si="58"/>
        <v/>
      </c>
      <c r="AG264" s="4" t="str">
        <f t="shared" si="58"/>
        <v/>
      </c>
      <c r="AH264" s="4" t="str">
        <f t="shared" si="58"/>
        <v/>
      </c>
      <c r="AI264" s="4" t="str">
        <f t="shared" si="58"/>
        <v/>
      </c>
      <c r="AJ264" s="4" t="str">
        <f t="shared" si="58"/>
        <v/>
      </c>
      <c r="AK264" s="4" t="str">
        <f t="shared" si="58"/>
        <v/>
      </c>
      <c r="AL264" s="4" t="str">
        <f t="shared" si="49"/>
        <v/>
      </c>
      <c r="AM264" s="4" t="str">
        <f t="shared" si="49"/>
        <v/>
      </c>
      <c r="AN264" s="4" t="str">
        <f t="shared" si="49"/>
        <v/>
      </c>
      <c r="AO264" s="4" t="str">
        <f t="shared" si="49"/>
        <v/>
      </c>
      <c r="AP264" s="4" t="str">
        <f t="shared" si="49"/>
        <v/>
      </c>
      <c r="AQ264" s="4" t="str">
        <f t="shared" si="49"/>
        <v/>
      </c>
      <c r="AR264" s="4" t="str">
        <f t="shared" si="49"/>
        <v/>
      </c>
      <c r="AS264" s="5" t="str">
        <f t="shared" si="49"/>
        <v/>
      </c>
      <c r="AT264" s="3" t="str">
        <f t="shared" si="59"/>
        <v/>
      </c>
      <c r="AU264" s="4" t="str">
        <f t="shared" si="59"/>
        <v/>
      </c>
      <c r="AV264" s="4" t="str">
        <f t="shared" si="59"/>
        <v/>
      </c>
      <c r="AW264" s="4" t="str">
        <f t="shared" si="59"/>
        <v/>
      </c>
      <c r="AX264" s="4" t="str">
        <f t="shared" si="59"/>
        <v/>
      </c>
      <c r="AY264" s="4" t="str">
        <f t="shared" si="59"/>
        <v/>
      </c>
      <c r="AZ264" s="4">
        <f t="shared" si="59"/>
        <v>1</v>
      </c>
      <c r="BA264" s="4" t="str">
        <f t="shared" si="59"/>
        <v/>
      </c>
      <c r="BB264" s="4" t="str">
        <f t="shared" si="50"/>
        <v/>
      </c>
      <c r="BC264" s="4" t="str">
        <f t="shared" si="50"/>
        <v/>
      </c>
      <c r="BD264" s="4" t="str">
        <f t="shared" si="50"/>
        <v/>
      </c>
      <c r="BE264" s="4" t="str">
        <f t="shared" si="50"/>
        <v/>
      </c>
      <c r="BF264" s="4" t="str">
        <f t="shared" si="50"/>
        <v/>
      </c>
      <c r="BG264" s="4" t="str">
        <f t="shared" si="50"/>
        <v/>
      </c>
      <c r="BH264" s="4" t="str">
        <f t="shared" si="50"/>
        <v/>
      </c>
      <c r="BI264" s="5" t="str">
        <f t="shared" si="50"/>
        <v/>
      </c>
    </row>
    <row r="265" spans="1:61" x14ac:dyDescent="0.25">
      <c r="A265">
        <v>701274</v>
      </c>
      <c r="B265" t="s">
        <v>15</v>
      </c>
      <c r="C265" t="s">
        <v>16</v>
      </c>
      <c r="D265">
        <v>55111</v>
      </c>
      <c r="E265">
        <v>196</v>
      </c>
      <c r="F265">
        <v>90</v>
      </c>
      <c r="G265">
        <v>20134</v>
      </c>
      <c r="H265" t="s">
        <v>0</v>
      </c>
      <c r="I265">
        <v>117958.001</v>
      </c>
      <c r="J265">
        <v>3993</v>
      </c>
      <c r="K265">
        <v>112350.03</v>
      </c>
      <c r="L265">
        <v>110932.55</v>
      </c>
      <c r="M265">
        <v>1417.48</v>
      </c>
      <c r="N265" s="3" t="str">
        <f t="shared" si="57"/>
        <v/>
      </c>
      <c r="O265" s="4" t="str">
        <f t="shared" si="57"/>
        <v/>
      </c>
      <c r="P265" s="4" t="str">
        <f t="shared" si="57"/>
        <v/>
      </c>
      <c r="Q265" s="4" t="str">
        <f t="shared" si="57"/>
        <v/>
      </c>
      <c r="R265" s="4" t="str">
        <f t="shared" si="57"/>
        <v/>
      </c>
      <c r="S265" s="4" t="str">
        <f t="shared" si="57"/>
        <v/>
      </c>
      <c r="T265" s="4" t="str">
        <f t="shared" si="57"/>
        <v/>
      </c>
      <c r="U265" s="4" t="str">
        <f t="shared" si="57"/>
        <v/>
      </c>
      <c r="V265" s="4" t="str">
        <f t="shared" si="48"/>
        <v/>
      </c>
      <c r="W265" s="4" t="str">
        <f t="shared" si="48"/>
        <v/>
      </c>
      <c r="X265" s="4" t="str">
        <f t="shared" si="48"/>
        <v/>
      </c>
      <c r="Y265" s="4" t="str">
        <f t="shared" si="48"/>
        <v/>
      </c>
      <c r="Z265" s="4" t="str">
        <f t="shared" si="48"/>
        <v/>
      </c>
      <c r="AA265" s="4" t="str">
        <f t="shared" si="48"/>
        <v/>
      </c>
      <c r="AB265" s="4" t="str">
        <f t="shared" si="48"/>
        <v/>
      </c>
      <c r="AC265" s="5" t="str">
        <f t="shared" si="48"/>
        <v/>
      </c>
      <c r="AD265" s="3" t="str">
        <f t="shared" si="58"/>
        <v/>
      </c>
      <c r="AE265" s="4" t="str">
        <f t="shared" si="58"/>
        <v/>
      </c>
      <c r="AF265" s="4" t="str">
        <f t="shared" si="58"/>
        <v/>
      </c>
      <c r="AG265" s="4" t="str">
        <f t="shared" si="58"/>
        <v/>
      </c>
      <c r="AH265" s="4" t="str">
        <f t="shared" si="58"/>
        <v/>
      </c>
      <c r="AI265" s="4" t="str">
        <f t="shared" si="58"/>
        <v/>
      </c>
      <c r="AJ265" s="4" t="str">
        <f t="shared" si="58"/>
        <v/>
      </c>
      <c r="AK265" s="4" t="str">
        <f t="shared" si="58"/>
        <v/>
      </c>
      <c r="AL265" s="4" t="str">
        <f t="shared" si="49"/>
        <v/>
      </c>
      <c r="AM265" s="4" t="str">
        <f t="shared" si="49"/>
        <v/>
      </c>
      <c r="AN265" s="4" t="str">
        <f t="shared" si="49"/>
        <v/>
      </c>
      <c r="AO265" s="4" t="str">
        <f t="shared" si="49"/>
        <v/>
      </c>
      <c r="AP265" s="4" t="str">
        <f t="shared" si="49"/>
        <v/>
      </c>
      <c r="AQ265" s="4" t="str">
        <f t="shared" si="49"/>
        <v/>
      </c>
      <c r="AR265" s="4" t="str">
        <f t="shared" si="49"/>
        <v/>
      </c>
      <c r="AS265" s="5" t="str">
        <f t="shared" si="49"/>
        <v/>
      </c>
      <c r="AT265" s="3" t="str">
        <f t="shared" si="59"/>
        <v/>
      </c>
      <c r="AU265" s="4" t="str">
        <f t="shared" si="59"/>
        <v/>
      </c>
      <c r="AV265" s="4" t="str">
        <f t="shared" si="59"/>
        <v/>
      </c>
      <c r="AW265" s="4" t="str">
        <f t="shared" si="59"/>
        <v/>
      </c>
      <c r="AX265" s="4" t="str">
        <f t="shared" si="59"/>
        <v/>
      </c>
      <c r="AY265" s="4" t="str">
        <f t="shared" si="59"/>
        <v/>
      </c>
      <c r="AZ265" s="4" t="str">
        <f t="shared" si="59"/>
        <v/>
      </c>
      <c r="BA265" s="4">
        <f t="shared" si="59"/>
        <v>1</v>
      </c>
      <c r="BB265" s="4" t="str">
        <f t="shared" si="50"/>
        <v/>
      </c>
      <c r="BC265" s="4" t="str">
        <f t="shared" si="50"/>
        <v/>
      </c>
      <c r="BD265" s="4" t="str">
        <f t="shared" si="50"/>
        <v/>
      </c>
      <c r="BE265" s="4" t="str">
        <f t="shared" si="50"/>
        <v/>
      </c>
      <c r="BF265" s="4" t="str">
        <f t="shared" si="50"/>
        <v/>
      </c>
      <c r="BG265" s="4" t="str">
        <f t="shared" si="50"/>
        <v/>
      </c>
      <c r="BH265" s="4" t="str">
        <f t="shared" si="50"/>
        <v/>
      </c>
      <c r="BI265" s="5" t="str">
        <f t="shared" si="50"/>
        <v/>
      </c>
    </row>
    <row r="266" spans="1:61" x14ac:dyDescent="0.25">
      <c r="A266">
        <v>328860</v>
      </c>
      <c r="B266" t="s">
        <v>14</v>
      </c>
      <c r="C266" t="s">
        <v>16</v>
      </c>
      <c r="D266">
        <v>55111</v>
      </c>
      <c r="E266">
        <v>671</v>
      </c>
      <c r="F266">
        <v>31</v>
      </c>
      <c r="G266">
        <v>20122</v>
      </c>
      <c r="H266" t="s">
        <v>0</v>
      </c>
      <c r="I266">
        <v>5</v>
      </c>
      <c r="J266">
        <v>3</v>
      </c>
      <c r="K266">
        <v>104.57</v>
      </c>
      <c r="L266">
        <v>104.57</v>
      </c>
      <c r="M266">
        <v>0</v>
      </c>
      <c r="N266" s="3" t="str">
        <f t="shared" si="57"/>
        <v/>
      </c>
      <c r="O266" s="4" t="str">
        <f t="shared" si="57"/>
        <v/>
      </c>
      <c r="P266" s="4" t="str">
        <f t="shared" si="57"/>
        <v/>
      </c>
      <c r="Q266" s="4" t="str">
        <f t="shared" si="57"/>
        <v/>
      </c>
      <c r="R266" s="4" t="str">
        <f t="shared" si="57"/>
        <v/>
      </c>
      <c r="S266" s="4" t="str">
        <f t="shared" si="57"/>
        <v/>
      </c>
      <c r="T266" s="4" t="str">
        <f t="shared" si="57"/>
        <v/>
      </c>
      <c r="U266" s="4" t="str">
        <f t="shared" si="57"/>
        <v/>
      </c>
      <c r="V266" s="4" t="str">
        <f t="shared" si="48"/>
        <v/>
      </c>
      <c r="W266" s="4" t="str">
        <f t="shared" si="48"/>
        <v/>
      </c>
      <c r="X266" s="4" t="str">
        <f t="shared" si="48"/>
        <v/>
      </c>
      <c r="Y266" s="4" t="str">
        <f t="shared" si="48"/>
        <v/>
      </c>
      <c r="Z266" s="4" t="str">
        <f t="shared" si="48"/>
        <v/>
      </c>
      <c r="AA266" s="4" t="str">
        <f t="shared" si="48"/>
        <v/>
      </c>
      <c r="AB266" s="4" t="str">
        <f t="shared" si="48"/>
        <v/>
      </c>
      <c r="AC266" s="5" t="str">
        <f t="shared" si="48"/>
        <v/>
      </c>
      <c r="AD266" s="3" t="str">
        <f t="shared" si="58"/>
        <v/>
      </c>
      <c r="AE266" s="4">
        <f t="shared" si="58"/>
        <v>1</v>
      </c>
      <c r="AF266" s="4" t="str">
        <f t="shared" si="58"/>
        <v/>
      </c>
      <c r="AG266" s="4" t="str">
        <f t="shared" si="58"/>
        <v/>
      </c>
      <c r="AH266" s="4" t="str">
        <f t="shared" si="58"/>
        <v/>
      </c>
      <c r="AI266" s="4" t="str">
        <f t="shared" si="58"/>
        <v/>
      </c>
      <c r="AJ266" s="4" t="str">
        <f t="shared" si="58"/>
        <v/>
      </c>
      <c r="AK266" s="4" t="str">
        <f t="shared" si="58"/>
        <v/>
      </c>
      <c r="AL266" s="4" t="str">
        <f t="shared" si="49"/>
        <v/>
      </c>
      <c r="AM266" s="4" t="str">
        <f t="shared" si="49"/>
        <v/>
      </c>
      <c r="AN266" s="4" t="str">
        <f t="shared" si="49"/>
        <v/>
      </c>
      <c r="AO266" s="4" t="str">
        <f t="shared" si="49"/>
        <v/>
      </c>
      <c r="AP266" s="4" t="str">
        <f t="shared" si="49"/>
        <v/>
      </c>
      <c r="AQ266" s="4" t="str">
        <f t="shared" si="49"/>
        <v/>
      </c>
      <c r="AR266" s="4" t="str">
        <f t="shared" si="49"/>
        <v/>
      </c>
      <c r="AS266" s="5" t="str">
        <f t="shared" si="49"/>
        <v/>
      </c>
      <c r="AT266" s="3" t="str">
        <f t="shared" si="59"/>
        <v/>
      </c>
      <c r="AU266" s="4" t="str">
        <f t="shared" si="59"/>
        <v/>
      </c>
      <c r="AV266" s="4" t="str">
        <f t="shared" si="59"/>
        <v/>
      </c>
      <c r="AW266" s="4" t="str">
        <f t="shared" si="59"/>
        <v/>
      </c>
      <c r="AX266" s="4" t="str">
        <f t="shared" si="59"/>
        <v/>
      </c>
      <c r="AY266" s="4" t="str">
        <f t="shared" si="59"/>
        <v/>
      </c>
      <c r="AZ266" s="4" t="str">
        <f t="shared" si="59"/>
        <v/>
      </c>
      <c r="BA266" s="4" t="str">
        <f t="shared" si="59"/>
        <v/>
      </c>
      <c r="BB266" s="4" t="str">
        <f t="shared" si="50"/>
        <v/>
      </c>
      <c r="BC266" s="4" t="str">
        <f t="shared" si="50"/>
        <v/>
      </c>
      <c r="BD266" s="4" t="str">
        <f t="shared" si="50"/>
        <v/>
      </c>
      <c r="BE266" s="4" t="str">
        <f t="shared" si="50"/>
        <v/>
      </c>
      <c r="BF266" s="4" t="str">
        <f t="shared" si="50"/>
        <v/>
      </c>
      <c r="BG266" s="4" t="str">
        <f t="shared" si="50"/>
        <v/>
      </c>
      <c r="BH266" s="4" t="str">
        <f t="shared" si="50"/>
        <v/>
      </c>
      <c r="BI266" s="5" t="str">
        <f t="shared" si="50"/>
        <v/>
      </c>
    </row>
    <row r="267" spans="1:61" x14ac:dyDescent="0.25">
      <c r="A267">
        <v>328861</v>
      </c>
      <c r="B267" t="s">
        <v>14</v>
      </c>
      <c r="C267" t="s">
        <v>16</v>
      </c>
      <c r="D267">
        <v>55111</v>
      </c>
      <c r="E267">
        <v>671</v>
      </c>
      <c r="F267">
        <v>31</v>
      </c>
      <c r="G267">
        <v>20123</v>
      </c>
      <c r="H267" t="s">
        <v>0</v>
      </c>
      <c r="I267">
        <v>55</v>
      </c>
      <c r="J267">
        <v>17</v>
      </c>
      <c r="K267">
        <v>1322.44</v>
      </c>
      <c r="L267">
        <v>1319.44</v>
      </c>
      <c r="M267">
        <v>3</v>
      </c>
      <c r="N267" s="3" t="str">
        <f t="shared" si="57"/>
        <v/>
      </c>
      <c r="O267" s="4" t="str">
        <f t="shared" si="57"/>
        <v/>
      </c>
      <c r="P267" s="4" t="str">
        <f t="shared" si="57"/>
        <v/>
      </c>
      <c r="Q267" s="4" t="str">
        <f t="shared" si="57"/>
        <v/>
      </c>
      <c r="R267" s="4" t="str">
        <f t="shared" si="57"/>
        <v/>
      </c>
      <c r="S267" s="4" t="str">
        <f t="shared" si="57"/>
        <v/>
      </c>
      <c r="T267" s="4" t="str">
        <f t="shared" si="57"/>
        <v/>
      </c>
      <c r="U267" s="4" t="str">
        <f t="shared" si="57"/>
        <v/>
      </c>
      <c r="V267" s="4" t="str">
        <f t="shared" si="48"/>
        <v/>
      </c>
      <c r="W267" s="4" t="str">
        <f t="shared" si="48"/>
        <v/>
      </c>
      <c r="X267" s="4" t="str">
        <f t="shared" si="48"/>
        <v/>
      </c>
      <c r="Y267" s="4" t="str">
        <f t="shared" si="48"/>
        <v/>
      </c>
      <c r="Z267" s="4" t="str">
        <f t="shared" si="48"/>
        <v/>
      </c>
      <c r="AA267" s="4" t="str">
        <f t="shared" si="48"/>
        <v/>
      </c>
      <c r="AB267" s="4" t="str">
        <f t="shared" si="48"/>
        <v/>
      </c>
      <c r="AC267" s="5" t="str">
        <f t="shared" si="48"/>
        <v/>
      </c>
      <c r="AD267" s="3" t="str">
        <f t="shared" si="58"/>
        <v/>
      </c>
      <c r="AE267" s="4" t="str">
        <f t="shared" si="58"/>
        <v/>
      </c>
      <c r="AF267" s="4">
        <f t="shared" si="58"/>
        <v>1</v>
      </c>
      <c r="AG267" s="4" t="str">
        <f t="shared" si="58"/>
        <v/>
      </c>
      <c r="AH267" s="4" t="str">
        <f t="shared" si="58"/>
        <v/>
      </c>
      <c r="AI267" s="4" t="str">
        <f t="shared" si="58"/>
        <v/>
      </c>
      <c r="AJ267" s="4" t="str">
        <f t="shared" si="58"/>
        <v/>
      </c>
      <c r="AK267" s="4" t="str">
        <f t="shared" si="58"/>
        <v/>
      </c>
      <c r="AL267" s="4" t="str">
        <f t="shared" si="49"/>
        <v/>
      </c>
      <c r="AM267" s="4" t="str">
        <f t="shared" si="49"/>
        <v/>
      </c>
      <c r="AN267" s="4" t="str">
        <f t="shared" si="49"/>
        <v/>
      </c>
      <c r="AO267" s="4" t="str">
        <f t="shared" si="49"/>
        <v/>
      </c>
      <c r="AP267" s="4" t="str">
        <f t="shared" si="49"/>
        <v/>
      </c>
      <c r="AQ267" s="4" t="str">
        <f t="shared" si="49"/>
        <v/>
      </c>
      <c r="AR267" s="4" t="str">
        <f t="shared" si="49"/>
        <v/>
      </c>
      <c r="AS267" s="5" t="str">
        <f t="shared" si="49"/>
        <v/>
      </c>
      <c r="AT267" s="3" t="str">
        <f t="shared" si="59"/>
        <v/>
      </c>
      <c r="AU267" s="4" t="str">
        <f t="shared" si="59"/>
        <v/>
      </c>
      <c r="AV267" s="4" t="str">
        <f t="shared" si="59"/>
        <v/>
      </c>
      <c r="AW267" s="4" t="str">
        <f t="shared" si="59"/>
        <v/>
      </c>
      <c r="AX267" s="4" t="str">
        <f t="shared" si="59"/>
        <v/>
      </c>
      <c r="AY267" s="4" t="str">
        <f t="shared" si="59"/>
        <v/>
      </c>
      <c r="AZ267" s="4" t="str">
        <f t="shared" si="59"/>
        <v/>
      </c>
      <c r="BA267" s="4" t="str">
        <f t="shared" si="59"/>
        <v/>
      </c>
      <c r="BB267" s="4" t="str">
        <f t="shared" si="50"/>
        <v/>
      </c>
      <c r="BC267" s="4" t="str">
        <f t="shared" si="50"/>
        <v/>
      </c>
      <c r="BD267" s="4" t="str">
        <f t="shared" si="50"/>
        <v/>
      </c>
      <c r="BE267" s="4" t="str">
        <f t="shared" si="50"/>
        <v/>
      </c>
      <c r="BF267" s="4" t="str">
        <f t="shared" si="50"/>
        <v/>
      </c>
      <c r="BG267" s="4" t="str">
        <f t="shared" si="50"/>
        <v/>
      </c>
      <c r="BH267" s="4" t="str">
        <f t="shared" si="50"/>
        <v/>
      </c>
      <c r="BI267" s="5" t="str">
        <f t="shared" si="50"/>
        <v/>
      </c>
    </row>
    <row r="268" spans="1:61" x14ac:dyDescent="0.25">
      <c r="A268">
        <v>328862</v>
      </c>
      <c r="B268" t="s">
        <v>14</v>
      </c>
      <c r="C268" t="s">
        <v>16</v>
      </c>
      <c r="D268">
        <v>55111</v>
      </c>
      <c r="E268">
        <v>671</v>
      </c>
      <c r="F268">
        <v>31</v>
      </c>
      <c r="G268">
        <v>20124</v>
      </c>
      <c r="H268" t="s">
        <v>0</v>
      </c>
      <c r="I268">
        <v>99</v>
      </c>
      <c r="J268">
        <v>19</v>
      </c>
      <c r="K268">
        <v>2281.19</v>
      </c>
      <c r="L268">
        <v>2271.54</v>
      </c>
      <c r="M268">
        <v>9.65</v>
      </c>
      <c r="N268" s="3" t="str">
        <f t="shared" si="57"/>
        <v/>
      </c>
      <c r="O268" s="4" t="str">
        <f t="shared" si="57"/>
        <v/>
      </c>
      <c r="P268" s="4" t="str">
        <f t="shared" si="57"/>
        <v/>
      </c>
      <c r="Q268" s="4" t="str">
        <f t="shared" si="57"/>
        <v/>
      </c>
      <c r="R268" s="4" t="str">
        <f t="shared" si="57"/>
        <v/>
      </c>
      <c r="S268" s="4" t="str">
        <f t="shared" si="57"/>
        <v/>
      </c>
      <c r="T268" s="4" t="str">
        <f t="shared" si="57"/>
        <v/>
      </c>
      <c r="U268" s="4" t="str">
        <f t="shared" si="57"/>
        <v/>
      </c>
      <c r="V268" s="4" t="str">
        <f t="shared" si="48"/>
        <v/>
      </c>
      <c r="W268" s="4" t="str">
        <f t="shared" si="48"/>
        <v/>
      </c>
      <c r="X268" s="4" t="str">
        <f t="shared" si="48"/>
        <v/>
      </c>
      <c r="Y268" s="4" t="str">
        <f t="shared" si="48"/>
        <v/>
      </c>
      <c r="Z268" s="4" t="str">
        <f t="shared" si="48"/>
        <v/>
      </c>
      <c r="AA268" s="4" t="str">
        <f t="shared" si="48"/>
        <v/>
      </c>
      <c r="AB268" s="4" t="str">
        <f t="shared" si="48"/>
        <v/>
      </c>
      <c r="AC268" s="5" t="str">
        <f t="shared" si="48"/>
        <v/>
      </c>
      <c r="AD268" s="3" t="str">
        <f t="shared" si="58"/>
        <v/>
      </c>
      <c r="AE268" s="4" t="str">
        <f t="shared" si="58"/>
        <v/>
      </c>
      <c r="AF268" s="4" t="str">
        <f t="shared" si="58"/>
        <v/>
      </c>
      <c r="AG268" s="4">
        <f t="shared" si="58"/>
        <v>1</v>
      </c>
      <c r="AH268" s="4" t="str">
        <f t="shared" si="58"/>
        <v/>
      </c>
      <c r="AI268" s="4" t="str">
        <f t="shared" si="58"/>
        <v/>
      </c>
      <c r="AJ268" s="4" t="str">
        <f t="shared" si="58"/>
        <v/>
      </c>
      <c r="AK268" s="4" t="str">
        <f t="shared" si="58"/>
        <v/>
      </c>
      <c r="AL268" s="4" t="str">
        <f t="shared" si="49"/>
        <v/>
      </c>
      <c r="AM268" s="4" t="str">
        <f t="shared" si="49"/>
        <v/>
      </c>
      <c r="AN268" s="4" t="str">
        <f t="shared" si="49"/>
        <v/>
      </c>
      <c r="AO268" s="4" t="str">
        <f t="shared" si="49"/>
        <v/>
      </c>
      <c r="AP268" s="4" t="str">
        <f t="shared" si="49"/>
        <v/>
      </c>
      <c r="AQ268" s="4" t="str">
        <f t="shared" si="49"/>
        <v/>
      </c>
      <c r="AR268" s="4" t="str">
        <f t="shared" si="49"/>
        <v/>
      </c>
      <c r="AS268" s="5" t="str">
        <f t="shared" si="49"/>
        <v/>
      </c>
      <c r="AT268" s="3" t="str">
        <f t="shared" si="59"/>
        <v/>
      </c>
      <c r="AU268" s="4" t="str">
        <f t="shared" si="59"/>
        <v/>
      </c>
      <c r="AV268" s="4" t="str">
        <f t="shared" si="59"/>
        <v/>
      </c>
      <c r="AW268" s="4" t="str">
        <f t="shared" si="59"/>
        <v/>
      </c>
      <c r="AX268" s="4" t="str">
        <f t="shared" si="59"/>
        <v/>
      </c>
      <c r="AY268" s="4" t="str">
        <f t="shared" si="59"/>
        <v/>
      </c>
      <c r="AZ268" s="4" t="str">
        <f t="shared" si="59"/>
        <v/>
      </c>
      <c r="BA268" s="4" t="str">
        <f t="shared" si="59"/>
        <v/>
      </c>
      <c r="BB268" s="4" t="str">
        <f t="shared" si="50"/>
        <v/>
      </c>
      <c r="BC268" s="4" t="str">
        <f t="shared" si="50"/>
        <v/>
      </c>
      <c r="BD268" s="4" t="str">
        <f t="shared" si="50"/>
        <v/>
      </c>
      <c r="BE268" s="4" t="str">
        <f t="shared" si="50"/>
        <v/>
      </c>
      <c r="BF268" s="4" t="str">
        <f t="shared" si="50"/>
        <v/>
      </c>
      <c r="BG268" s="4" t="str">
        <f t="shared" si="50"/>
        <v/>
      </c>
      <c r="BH268" s="4" t="str">
        <f t="shared" si="50"/>
        <v/>
      </c>
      <c r="BI268" s="5" t="str">
        <f t="shared" si="50"/>
        <v/>
      </c>
    </row>
    <row r="269" spans="1:61" x14ac:dyDescent="0.25">
      <c r="A269">
        <v>450713</v>
      </c>
      <c r="B269" t="s">
        <v>15</v>
      </c>
      <c r="C269" t="s">
        <v>16</v>
      </c>
      <c r="D269">
        <v>55111</v>
      </c>
      <c r="E269">
        <v>671</v>
      </c>
      <c r="F269">
        <v>31</v>
      </c>
      <c r="G269">
        <v>20122</v>
      </c>
      <c r="H269" t="s">
        <v>0</v>
      </c>
      <c r="I269">
        <v>2</v>
      </c>
      <c r="J269">
        <v>1</v>
      </c>
      <c r="K269">
        <v>42.17</v>
      </c>
      <c r="L269">
        <v>42.17</v>
      </c>
      <c r="M269">
        <v>0</v>
      </c>
      <c r="N269" s="3" t="str">
        <f t="shared" si="57"/>
        <v/>
      </c>
      <c r="O269" s="4" t="str">
        <f t="shared" si="57"/>
        <v/>
      </c>
      <c r="P269" s="4" t="str">
        <f t="shared" si="57"/>
        <v/>
      </c>
      <c r="Q269" s="4" t="str">
        <f t="shared" si="57"/>
        <v/>
      </c>
      <c r="R269" s="4" t="str">
        <f t="shared" si="57"/>
        <v/>
      </c>
      <c r="S269" s="4" t="str">
        <f t="shared" si="57"/>
        <v/>
      </c>
      <c r="T269" s="4" t="str">
        <f t="shared" si="57"/>
        <v/>
      </c>
      <c r="U269" s="4" t="str">
        <f t="shared" si="57"/>
        <v/>
      </c>
      <c r="V269" s="4" t="str">
        <f t="shared" si="48"/>
        <v/>
      </c>
      <c r="W269" s="4" t="str">
        <f t="shared" si="48"/>
        <v/>
      </c>
      <c r="X269" s="4" t="str">
        <f t="shared" si="48"/>
        <v/>
      </c>
      <c r="Y269" s="4" t="str">
        <f t="shared" si="48"/>
        <v/>
      </c>
      <c r="Z269" s="4" t="str">
        <f t="shared" si="48"/>
        <v/>
      </c>
      <c r="AA269" s="4" t="str">
        <f t="shared" si="48"/>
        <v/>
      </c>
      <c r="AB269" s="4" t="str">
        <f t="shared" si="48"/>
        <v/>
      </c>
      <c r="AC269" s="5" t="str">
        <f t="shared" si="48"/>
        <v/>
      </c>
      <c r="AD269" s="3" t="str">
        <f t="shared" si="58"/>
        <v/>
      </c>
      <c r="AE269" s="4" t="str">
        <f t="shared" si="58"/>
        <v/>
      </c>
      <c r="AF269" s="4" t="str">
        <f t="shared" si="58"/>
        <v/>
      </c>
      <c r="AG269" s="4" t="str">
        <f t="shared" si="58"/>
        <v/>
      </c>
      <c r="AH269" s="4" t="str">
        <f t="shared" si="58"/>
        <v/>
      </c>
      <c r="AI269" s="4">
        <f t="shared" si="58"/>
        <v>1</v>
      </c>
      <c r="AJ269" s="4" t="str">
        <f t="shared" si="58"/>
        <v/>
      </c>
      <c r="AK269" s="4" t="str">
        <f t="shared" si="58"/>
        <v/>
      </c>
      <c r="AL269" s="4" t="str">
        <f t="shared" si="49"/>
        <v/>
      </c>
      <c r="AM269" s="4" t="str">
        <f t="shared" si="49"/>
        <v/>
      </c>
      <c r="AN269" s="4" t="str">
        <f t="shared" si="49"/>
        <v/>
      </c>
      <c r="AO269" s="4" t="str">
        <f t="shared" si="49"/>
        <v/>
      </c>
      <c r="AP269" s="4" t="str">
        <f t="shared" si="49"/>
        <v/>
      </c>
      <c r="AQ269" s="4" t="str">
        <f t="shared" si="49"/>
        <v/>
      </c>
      <c r="AR269" s="4" t="str">
        <f t="shared" si="49"/>
        <v/>
      </c>
      <c r="AS269" s="5" t="str">
        <f t="shared" si="49"/>
        <v/>
      </c>
      <c r="AT269" s="3" t="str">
        <f t="shared" si="59"/>
        <v/>
      </c>
      <c r="AU269" s="4" t="str">
        <f t="shared" si="59"/>
        <v/>
      </c>
      <c r="AV269" s="4" t="str">
        <f t="shared" si="59"/>
        <v/>
      </c>
      <c r="AW269" s="4" t="str">
        <f t="shared" si="59"/>
        <v/>
      </c>
      <c r="AX269" s="4" t="str">
        <f t="shared" si="59"/>
        <v/>
      </c>
      <c r="AY269" s="4" t="str">
        <f t="shared" si="59"/>
        <v/>
      </c>
      <c r="AZ269" s="4" t="str">
        <f t="shared" si="59"/>
        <v/>
      </c>
      <c r="BA269" s="4" t="str">
        <f t="shared" si="59"/>
        <v/>
      </c>
      <c r="BB269" s="4" t="str">
        <f t="shared" si="50"/>
        <v/>
      </c>
      <c r="BC269" s="4" t="str">
        <f t="shared" si="50"/>
        <v/>
      </c>
      <c r="BD269" s="4" t="str">
        <f t="shared" si="50"/>
        <v/>
      </c>
      <c r="BE269" s="4" t="str">
        <f t="shared" si="50"/>
        <v/>
      </c>
      <c r="BF269" s="4" t="str">
        <f t="shared" si="50"/>
        <v/>
      </c>
      <c r="BG269" s="4" t="str">
        <f t="shared" si="50"/>
        <v/>
      </c>
      <c r="BH269" s="4" t="str">
        <f t="shared" si="50"/>
        <v/>
      </c>
      <c r="BI269" s="5" t="str">
        <f t="shared" si="50"/>
        <v/>
      </c>
    </row>
    <row r="270" spans="1:61" x14ac:dyDescent="0.25">
      <c r="A270">
        <v>450714</v>
      </c>
      <c r="B270" t="s">
        <v>15</v>
      </c>
      <c r="C270" t="s">
        <v>16</v>
      </c>
      <c r="D270">
        <v>55111</v>
      </c>
      <c r="E270">
        <v>671</v>
      </c>
      <c r="F270">
        <v>31</v>
      </c>
      <c r="G270">
        <v>20123</v>
      </c>
      <c r="H270" t="s">
        <v>0</v>
      </c>
      <c r="I270">
        <v>3</v>
      </c>
      <c r="J270">
        <v>2</v>
      </c>
      <c r="K270">
        <v>477.91</v>
      </c>
      <c r="L270">
        <v>477.91</v>
      </c>
      <c r="M270">
        <v>0</v>
      </c>
      <c r="N270" s="3" t="str">
        <f t="shared" si="57"/>
        <v/>
      </c>
      <c r="O270" s="4" t="str">
        <f t="shared" si="57"/>
        <v/>
      </c>
      <c r="P270" s="4" t="str">
        <f t="shared" si="57"/>
        <v/>
      </c>
      <c r="Q270" s="4" t="str">
        <f t="shared" si="57"/>
        <v/>
      </c>
      <c r="R270" s="4" t="str">
        <f t="shared" si="57"/>
        <v/>
      </c>
      <c r="S270" s="4" t="str">
        <f t="shared" si="57"/>
        <v/>
      </c>
      <c r="T270" s="4" t="str">
        <f t="shared" si="57"/>
        <v/>
      </c>
      <c r="U270" s="4" t="str">
        <f t="shared" si="57"/>
        <v/>
      </c>
      <c r="V270" s="4" t="str">
        <f t="shared" si="48"/>
        <v/>
      </c>
      <c r="W270" s="4" t="str">
        <f t="shared" si="48"/>
        <v/>
      </c>
      <c r="X270" s="4" t="str">
        <f t="shared" si="48"/>
        <v/>
      </c>
      <c r="Y270" s="4" t="str">
        <f t="shared" si="48"/>
        <v/>
      </c>
      <c r="Z270" s="4" t="str">
        <f t="shared" si="48"/>
        <v/>
      </c>
      <c r="AA270" s="4" t="str">
        <f t="shared" si="48"/>
        <v/>
      </c>
      <c r="AB270" s="4" t="str">
        <f t="shared" si="48"/>
        <v/>
      </c>
      <c r="AC270" s="5" t="str">
        <f t="shared" si="48"/>
        <v/>
      </c>
      <c r="AD270" s="3" t="str">
        <f t="shared" si="58"/>
        <v/>
      </c>
      <c r="AE270" s="4" t="str">
        <f t="shared" si="58"/>
        <v/>
      </c>
      <c r="AF270" s="4" t="str">
        <f t="shared" si="58"/>
        <v/>
      </c>
      <c r="AG270" s="4" t="str">
        <f t="shared" si="58"/>
        <v/>
      </c>
      <c r="AH270" s="4" t="str">
        <f t="shared" si="58"/>
        <v/>
      </c>
      <c r="AI270" s="4" t="str">
        <f t="shared" si="58"/>
        <v/>
      </c>
      <c r="AJ270" s="4">
        <f t="shared" si="58"/>
        <v>1</v>
      </c>
      <c r="AK270" s="4" t="str">
        <f t="shared" si="58"/>
        <v/>
      </c>
      <c r="AL270" s="4" t="str">
        <f t="shared" si="49"/>
        <v/>
      </c>
      <c r="AM270" s="4" t="str">
        <f t="shared" si="49"/>
        <v/>
      </c>
      <c r="AN270" s="4" t="str">
        <f t="shared" si="49"/>
        <v/>
      </c>
      <c r="AO270" s="4" t="str">
        <f t="shared" si="49"/>
        <v/>
      </c>
      <c r="AP270" s="4" t="str">
        <f t="shared" si="49"/>
        <v/>
      </c>
      <c r="AQ270" s="4" t="str">
        <f t="shared" si="49"/>
        <v/>
      </c>
      <c r="AR270" s="4" t="str">
        <f t="shared" si="49"/>
        <v/>
      </c>
      <c r="AS270" s="5" t="str">
        <f t="shared" si="49"/>
        <v/>
      </c>
      <c r="AT270" s="3" t="str">
        <f t="shared" si="59"/>
        <v/>
      </c>
      <c r="AU270" s="4" t="str">
        <f t="shared" si="59"/>
        <v/>
      </c>
      <c r="AV270" s="4" t="str">
        <f t="shared" si="59"/>
        <v/>
      </c>
      <c r="AW270" s="4" t="str">
        <f t="shared" si="59"/>
        <v/>
      </c>
      <c r="AX270" s="4" t="str">
        <f t="shared" si="59"/>
        <v/>
      </c>
      <c r="AY270" s="4" t="str">
        <f t="shared" si="59"/>
        <v/>
      </c>
      <c r="AZ270" s="4" t="str">
        <f t="shared" si="59"/>
        <v/>
      </c>
      <c r="BA270" s="4" t="str">
        <f t="shared" si="59"/>
        <v/>
      </c>
      <c r="BB270" s="4" t="str">
        <f t="shared" si="50"/>
        <v/>
      </c>
      <c r="BC270" s="4" t="str">
        <f t="shared" si="50"/>
        <v/>
      </c>
      <c r="BD270" s="4" t="str">
        <f t="shared" si="50"/>
        <v/>
      </c>
      <c r="BE270" s="4" t="str">
        <f t="shared" si="50"/>
        <v/>
      </c>
      <c r="BF270" s="4" t="str">
        <f t="shared" si="50"/>
        <v/>
      </c>
      <c r="BG270" s="4" t="str">
        <f t="shared" si="50"/>
        <v/>
      </c>
      <c r="BH270" s="4" t="str">
        <f t="shared" si="50"/>
        <v/>
      </c>
      <c r="BI270" s="5" t="str">
        <f t="shared" si="50"/>
        <v/>
      </c>
    </row>
    <row r="271" spans="1:61" x14ac:dyDescent="0.25">
      <c r="A271">
        <v>450715</v>
      </c>
      <c r="B271" t="s">
        <v>15</v>
      </c>
      <c r="C271" t="s">
        <v>16</v>
      </c>
      <c r="D271">
        <v>55111</v>
      </c>
      <c r="E271">
        <v>671</v>
      </c>
      <c r="F271">
        <v>31</v>
      </c>
      <c r="G271">
        <v>20124</v>
      </c>
      <c r="H271" t="s">
        <v>0</v>
      </c>
      <c r="I271">
        <v>38</v>
      </c>
      <c r="J271">
        <v>8</v>
      </c>
      <c r="K271">
        <v>870.08</v>
      </c>
      <c r="L271">
        <v>870.08</v>
      </c>
      <c r="M271">
        <v>0</v>
      </c>
      <c r="N271" s="3" t="str">
        <f t="shared" si="57"/>
        <v/>
      </c>
      <c r="O271" s="4" t="str">
        <f t="shared" si="57"/>
        <v/>
      </c>
      <c r="P271" s="4" t="str">
        <f t="shared" si="57"/>
        <v/>
      </c>
      <c r="Q271" s="4" t="str">
        <f t="shared" si="57"/>
        <v/>
      </c>
      <c r="R271" s="4" t="str">
        <f t="shared" si="57"/>
        <v/>
      </c>
      <c r="S271" s="4" t="str">
        <f t="shared" si="57"/>
        <v/>
      </c>
      <c r="T271" s="4" t="str">
        <f t="shared" si="57"/>
        <v/>
      </c>
      <c r="U271" s="4" t="str">
        <f t="shared" si="57"/>
        <v/>
      </c>
      <c r="V271" s="4" t="str">
        <f t="shared" si="48"/>
        <v/>
      </c>
      <c r="W271" s="4" t="str">
        <f t="shared" si="48"/>
        <v/>
      </c>
      <c r="X271" s="4" t="str">
        <f t="shared" si="48"/>
        <v/>
      </c>
      <c r="Y271" s="4" t="str">
        <f t="shared" si="48"/>
        <v/>
      </c>
      <c r="Z271" s="4" t="str">
        <f t="shared" si="48"/>
        <v/>
      </c>
      <c r="AA271" s="4" t="str">
        <f t="shared" si="48"/>
        <v/>
      </c>
      <c r="AB271" s="4" t="str">
        <f t="shared" si="48"/>
        <v/>
      </c>
      <c r="AC271" s="5" t="str">
        <f t="shared" si="48"/>
        <v/>
      </c>
      <c r="AD271" s="3" t="str">
        <f t="shared" si="58"/>
        <v/>
      </c>
      <c r="AE271" s="4" t="str">
        <f t="shared" si="58"/>
        <v/>
      </c>
      <c r="AF271" s="4" t="str">
        <f t="shared" si="58"/>
        <v/>
      </c>
      <c r="AG271" s="4" t="str">
        <f t="shared" si="58"/>
        <v/>
      </c>
      <c r="AH271" s="4" t="str">
        <f t="shared" si="58"/>
        <v/>
      </c>
      <c r="AI271" s="4" t="str">
        <f t="shared" si="58"/>
        <v/>
      </c>
      <c r="AJ271" s="4" t="str">
        <f t="shared" si="58"/>
        <v/>
      </c>
      <c r="AK271" s="4">
        <f t="shared" si="58"/>
        <v>1</v>
      </c>
      <c r="AL271" s="4" t="str">
        <f t="shared" si="49"/>
        <v/>
      </c>
      <c r="AM271" s="4" t="str">
        <f t="shared" si="49"/>
        <v/>
      </c>
      <c r="AN271" s="4" t="str">
        <f t="shared" si="49"/>
        <v/>
      </c>
      <c r="AO271" s="4" t="str">
        <f t="shared" si="49"/>
        <v/>
      </c>
      <c r="AP271" s="4" t="str">
        <f t="shared" si="49"/>
        <v/>
      </c>
      <c r="AQ271" s="4" t="str">
        <f t="shared" si="49"/>
        <v/>
      </c>
      <c r="AR271" s="4" t="str">
        <f t="shared" si="49"/>
        <v/>
      </c>
      <c r="AS271" s="5" t="str">
        <f t="shared" si="49"/>
        <v/>
      </c>
      <c r="AT271" s="3" t="str">
        <f t="shared" si="59"/>
        <v/>
      </c>
      <c r="AU271" s="4" t="str">
        <f t="shared" si="59"/>
        <v/>
      </c>
      <c r="AV271" s="4" t="str">
        <f t="shared" si="59"/>
        <v/>
      </c>
      <c r="AW271" s="4" t="str">
        <f t="shared" si="59"/>
        <v/>
      </c>
      <c r="AX271" s="4" t="str">
        <f t="shared" si="59"/>
        <v/>
      </c>
      <c r="AY271" s="4" t="str">
        <f t="shared" si="59"/>
        <v/>
      </c>
      <c r="AZ271" s="4" t="str">
        <f t="shared" si="59"/>
        <v/>
      </c>
      <c r="BA271" s="4" t="str">
        <f t="shared" si="59"/>
        <v/>
      </c>
      <c r="BB271" s="4" t="str">
        <f t="shared" si="50"/>
        <v/>
      </c>
      <c r="BC271" s="4" t="str">
        <f t="shared" si="50"/>
        <v/>
      </c>
      <c r="BD271" s="4" t="str">
        <f t="shared" si="50"/>
        <v/>
      </c>
      <c r="BE271" s="4" t="str">
        <f t="shared" si="50"/>
        <v/>
      </c>
      <c r="BF271" s="4" t="str">
        <f t="shared" si="50"/>
        <v/>
      </c>
      <c r="BG271" s="4" t="str">
        <f t="shared" si="50"/>
        <v/>
      </c>
      <c r="BH271" s="4" t="str">
        <f t="shared" si="50"/>
        <v/>
      </c>
      <c r="BI271" s="5" t="str">
        <f t="shared" si="50"/>
        <v/>
      </c>
    </row>
    <row r="272" spans="1:61" x14ac:dyDescent="0.25">
      <c r="A272">
        <v>575261</v>
      </c>
      <c r="B272" t="s">
        <v>14</v>
      </c>
      <c r="C272" t="s">
        <v>16</v>
      </c>
      <c r="D272">
        <v>55111</v>
      </c>
      <c r="E272">
        <v>671</v>
      </c>
      <c r="F272">
        <v>6</v>
      </c>
      <c r="G272">
        <v>20131</v>
      </c>
      <c r="H272" t="s">
        <v>0</v>
      </c>
      <c r="I272">
        <v>2</v>
      </c>
      <c r="J272">
        <v>2</v>
      </c>
      <c r="K272">
        <v>12.54</v>
      </c>
      <c r="L272">
        <v>12.54</v>
      </c>
      <c r="M272">
        <v>0</v>
      </c>
      <c r="N272" s="3" t="str">
        <f t="shared" si="57"/>
        <v/>
      </c>
      <c r="O272" s="4" t="str">
        <f t="shared" si="57"/>
        <v/>
      </c>
      <c r="P272" s="4" t="str">
        <f t="shared" si="57"/>
        <v/>
      </c>
      <c r="Q272" s="4" t="str">
        <f t="shared" si="57"/>
        <v/>
      </c>
      <c r="R272" s="4" t="str">
        <f t="shared" si="57"/>
        <v/>
      </c>
      <c r="S272" s="4" t="str">
        <f t="shared" si="57"/>
        <v/>
      </c>
      <c r="T272" s="4" t="str">
        <f t="shared" si="57"/>
        <v/>
      </c>
      <c r="U272" s="4" t="str">
        <f t="shared" si="57"/>
        <v/>
      </c>
      <c r="V272" s="4" t="str">
        <f t="shared" si="48"/>
        <v/>
      </c>
      <c r="W272" s="4" t="str">
        <f t="shared" si="48"/>
        <v/>
      </c>
      <c r="X272" s="4" t="str">
        <f t="shared" si="48"/>
        <v/>
      </c>
      <c r="Y272" s="4" t="str">
        <f t="shared" si="48"/>
        <v/>
      </c>
      <c r="Z272" s="4" t="str">
        <f t="shared" si="48"/>
        <v/>
      </c>
      <c r="AA272" s="4" t="str">
        <f t="shared" si="48"/>
        <v/>
      </c>
      <c r="AB272" s="4" t="str">
        <f t="shared" si="48"/>
        <v/>
      </c>
      <c r="AC272" s="5" t="str">
        <f t="shared" si="48"/>
        <v/>
      </c>
      <c r="AD272" s="3" t="str">
        <f t="shared" si="58"/>
        <v/>
      </c>
      <c r="AE272" s="4" t="str">
        <f t="shared" si="58"/>
        <v/>
      </c>
      <c r="AF272" s="4" t="str">
        <f t="shared" si="58"/>
        <v/>
      </c>
      <c r="AG272" s="4" t="str">
        <f t="shared" si="58"/>
        <v/>
      </c>
      <c r="AH272" s="4" t="str">
        <f t="shared" si="58"/>
        <v/>
      </c>
      <c r="AI272" s="4" t="str">
        <f t="shared" si="58"/>
        <v/>
      </c>
      <c r="AJ272" s="4" t="str">
        <f t="shared" si="58"/>
        <v/>
      </c>
      <c r="AK272" s="4" t="str">
        <f t="shared" si="58"/>
        <v/>
      </c>
      <c r="AL272" s="4" t="str">
        <f t="shared" si="49"/>
        <v/>
      </c>
      <c r="AM272" s="4" t="str">
        <f t="shared" si="49"/>
        <v/>
      </c>
      <c r="AN272" s="4" t="str">
        <f t="shared" si="49"/>
        <v/>
      </c>
      <c r="AO272" s="4" t="str">
        <f t="shared" si="49"/>
        <v/>
      </c>
      <c r="AP272" s="4" t="str">
        <f t="shared" si="49"/>
        <v/>
      </c>
      <c r="AQ272" s="4" t="str">
        <f t="shared" si="49"/>
        <v/>
      </c>
      <c r="AR272" s="4" t="str">
        <f t="shared" si="49"/>
        <v/>
      </c>
      <c r="AS272" s="5" t="str">
        <f t="shared" si="49"/>
        <v/>
      </c>
      <c r="AT272" s="3">
        <f t="shared" si="59"/>
        <v>1</v>
      </c>
      <c r="AU272" s="4" t="str">
        <f t="shared" si="59"/>
        <v/>
      </c>
      <c r="AV272" s="4" t="str">
        <f t="shared" si="59"/>
        <v/>
      </c>
      <c r="AW272" s="4" t="str">
        <f t="shared" si="59"/>
        <v/>
      </c>
      <c r="AX272" s="4" t="str">
        <f t="shared" si="59"/>
        <v/>
      </c>
      <c r="AY272" s="4" t="str">
        <f t="shared" si="59"/>
        <v/>
      </c>
      <c r="AZ272" s="4" t="str">
        <f t="shared" si="59"/>
        <v/>
      </c>
      <c r="BA272" s="4" t="str">
        <f t="shared" si="59"/>
        <v/>
      </c>
      <c r="BB272" s="4" t="str">
        <f t="shared" si="50"/>
        <v/>
      </c>
      <c r="BC272" s="4" t="str">
        <f t="shared" si="50"/>
        <v/>
      </c>
      <c r="BD272" s="4" t="str">
        <f t="shared" si="50"/>
        <v/>
      </c>
      <c r="BE272" s="4" t="str">
        <f t="shared" si="50"/>
        <v/>
      </c>
      <c r="BF272" s="4" t="str">
        <f t="shared" si="50"/>
        <v/>
      </c>
      <c r="BG272" s="4" t="str">
        <f t="shared" si="50"/>
        <v/>
      </c>
      <c r="BH272" s="4" t="str">
        <f t="shared" si="50"/>
        <v/>
      </c>
      <c r="BI272" s="5" t="str">
        <f t="shared" si="50"/>
        <v/>
      </c>
    </row>
    <row r="273" spans="1:61" x14ac:dyDescent="0.25">
      <c r="A273">
        <v>575262</v>
      </c>
      <c r="B273" t="s">
        <v>14</v>
      </c>
      <c r="C273" t="s">
        <v>16</v>
      </c>
      <c r="D273">
        <v>55111</v>
      </c>
      <c r="E273">
        <v>671</v>
      </c>
      <c r="F273">
        <v>31</v>
      </c>
      <c r="G273">
        <v>20131</v>
      </c>
      <c r="H273" t="s">
        <v>0</v>
      </c>
      <c r="I273">
        <v>46</v>
      </c>
      <c r="J273">
        <v>12</v>
      </c>
      <c r="K273">
        <v>951.98</v>
      </c>
      <c r="L273">
        <v>951.98</v>
      </c>
      <c r="M273">
        <v>0</v>
      </c>
      <c r="N273" s="3" t="str">
        <f t="shared" si="57"/>
        <v/>
      </c>
      <c r="O273" s="4" t="str">
        <f t="shared" si="57"/>
        <v/>
      </c>
      <c r="P273" s="4" t="str">
        <f t="shared" si="57"/>
        <v/>
      </c>
      <c r="Q273" s="4" t="str">
        <f t="shared" si="57"/>
        <v/>
      </c>
      <c r="R273" s="4" t="str">
        <f t="shared" si="57"/>
        <v/>
      </c>
      <c r="S273" s="4" t="str">
        <f t="shared" si="57"/>
        <v/>
      </c>
      <c r="T273" s="4" t="str">
        <f t="shared" si="57"/>
        <v/>
      </c>
      <c r="U273" s="4" t="str">
        <f t="shared" si="57"/>
        <v/>
      </c>
      <c r="V273" s="4" t="str">
        <f t="shared" si="48"/>
        <v/>
      </c>
      <c r="W273" s="4" t="str">
        <f t="shared" si="48"/>
        <v/>
      </c>
      <c r="X273" s="4" t="str">
        <f t="shared" si="48"/>
        <v/>
      </c>
      <c r="Y273" s="4" t="str">
        <f t="shared" si="48"/>
        <v/>
      </c>
      <c r="Z273" s="4" t="str">
        <f t="shared" si="48"/>
        <v/>
      </c>
      <c r="AA273" s="4" t="str">
        <f t="shared" si="48"/>
        <v/>
      </c>
      <c r="AB273" s="4" t="str">
        <f t="shared" si="48"/>
        <v/>
      </c>
      <c r="AC273" s="5" t="str">
        <f t="shared" si="48"/>
        <v/>
      </c>
      <c r="AD273" s="3" t="str">
        <f t="shared" si="58"/>
        <v/>
      </c>
      <c r="AE273" s="4" t="str">
        <f t="shared" si="58"/>
        <v/>
      </c>
      <c r="AF273" s="4" t="str">
        <f t="shared" si="58"/>
        <v/>
      </c>
      <c r="AG273" s="4" t="str">
        <f t="shared" si="58"/>
        <v/>
      </c>
      <c r="AH273" s="4" t="str">
        <f t="shared" si="58"/>
        <v/>
      </c>
      <c r="AI273" s="4" t="str">
        <f t="shared" si="58"/>
        <v/>
      </c>
      <c r="AJ273" s="4" t="str">
        <f t="shared" si="58"/>
        <v/>
      </c>
      <c r="AK273" s="4" t="str">
        <f t="shared" si="58"/>
        <v/>
      </c>
      <c r="AL273" s="4" t="str">
        <f t="shared" si="49"/>
        <v/>
      </c>
      <c r="AM273" s="4" t="str">
        <f t="shared" si="49"/>
        <v/>
      </c>
      <c r="AN273" s="4" t="str">
        <f t="shared" si="49"/>
        <v/>
      </c>
      <c r="AO273" s="4" t="str">
        <f t="shared" si="49"/>
        <v/>
      </c>
      <c r="AP273" s="4" t="str">
        <f t="shared" si="49"/>
        <v/>
      </c>
      <c r="AQ273" s="4" t="str">
        <f t="shared" si="49"/>
        <v/>
      </c>
      <c r="AR273" s="4" t="str">
        <f t="shared" si="49"/>
        <v/>
      </c>
      <c r="AS273" s="5" t="str">
        <f t="shared" si="49"/>
        <v/>
      </c>
      <c r="AT273" s="3">
        <f t="shared" si="59"/>
        <v>1</v>
      </c>
      <c r="AU273" s="4" t="str">
        <f t="shared" si="59"/>
        <v/>
      </c>
      <c r="AV273" s="4" t="str">
        <f t="shared" si="59"/>
        <v/>
      </c>
      <c r="AW273" s="4" t="str">
        <f t="shared" si="59"/>
        <v/>
      </c>
      <c r="AX273" s="4" t="str">
        <f t="shared" si="59"/>
        <v/>
      </c>
      <c r="AY273" s="4" t="str">
        <f t="shared" si="59"/>
        <v/>
      </c>
      <c r="AZ273" s="4" t="str">
        <f t="shared" si="59"/>
        <v/>
      </c>
      <c r="BA273" s="4" t="str">
        <f t="shared" si="59"/>
        <v/>
      </c>
      <c r="BB273" s="4" t="str">
        <f t="shared" si="50"/>
        <v/>
      </c>
      <c r="BC273" s="4" t="str">
        <f t="shared" si="50"/>
        <v/>
      </c>
      <c r="BD273" s="4" t="str">
        <f t="shared" si="50"/>
        <v/>
      </c>
      <c r="BE273" s="4" t="str">
        <f t="shared" si="50"/>
        <v/>
      </c>
      <c r="BF273" s="4" t="str">
        <f t="shared" si="50"/>
        <v/>
      </c>
      <c r="BG273" s="4" t="str">
        <f t="shared" si="50"/>
        <v/>
      </c>
      <c r="BH273" s="4" t="str">
        <f t="shared" si="50"/>
        <v/>
      </c>
      <c r="BI273" s="5" t="str">
        <f t="shared" si="50"/>
        <v/>
      </c>
    </row>
    <row r="274" spans="1:61" x14ac:dyDescent="0.25">
      <c r="A274">
        <v>575263</v>
      </c>
      <c r="B274" t="s">
        <v>14</v>
      </c>
      <c r="C274" t="s">
        <v>16</v>
      </c>
      <c r="D274">
        <v>55111</v>
      </c>
      <c r="E274">
        <v>671</v>
      </c>
      <c r="F274">
        <v>31</v>
      </c>
      <c r="G274">
        <v>20132</v>
      </c>
      <c r="H274" t="s">
        <v>0</v>
      </c>
      <c r="I274">
        <v>5</v>
      </c>
      <c r="J274">
        <v>3</v>
      </c>
      <c r="K274">
        <v>115.59</v>
      </c>
      <c r="L274">
        <v>83.11</v>
      </c>
      <c r="M274">
        <v>32.479999999999997</v>
      </c>
      <c r="N274" s="3" t="str">
        <f t="shared" si="57"/>
        <v/>
      </c>
      <c r="O274" s="4" t="str">
        <f t="shared" si="57"/>
        <v/>
      </c>
      <c r="P274" s="4" t="str">
        <f t="shared" si="57"/>
        <v/>
      </c>
      <c r="Q274" s="4" t="str">
        <f t="shared" si="57"/>
        <v/>
      </c>
      <c r="R274" s="4" t="str">
        <f t="shared" si="57"/>
        <v/>
      </c>
      <c r="S274" s="4" t="str">
        <f t="shared" si="57"/>
        <v/>
      </c>
      <c r="T274" s="4" t="str">
        <f t="shared" si="57"/>
        <v/>
      </c>
      <c r="U274" s="4" t="str">
        <f t="shared" si="57"/>
        <v/>
      </c>
      <c r="V274" s="4" t="str">
        <f t="shared" ref="V274:AC305" si="60">IF(AND($B274=V$3, $G274=V$2, LEFT($H274, 6)=V$1), 1, "")</f>
        <v/>
      </c>
      <c r="W274" s="4" t="str">
        <f t="shared" si="60"/>
        <v/>
      </c>
      <c r="X274" s="4" t="str">
        <f t="shared" si="60"/>
        <v/>
      </c>
      <c r="Y274" s="4" t="str">
        <f t="shared" si="60"/>
        <v/>
      </c>
      <c r="Z274" s="4" t="str">
        <f t="shared" si="60"/>
        <v/>
      </c>
      <c r="AA274" s="4" t="str">
        <f t="shared" si="60"/>
        <v/>
      </c>
      <c r="AB274" s="4" t="str">
        <f t="shared" si="60"/>
        <v/>
      </c>
      <c r="AC274" s="5" t="str">
        <f t="shared" si="60"/>
        <v/>
      </c>
      <c r="AD274" s="3" t="str">
        <f t="shared" si="58"/>
        <v/>
      </c>
      <c r="AE274" s="4" t="str">
        <f t="shared" si="58"/>
        <v/>
      </c>
      <c r="AF274" s="4" t="str">
        <f t="shared" si="58"/>
        <v/>
      </c>
      <c r="AG274" s="4" t="str">
        <f t="shared" si="58"/>
        <v/>
      </c>
      <c r="AH274" s="4" t="str">
        <f t="shared" si="58"/>
        <v/>
      </c>
      <c r="AI274" s="4" t="str">
        <f t="shared" si="58"/>
        <v/>
      </c>
      <c r="AJ274" s="4" t="str">
        <f t="shared" si="58"/>
        <v/>
      </c>
      <c r="AK274" s="4" t="str">
        <f t="shared" si="58"/>
        <v/>
      </c>
      <c r="AL274" s="4" t="str">
        <f t="shared" ref="AL274:AS305" si="61">IF(AND($B274=AL$3, $G274=AL$2, LEFT($H274, 6)=AL$1), 1, "")</f>
        <v/>
      </c>
      <c r="AM274" s="4" t="str">
        <f t="shared" si="61"/>
        <v/>
      </c>
      <c r="AN274" s="4" t="str">
        <f t="shared" si="61"/>
        <v/>
      </c>
      <c r="AO274" s="4" t="str">
        <f t="shared" si="61"/>
        <v/>
      </c>
      <c r="AP274" s="4" t="str">
        <f t="shared" si="61"/>
        <v/>
      </c>
      <c r="AQ274" s="4" t="str">
        <f t="shared" si="61"/>
        <v/>
      </c>
      <c r="AR274" s="4" t="str">
        <f t="shared" si="61"/>
        <v/>
      </c>
      <c r="AS274" s="5" t="str">
        <f t="shared" si="61"/>
        <v/>
      </c>
      <c r="AT274" s="3" t="str">
        <f t="shared" si="59"/>
        <v/>
      </c>
      <c r="AU274" s="4">
        <f t="shared" si="59"/>
        <v>1</v>
      </c>
      <c r="AV274" s="4" t="str">
        <f t="shared" si="59"/>
        <v/>
      </c>
      <c r="AW274" s="4" t="str">
        <f t="shared" si="59"/>
        <v/>
      </c>
      <c r="AX274" s="4" t="str">
        <f t="shared" si="59"/>
        <v/>
      </c>
      <c r="AY274" s="4" t="str">
        <f t="shared" si="59"/>
        <v/>
      </c>
      <c r="AZ274" s="4" t="str">
        <f t="shared" si="59"/>
        <v/>
      </c>
      <c r="BA274" s="4" t="str">
        <f t="shared" si="59"/>
        <v/>
      </c>
      <c r="BB274" s="4" t="str">
        <f t="shared" ref="BB274:BI305" si="62">IF(AND($B274=BB$3, $G274=BB$2, LEFT($H274, 6)=BB$1), 1, "")</f>
        <v/>
      </c>
      <c r="BC274" s="4" t="str">
        <f t="shared" si="62"/>
        <v/>
      </c>
      <c r="BD274" s="4" t="str">
        <f t="shared" si="62"/>
        <v/>
      </c>
      <c r="BE274" s="4" t="str">
        <f t="shared" si="62"/>
        <v/>
      </c>
      <c r="BF274" s="4" t="str">
        <f t="shared" si="62"/>
        <v/>
      </c>
      <c r="BG274" s="4" t="str">
        <f t="shared" si="62"/>
        <v/>
      </c>
      <c r="BH274" s="4" t="str">
        <f t="shared" si="62"/>
        <v/>
      </c>
      <c r="BI274" s="5" t="str">
        <f t="shared" si="62"/>
        <v/>
      </c>
    </row>
    <row r="275" spans="1:61" x14ac:dyDescent="0.25">
      <c r="A275">
        <v>575264</v>
      </c>
      <c r="B275" t="s">
        <v>14</v>
      </c>
      <c r="C275" t="s">
        <v>16</v>
      </c>
      <c r="D275">
        <v>55111</v>
      </c>
      <c r="E275">
        <v>671</v>
      </c>
      <c r="F275">
        <v>31</v>
      </c>
      <c r="G275">
        <v>20133</v>
      </c>
      <c r="H275" t="s">
        <v>0</v>
      </c>
      <c r="I275">
        <v>8</v>
      </c>
      <c r="J275">
        <v>8</v>
      </c>
      <c r="K275">
        <v>47.47</v>
      </c>
      <c r="L275">
        <v>47.47</v>
      </c>
      <c r="M275">
        <v>0</v>
      </c>
      <c r="N275" s="3" t="str">
        <f t="shared" ref="N275:U306" si="63">IF(AND($B275=N$3, $G275=N$2, $H275=N$1), 1, "")</f>
        <v/>
      </c>
      <c r="O275" s="4" t="str">
        <f t="shared" si="63"/>
        <v/>
      </c>
      <c r="P275" s="4" t="str">
        <f t="shared" si="63"/>
        <v/>
      </c>
      <c r="Q275" s="4" t="str">
        <f t="shared" si="63"/>
        <v/>
      </c>
      <c r="R275" s="4" t="str">
        <f t="shared" si="63"/>
        <v/>
      </c>
      <c r="S275" s="4" t="str">
        <f t="shared" si="63"/>
        <v/>
      </c>
      <c r="T275" s="4" t="str">
        <f t="shared" si="63"/>
        <v/>
      </c>
      <c r="U275" s="4" t="str">
        <f t="shared" si="63"/>
        <v/>
      </c>
      <c r="V275" s="4" t="str">
        <f t="shared" si="60"/>
        <v/>
      </c>
      <c r="W275" s="4" t="str">
        <f t="shared" si="60"/>
        <v/>
      </c>
      <c r="X275" s="4" t="str">
        <f t="shared" si="60"/>
        <v/>
      </c>
      <c r="Y275" s="4" t="str">
        <f t="shared" si="60"/>
        <v/>
      </c>
      <c r="Z275" s="4" t="str">
        <f t="shared" si="60"/>
        <v/>
      </c>
      <c r="AA275" s="4" t="str">
        <f t="shared" si="60"/>
        <v/>
      </c>
      <c r="AB275" s="4" t="str">
        <f t="shared" si="60"/>
        <v/>
      </c>
      <c r="AC275" s="5" t="str">
        <f t="shared" si="60"/>
        <v/>
      </c>
      <c r="AD275" s="3" t="str">
        <f t="shared" ref="AD275:AK306" si="64">IF(AND($B275=AD$3, $G275=AD$2, $H275=AD$1), 1, "")</f>
        <v/>
      </c>
      <c r="AE275" s="4" t="str">
        <f t="shared" si="64"/>
        <v/>
      </c>
      <c r="AF275" s="4" t="str">
        <f t="shared" si="64"/>
        <v/>
      </c>
      <c r="AG275" s="4" t="str">
        <f t="shared" si="64"/>
        <v/>
      </c>
      <c r="AH275" s="4" t="str">
        <f t="shared" si="64"/>
        <v/>
      </c>
      <c r="AI275" s="4" t="str">
        <f t="shared" si="64"/>
        <v/>
      </c>
      <c r="AJ275" s="4" t="str">
        <f t="shared" si="64"/>
        <v/>
      </c>
      <c r="AK275" s="4" t="str">
        <f t="shared" si="64"/>
        <v/>
      </c>
      <c r="AL275" s="4" t="str">
        <f t="shared" si="61"/>
        <v/>
      </c>
      <c r="AM275" s="4" t="str">
        <f t="shared" si="61"/>
        <v/>
      </c>
      <c r="AN275" s="4" t="str">
        <f t="shared" si="61"/>
        <v/>
      </c>
      <c r="AO275" s="4" t="str">
        <f t="shared" si="61"/>
        <v/>
      </c>
      <c r="AP275" s="4" t="str">
        <f t="shared" si="61"/>
        <v/>
      </c>
      <c r="AQ275" s="4" t="str">
        <f t="shared" si="61"/>
        <v/>
      </c>
      <c r="AR275" s="4" t="str">
        <f t="shared" si="61"/>
        <v/>
      </c>
      <c r="AS275" s="5" t="str">
        <f t="shared" si="61"/>
        <v/>
      </c>
      <c r="AT275" s="3" t="str">
        <f t="shared" ref="AT275:BA306" si="65">IF(AND($B275=AT$3, $G275=AT$2, $H275=AT$1), 1, "")</f>
        <v/>
      </c>
      <c r="AU275" s="4" t="str">
        <f t="shared" si="65"/>
        <v/>
      </c>
      <c r="AV275" s="4">
        <f t="shared" si="65"/>
        <v>1</v>
      </c>
      <c r="AW275" s="4" t="str">
        <f t="shared" si="65"/>
        <v/>
      </c>
      <c r="AX275" s="4" t="str">
        <f t="shared" si="65"/>
        <v/>
      </c>
      <c r="AY275" s="4" t="str">
        <f t="shared" si="65"/>
        <v/>
      </c>
      <c r="AZ275" s="4" t="str">
        <f t="shared" si="65"/>
        <v/>
      </c>
      <c r="BA275" s="4" t="str">
        <f t="shared" si="65"/>
        <v/>
      </c>
      <c r="BB275" s="4" t="str">
        <f t="shared" si="62"/>
        <v/>
      </c>
      <c r="BC275" s="4" t="str">
        <f t="shared" si="62"/>
        <v/>
      </c>
      <c r="BD275" s="4" t="str">
        <f t="shared" si="62"/>
        <v/>
      </c>
      <c r="BE275" s="4" t="str">
        <f t="shared" si="62"/>
        <v/>
      </c>
      <c r="BF275" s="4" t="str">
        <f t="shared" si="62"/>
        <v/>
      </c>
      <c r="BG275" s="4" t="str">
        <f t="shared" si="62"/>
        <v/>
      </c>
      <c r="BH275" s="4" t="str">
        <f t="shared" si="62"/>
        <v/>
      </c>
      <c r="BI275" s="5" t="str">
        <f t="shared" si="62"/>
        <v/>
      </c>
    </row>
    <row r="276" spans="1:61" x14ac:dyDescent="0.25">
      <c r="A276">
        <v>575265</v>
      </c>
      <c r="B276" t="s">
        <v>14</v>
      </c>
      <c r="C276" t="s">
        <v>16</v>
      </c>
      <c r="D276">
        <v>55111</v>
      </c>
      <c r="E276">
        <v>671</v>
      </c>
      <c r="F276">
        <v>31</v>
      </c>
      <c r="G276">
        <v>20134</v>
      </c>
      <c r="H276" t="s">
        <v>0</v>
      </c>
      <c r="I276">
        <v>9</v>
      </c>
      <c r="J276">
        <v>6</v>
      </c>
      <c r="K276">
        <v>246.54</v>
      </c>
      <c r="L276">
        <v>246.54</v>
      </c>
      <c r="M276">
        <v>0</v>
      </c>
      <c r="N276" s="3" t="str">
        <f t="shared" si="63"/>
        <v/>
      </c>
      <c r="O276" s="4" t="str">
        <f t="shared" si="63"/>
        <v/>
      </c>
      <c r="P276" s="4" t="str">
        <f t="shared" si="63"/>
        <v/>
      </c>
      <c r="Q276" s="4" t="str">
        <f t="shared" si="63"/>
        <v/>
      </c>
      <c r="R276" s="4" t="str">
        <f t="shared" si="63"/>
        <v/>
      </c>
      <c r="S276" s="4" t="str">
        <f t="shared" si="63"/>
        <v/>
      </c>
      <c r="T276" s="4" t="str">
        <f t="shared" si="63"/>
        <v/>
      </c>
      <c r="U276" s="4" t="str">
        <f t="shared" si="63"/>
        <v/>
      </c>
      <c r="V276" s="4" t="str">
        <f t="shared" si="60"/>
        <v/>
      </c>
      <c r="W276" s="4" t="str">
        <f t="shared" si="60"/>
        <v/>
      </c>
      <c r="X276" s="4" t="str">
        <f t="shared" si="60"/>
        <v/>
      </c>
      <c r="Y276" s="4" t="str">
        <f t="shared" si="60"/>
        <v/>
      </c>
      <c r="Z276" s="4" t="str">
        <f t="shared" si="60"/>
        <v/>
      </c>
      <c r="AA276" s="4" t="str">
        <f t="shared" si="60"/>
        <v/>
      </c>
      <c r="AB276" s="4" t="str">
        <f t="shared" si="60"/>
        <v/>
      </c>
      <c r="AC276" s="5" t="str">
        <f t="shared" si="60"/>
        <v/>
      </c>
      <c r="AD276" s="3" t="str">
        <f t="shared" si="64"/>
        <v/>
      </c>
      <c r="AE276" s="4" t="str">
        <f t="shared" si="64"/>
        <v/>
      </c>
      <c r="AF276" s="4" t="str">
        <f t="shared" si="64"/>
        <v/>
      </c>
      <c r="AG276" s="4" t="str">
        <f t="shared" si="64"/>
        <v/>
      </c>
      <c r="AH276" s="4" t="str">
        <f t="shared" si="64"/>
        <v/>
      </c>
      <c r="AI276" s="4" t="str">
        <f t="shared" si="64"/>
        <v/>
      </c>
      <c r="AJ276" s="4" t="str">
        <f t="shared" si="64"/>
        <v/>
      </c>
      <c r="AK276" s="4" t="str">
        <f t="shared" si="64"/>
        <v/>
      </c>
      <c r="AL276" s="4" t="str">
        <f t="shared" si="61"/>
        <v/>
      </c>
      <c r="AM276" s="4" t="str">
        <f t="shared" si="61"/>
        <v/>
      </c>
      <c r="AN276" s="4" t="str">
        <f t="shared" si="61"/>
        <v/>
      </c>
      <c r="AO276" s="4" t="str">
        <f t="shared" si="61"/>
        <v/>
      </c>
      <c r="AP276" s="4" t="str">
        <f t="shared" si="61"/>
        <v/>
      </c>
      <c r="AQ276" s="4" t="str">
        <f t="shared" si="61"/>
        <v/>
      </c>
      <c r="AR276" s="4" t="str">
        <f t="shared" si="61"/>
        <v/>
      </c>
      <c r="AS276" s="5" t="str">
        <f t="shared" si="61"/>
        <v/>
      </c>
      <c r="AT276" s="3" t="str">
        <f t="shared" si="65"/>
        <v/>
      </c>
      <c r="AU276" s="4" t="str">
        <f t="shared" si="65"/>
        <v/>
      </c>
      <c r="AV276" s="4" t="str">
        <f t="shared" si="65"/>
        <v/>
      </c>
      <c r="AW276" s="4">
        <f t="shared" si="65"/>
        <v>1</v>
      </c>
      <c r="AX276" s="4" t="str">
        <f t="shared" si="65"/>
        <v/>
      </c>
      <c r="AY276" s="4" t="str">
        <f t="shared" si="65"/>
        <v/>
      </c>
      <c r="AZ276" s="4" t="str">
        <f t="shared" si="65"/>
        <v/>
      </c>
      <c r="BA276" s="4" t="str">
        <f t="shared" si="65"/>
        <v/>
      </c>
      <c r="BB276" s="4" t="str">
        <f t="shared" si="62"/>
        <v/>
      </c>
      <c r="BC276" s="4" t="str">
        <f t="shared" si="62"/>
        <v/>
      </c>
      <c r="BD276" s="4" t="str">
        <f t="shared" si="62"/>
        <v/>
      </c>
      <c r="BE276" s="4" t="str">
        <f t="shared" si="62"/>
        <v/>
      </c>
      <c r="BF276" s="4" t="str">
        <f t="shared" si="62"/>
        <v/>
      </c>
      <c r="BG276" s="4" t="str">
        <f t="shared" si="62"/>
        <v/>
      </c>
      <c r="BH276" s="4" t="str">
        <f t="shared" si="62"/>
        <v/>
      </c>
      <c r="BI276" s="5" t="str">
        <f t="shared" si="62"/>
        <v/>
      </c>
    </row>
    <row r="277" spans="1:61" x14ac:dyDescent="0.25">
      <c r="A277">
        <v>702146</v>
      </c>
      <c r="B277" t="s">
        <v>15</v>
      </c>
      <c r="C277" t="s">
        <v>16</v>
      </c>
      <c r="D277">
        <v>55111</v>
      </c>
      <c r="E277">
        <v>671</v>
      </c>
      <c r="F277">
        <v>6</v>
      </c>
      <c r="G277">
        <v>20132</v>
      </c>
      <c r="H277" t="s">
        <v>0</v>
      </c>
      <c r="I277">
        <v>1</v>
      </c>
      <c r="J277">
        <v>1</v>
      </c>
      <c r="K277">
        <v>64.88</v>
      </c>
      <c r="L277">
        <v>64.88</v>
      </c>
      <c r="M277">
        <v>0</v>
      </c>
      <c r="N277" s="3" t="str">
        <f t="shared" si="63"/>
        <v/>
      </c>
      <c r="O277" s="4" t="str">
        <f t="shared" si="63"/>
        <v/>
      </c>
      <c r="P277" s="4" t="str">
        <f t="shared" si="63"/>
        <v/>
      </c>
      <c r="Q277" s="4" t="str">
        <f t="shared" si="63"/>
        <v/>
      </c>
      <c r="R277" s="4" t="str">
        <f t="shared" si="63"/>
        <v/>
      </c>
      <c r="S277" s="4" t="str">
        <f t="shared" si="63"/>
        <v/>
      </c>
      <c r="T277" s="4" t="str">
        <f t="shared" si="63"/>
        <v/>
      </c>
      <c r="U277" s="4" t="str">
        <f t="shared" si="63"/>
        <v/>
      </c>
      <c r="V277" s="4" t="str">
        <f t="shared" si="60"/>
        <v/>
      </c>
      <c r="W277" s="4" t="str">
        <f t="shared" si="60"/>
        <v/>
      </c>
      <c r="X277" s="4" t="str">
        <f t="shared" si="60"/>
        <v/>
      </c>
      <c r="Y277" s="4" t="str">
        <f t="shared" si="60"/>
        <v/>
      </c>
      <c r="Z277" s="4" t="str">
        <f t="shared" si="60"/>
        <v/>
      </c>
      <c r="AA277" s="4" t="str">
        <f t="shared" si="60"/>
        <v/>
      </c>
      <c r="AB277" s="4" t="str">
        <f t="shared" si="60"/>
        <v/>
      </c>
      <c r="AC277" s="5" t="str">
        <f t="shared" si="60"/>
        <v/>
      </c>
      <c r="AD277" s="3" t="str">
        <f t="shared" si="64"/>
        <v/>
      </c>
      <c r="AE277" s="4" t="str">
        <f t="shared" si="64"/>
        <v/>
      </c>
      <c r="AF277" s="4" t="str">
        <f t="shared" si="64"/>
        <v/>
      </c>
      <c r="AG277" s="4" t="str">
        <f t="shared" si="64"/>
        <v/>
      </c>
      <c r="AH277" s="4" t="str">
        <f t="shared" si="64"/>
        <v/>
      </c>
      <c r="AI277" s="4" t="str">
        <f t="shared" si="64"/>
        <v/>
      </c>
      <c r="AJ277" s="4" t="str">
        <f t="shared" si="64"/>
        <v/>
      </c>
      <c r="AK277" s="4" t="str">
        <f t="shared" si="64"/>
        <v/>
      </c>
      <c r="AL277" s="4" t="str">
        <f t="shared" si="61"/>
        <v/>
      </c>
      <c r="AM277" s="4" t="str">
        <f t="shared" si="61"/>
        <v/>
      </c>
      <c r="AN277" s="4" t="str">
        <f t="shared" si="61"/>
        <v/>
      </c>
      <c r="AO277" s="4" t="str">
        <f t="shared" si="61"/>
        <v/>
      </c>
      <c r="AP277" s="4" t="str">
        <f t="shared" si="61"/>
        <v/>
      </c>
      <c r="AQ277" s="4" t="str">
        <f t="shared" si="61"/>
        <v/>
      </c>
      <c r="AR277" s="4" t="str">
        <f t="shared" si="61"/>
        <v/>
      </c>
      <c r="AS277" s="5" t="str">
        <f t="shared" si="61"/>
        <v/>
      </c>
      <c r="AT277" s="3" t="str">
        <f t="shared" si="65"/>
        <v/>
      </c>
      <c r="AU277" s="4" t="str">
        <f t="shared" si="65"/>
        <v/>
      </c>
      <c r="AV277" s="4" t="str">
        <f t="shared" si="65"/>
        <v/>
      </c>
      <c r="AW277" s="4" t="str">
        <f t="shared" si="65"/>
        <v/>
      </c>
      <c r="AX277" s="4" t="str">
        <f t="shared" si="65"/>
        <v/>
      </c>
      <c r="AY277" s="4">
        <f t="shared" si="65"/>
        <v>1</v>
      </c>
      <c r="AZ277" s="4" t="str">
        <f t="shared" si="65"/>
        <v/>
      </c>
      <c r="BA277" s="4" t="str">
        <f t="shared" si="65"/>
        <v/>
      </c>
      <c r="BB277" s="4" t="str">
        <f t="shared" si="62"/>
        <v/>
      </c>
      <c r="BC277" s="4" t="str">
        <f t="shared" si="62"/>
        <v/>
      </c>
      <c r="BD277" s="4" t="str">
        <f t="shared" si="62"/>
        <v/>
      </c>
      <c r="BE277" s="4" t="str">
        <f t="shared" si="62"/>
        <v/>
      </c>
      <c r="BF277" s="4" t="str">
        <f t="shared" si="62"/>
        <v/>
      </c>
      <c r="BG277" s="4" t="str">
        <f t="shared" si="62"/>
        <v/>
      </c>
      <c r="BH277" s="4" t="str">
        <f t="shared" si="62"/>
        <v/>
      </c>
      <c r="BI277" s="5" t="str">
        <f t="shared" si="62"/>
        <v/>
      </c>
    </row>
    <row r="278" spans="1:61" x14ac:dyDescent="0.25">
      <c r="A278">
        <v>702147</v>
      </c>
      <c r="B278" t="s">
        <v>15</v>
      </c>
      <c r="C278" t="s">
        <v>16</v>
      </c>
      <c r="D278">
        <v>55111</v>
      </c>
      <c r="E278">
        <v>671</v>
      </c>
      <c r="F278">
        <v>6</v>
      </c>
      <c r="G278">
        <v>20134</v>
      </c>
      <c r="H278" t="s">
        <v>0</v>
      </c>
      <c r="I278">
        <v>2</v>
      </c>
      <c r="J278">
        <v>2</v>
      </c>
      <c r="K278">
        <v>54.89</v>
      </c>
      <c r="L278">
        <v>54.89</v>
      </c>
      <c r="M278">
        <v>0</v>
      </c>
      <c r="N278" s="3" t="str">
        <f t="shared" si="63"/>
        <v/>
      </c>
      <c r="O278" s="4" t="str">
        <f t="shared" si="63"/>
        <v/>
      </c>
      <c r="P278" s="4" t="str">
        <f t="shared" si="63"/>
        <v/>
      </c>
      <c r="Q278" s="4" t="str">
        <f t="shared" si="63"/>
        <v/>
      </c>
      <c r="R278" s="4" t="str">
        <f t="shared" si="63"/>
        <v/>
      </c>
      <c r="S278" s="4" t="str">
        <f t="shared" si="63"/>
        <v/>
      </c>
      <c r="T278" s="4" t="str">
        <f t="shared" si="63"/>
        <v/>
      </c>
      <c r="U278" s="4" t="str">
        <f t="shared" si="63"/>
        <v/>
      </c>
      <c r="V278" s="4" t="str">
        <f t="shared" si="60"/>
        <v/>
      </c>
      <c r="W278" s="4" t="str">
        <f t="shared" si="60"/>
        <v/>
      </c>
      <c r="X278" s="4" t="str">
        <f t="shared" si="60"/>
        <v/>
      </c>
      <c r="Y278" s="4" t="str">
        <f t="shared" si="60"/>
        <v/>
      </c>
      <c r="Z278" s="4" t="str">
        <f t="shared" si="60"/>
        <v/>
      </c>
      <c r="AA278" s="4" t="str">
        <f t="shared" si="60"/>
        <v/>
      </c>
      <c r="AB278" s="4" t="str">
        <f t="shared" si="60"/>
        <v/>
      </c>
      <c r="AC278" s="5" t="str">
        <f t="shared" si="60"/>
        <v/>
      </c>
      <c r="AD278" s="3" t="str">
        <f t="shared" si="64"/>
        <v/>
      </c>
      <c r="AE278" s="4" t="str">
        <f t="shared" si="64"/>
        <v/>
      </c>
      <c r="AF278" s="4" t="str">
        <f t="shared" si="64"/>
        <v/>
      </c>
      <c r="AG278" s="4" t="str">
        <f t="shared" si="64"/>
        <v/>
      </c>
      <c r="AH278" s="4" t="str">
        <f t="shared" si="64"/>
        <v/>
      </c>
      <c r="AI278" s="4" t="str">
        <f t="shared" si="64"/>
        <v/>
      </c>
      <c r="AJ278" s="4" t="str">
        <f t="shared" si="64"/>
        <v/>
      </c>
      <c r="AK278" s="4" t="str">
        <f t="shared" si="64"/>
        <v/>
      </c>
      <c r="AL278" s="4" t="str">
        <f t="shared" si="61"/>
        <v/>
      </c>
      <c r="AM278" s="4" t="str">
        <f t="shared" si="61"/>
        <v/>
      </c>
      <c r="AN278" s="4" t="str">
        <f t="shared" si="61"/>
        <v/>
      </c>
      <c r="AO278" s="4" t="str">
        <f t="shared" si="61"/>
        <v/>
      </c>
      <c r="AP278" s="4" t="str">
        <f t="shared" si="61"/>
        <v/>
      </c>
      <c r="AQ278" s="4" t="str">
        <f t="shared" si="61"/>
        <v/>
      </c>
      <c r="AR278" s="4" t="str">
        <f t="shared" si="61"/>
        <v/>
      </c>
      <c r="AS278" s="5" t="str">
        <f t="shared" si="61"/>
        <v/>
      </c>
      <c r="AT278" s="3" t="str">
        <f t="shared" si="65"/>
        <v/>
      </c>
      <c r="AU278" s="4" t="str">
        <f t="shared" si="65"/>
        <v/>
      </c>
      <c r="AV278" s="4" t="str">
        <f t="shared" si="65"/>
        <v/>
      </c>
      <c r="AW278" s="4" t="str">
        <f t="shared" si="65"/>
        <v/>
      </c>
      <c r="AX278" s="4" t="str">
        <f t="shared" si="65"/>
        <v/>
      </c>
      <c r="AY278" s="4" t="str">
        <f t="shared" si="65"/>
        <v/>
      </c>
      <c r="AZ278" s="4" t="str">
        <f t="shared" si="65"/>
        <v/>
      </c>
      <c r="BA278" s="4">
        <f t="shared" si="65"/>
        <v>1</v>
      </c>
      <c r="BB278" s="4" t="str">
        <f t="shared" si="62"/>
        <v/>
      </c>
      <c r="BC278" s="4" t="str">
        <f t="shared" si="62"/>
        <v/>
      </c>
      <c r="BD278" s="4" t="str">
        <f t="shared" si="62"/>
        <v/>
      </c>
      <c r="BE278" s="4" t="str">
        <f t="shared" si="62"/>
        <v/>
      </c>
      <c r="BF278" s="4" t="str">
        <f t="shared" si="62"/>
        <v/>
      </c>
      <c r="BG278" s="4" t="str">
        <f t="shared" si="62"/>
        <v/>
      </c>
      <c r="BH278" s="4" t="str">
        <f t="shared" si="62"/>
        <v/>
      </c>
      <c r="BI278" s="5" t="str">
        <f t="shared" si="62"/>
        <v/>
      </c>
    </row>
    <row r="279" spans="1:61" x14ac:dyDescent="0.25">
      <c r="A279">
        <v>702148</v>
      </c>
      <c r="B279" t="s">
        <v>15</v>
      </c>
      <c r="C279" t="s">
        <v>16</v>
      </c>
      <c r="D279">
        <v>55111</v>
      </c>
      <c r="E279">
        <v>671</v>
      </c>
      <c r="F279">
        <v>31</v>
      </c>
      <c r="G279">
        <v>20131</v>
      </c>
      <c r="H279" t="s">
        <v>0</v>
      </c>
      <c r="I279">
        <v>135</v>
      </c>
      <c r="J279">
        <v>12</v>
      </c>
      <c r="K279">
        <v>2879.46</v>
      </c>
      <c r="L279">
        <v>2874.81</v>
      </c>
      <c r="M279">
        <v>4.6500000000000004</v>
      </c>
      <c r="N279" s="3" t="str">
        <f t="shared" si="63"/>
        <v/>
      </c>
      <c r="O279" s="4" t="str">
        <f t="shared" si="63"/>
        <v/>
      </c>
      <c r="P279" s="4" t="str">
        <f t="shared" si="63"/>
        <v/>
      </c>
      <c r="Q279" s="4" t="str">
        <f t="shared" si="63"/>
        <v/>
      </c>
      <c r="R279" s="4" t="str">
        <f t="shared" si="63"/>
        <v/>
      </c>
      <c r="S279" s="4" t="str">
        <f t="shared" si="63"/>
        <v/>
      </c>
      <c r="T279" s="4" t="str">
        <f t="shared" si="63"/>
        <v/>
      </c>
      <c r="U279" s="4" t="str">
        <f t="shared" si="63"/>
        <v/>
      </c>
      <c r="V279" s="4" t="str">
        <f t="shared" si="60"/>
        <v/>
      </c>
      <c r="W279" s="4" t="str">
        <f t="shared" si="60"/>
        <v/>
      </c>
      <c r="X279" s="4" t="str">
        <f t="shared" si="60"/>
        <v/>
      </c>
      <c r="Y279" s="4" t="str">
        <f t="shared" si="60"/>
        <v/>
      </c>
      <c r="Z279" s="4" t="str">
        <f t="shared" si="60"/>
        <v/>
      </c>
      <c r="AA279" s="4" t="str">
        <f t="shared" si="60"/>
        <v/>
      </c>
      <c r="AB279" s="4" t="str">
        <f t="shared" si="60"/>
        <v/>
      </c>
      <c r="AC279" s="5" t="str">
        <f t="shared" si="60"/>
        <v/>
      </c>
      <c r="AD279" s="3" t="str">
        <f t="shared" si="64"/>
        <v/>
      </c>
      <c r="AE279" s="4" t="str">
        <f t="shared" si="64"/>
        <v/>
      </c>
      <c r="AF279" s="4" t="str">
        <f t="shared" si="64"/>
        <v/>
      </c>
      <c r="AG279" s="4" t="str">
        <f t="shared" si="64"/>
        <v/>
      </c>
      <c r="AH279" s="4" t="str">
        <f t="shared" si="64"/>
        <v/>
      </c>
      <c r="AI279" s="4" t="str">
        <f t="shared" si="64"/>
        <v/>
      </c>
      <c r="AJ279" s="4" t="str">
        <f t="shared" si="64"/>
        <v/>
      </c>
      <c r="AK279" s="4" t="str">
        <f t="shared" si="64"/>
        <v/>
      </c>
      <c r="AL279" s="4" t="str">
        <f t="shared" si="61"/>
        <v/>
      </c>
      <c r="AM279" s="4" t="str">
        <f t="shared" si="61"/>
        <v/>
      </c>
      <c r="AN279" s="4" t="str">
        <f t="shared" si="61"/>
        <v/>
      </c>
      <c r="AO279" s="4" t="str">
        <f t="shared" si="61"/>
        <v/>
      </c>
      <c r="AP279" s="4" t="str">
        <f t="shared" si="61"/>
        <v/>
      </c>
      <c r="AQ279" s="4" t="str">
        <f t="shared" si="61"/>
        <v/>
      </c>
      <c r="AR279" s="4" t="str">
        <f t="shared" si="61"/>
        <v/>
      </c>
      <c r="AS279" s="5" t="str">
        <f t="shared" si="61"/>
        <v/>
      </c>
      <c r="AT279" s="3" t="str">
        <f t="shared" si="65"/>
        <v/>
      </c>
      <c r="AU279" s="4" t="str">
        <f t="shared" si="65"/>
        <v/>
      </c>
      <c r="AV279" s="4" t="str">
        <f t="shared" si="65"/>
        <v/>
      </c>
      <c r="AW279" s="4" t="str">
        <f t="shared" si="65"/>
        <v/>
      </c>
      <c r="AX279" s="4">
        <f t="shared" si="65"/>
        <v>1</v>
      </c>
      <c r="AY279" s="4" t="str">
        <f t="shared" si="65"/>
        <v/>
      </c>
      <c r="AZ279" s="4" t="str">
        <f t="shared" si="65"/>
        <v/>
      </c>
      <c r="BA279" s="4" t="str">
        <f t="shared" si="65"/>
        <v/>
      </c>
      <c r="BB279" s="4" t="str">
        <f t="shared" si="62"/>
        <v/>
      </c>
      <c r="BC279" s="4" t="str">
        <f t="shared" si="62"/>
        <v/>
      </c>
      <c r="BD279" s="4" t="str">
        <f t="shared" si="62"/>
        <v/>
      </c>
      <c r="BE279" s="4" t="str">
        <f t="shared" si="62"/>
        <v/>
      </c>
      <c r="BF279" s="4" t="str">
        <f t="shared" si="62"/>
        <v/>
      </c>
      <c r="BG279" s="4" t="str">
        <f t="shared" si="62"/>
        <v/>
      </c>
      <c r="BH279" s="4" t="str">
        <f t="shared" si="62"/>
        <v/>
      </c>
      <c r="BI279" s="5" t="str">
        <f t="shared" si="62"/>
        <v/>
      </c>
    </row>
    <row r="280" spans="1:61" x14ac:dyDescent="0.25">
      <c r="A280">
        <v>702149</v>
      </c>
      <c r="B280" t="s">
        <v>15</v>
      </c>
      <c r="C280" t="s">
        <v>16</v>
      </c>
      <c r="D280">
        <v>55111</v>
      </c>
      <c r="E280">
        <v>671</v>
      </c>
      <c r="F280">
        <v>31</v>
      </c>
      <c r="G280">
        <v>20132</v>
      </c>
      <c r="H280" t="s">
        <v>0</v>
      </c>
      <c r="I280">
        <v>208</v>
      </c>
      <c r="J280">
        <v>19</v>
      </c>
      <c r="K280">
        <v>5489.72</v>
      </c>
      <c r="L280">
        <v>4838.37</v>
      </c>
      <c r="M280">
        <v>651.35</v>
      </c>
      <c r="N280" s="3" t="str">
        <f t="shared" si="63"/>
        <v/>
      </c>
      <c r="O280" s="4" t="str">
        <f t="shared" si="63"/>
        <v/>
      </c>
      <c r="P280" s="4" t="str">
        <f t="shared" si="63"/>
        <v/>
      </c>
      <c r="Q280" s="4" t="str">
        <f t="shared" si="63"/>
        <v/>
      </c>
      <c r="R280" s="4" t="str">
        <f t="shared" si="63"/>
        <v/>
      </c>
      <c r="S280" s="4" t="str">
        <f t="shared" si="63"/>
        <v/>
      </c>
      <c r="T280" s="4" t="str">
        <f t="shared" si="63"/>
        <v/>
      </c>
      <c r="U280" s="4" t="str">
        <f t="shared" si="63"/>
        <v/>
      </c>
      <c r="V280" s="4" t="str">
        <f t="shared" si="60"/>
        <v/>
      </c>
      <c r="W280" s="4" t="str">
        <f t="shared" si="60"/>
        <v/>
      </c>
      <c r="X280" s="4" t="str">
        <f t="shared" si="60"/>
        <v/>
      </c>
      <c r="Y280" s="4" t="str">
        <f t="shared" si="60"/>
        <v/>
      </c>
      <c r="Z280" s="4" t="str">
        <f t="shared" si="60"/>
        <v/>
      </c>
      <c r="AA280" s="4" t="str">
        <f t="shared" si="60"/>
        <v/>
      </c>
      <c r="AB280" s="4" t="str">
        <f t="shared" si="60"/>
        <v/>
      </c>
      <c r="AC280" s="5" t="str">
        <f t="shared" si="60"/>
        <v/>
      </c>
      <c r="AD280" s="3" t="str">
        <f t="shared" si="64"/>
        <v/>
      </c>
      <c r="AE280" s="4" t="str">
        <f t="shared" si="64"/>
        <v/>
      </c>
      <c r="AF280" s="4" t="str">
        <f t="shared" si="64"/>
        <v/>
      </c>
      <c r="AG280" s="4" t="str">
        <f t="shared" si="64"/>
        <v/>
      </c>
      <c r="AH280" s="4" t="str">
        <f t="shared" si="64"/>
        <v/>
      </c>
      <c r="AI280" s="4" t="str">
        <f t="shared" si="64"/>
        <v/>
      </c>
      <c r="AJ280" s="4" t="str">
        <f t="shared" si="64"/>
        <v/>
      </c>
      <c r="AK280" s="4" t="str">
        <f t="shared" si="64"/>
        <v/>
      </c>
      <c r="AL280" s="4" t="str">
        <f t="shared" si="61"/>
        <v/>
      </c>
      <c r="AM280" s="4" t="str">
        <f t="shared" si="61"/>
        <v/>
      </c>
      <c r="AN280" s="4" t="str">
        <f t="shared" si="61"/>
        <v/>
      </c>
      <c r="AO280" s="4" t="str">
        <f t="shared" si="61"/>
        <v/>
      </c>
      <c r="AP280" s="4" t="str">
        <f t="shared" si="61"/>
        <v/>
      </c>
      <c r="AQ280" s="4" t="str">
        <f t="shared" si="61"/>
        <v/>
      </c>
      <c r="AR280" s="4" t="str">
        <f t="shared" si="61"/>
        <v/>
      </c>
      <c r="AS280" s="5" t="str">
        <f t="shared" si="61"/>
        <v/>
      </c>
      <c r="AT280" s="3" t="str">
        <f t="shared" si="65"/>
        <v/>
      </c>
      <c r="AU280" s="4" t="str">
        <f t="shared" si="65"/>
        <v/>
      </c>
      <c r="AV280" s="4" t="str">
        <f t="shared" si="65"/>
        <v/>
      </c>
      <c r="AW280" s="4" t="str">
        <f t="shared" si="65"/>
        <v/>
      </c>
      <c r="AX280" s="4" t="str">
        <f t="shared" si="65"/>
        <v/>
      </c>
      <c r="AY280" s="4">
        <f t="shared" si="65"/>
        <v>1</v>
      </c>
      <c r="AZ280" s="4" t="str">
        <f t="shared" si="65"/>
        <v/>
      </c>
      <c r="BA280" s="4" t="str">
        <f t="shared" si="65"/>
        <v/>
      </c>
      <c r="BB280" s="4" t="str">
        <f t="shared" si="62"/>
        <v/>
      </c>
      <c r="BC280" s="4" t="str">
        <f t="shared" si="62"/>
        <v/>
      </c>
      <c r="BD280" s="4" t="str">
        <f t="shared" si="62"/>
        <v/>
      </c>
      <c r="BE280" s="4" t="str">
        <f t="shared" si="62"/>
        <v/>
      </c>
      <c r="BF280" s="4" t="str">
        <f t="shared" si="62"/>
        <v/>
      </c>
      <c r="BG280" s="4" t="str">
        <f t="shared" si="62"/>
        <v/>
      </c>
      <c r="BH280" s="4" t="str">
        <f t="shared" si="62"/>
        <v/>
      </c>
      <c r="BI280" s="5" t="str">
        <f t="shared" si="62"/>
        <v/>
      </c>
    </row>
    <row r="281" spans="1:61" x14ac:dyDescent="0.25">
      <c r="A281">
        <v>702150</v>
      </c>
      <c r="B281" t="s">
        <v>15</v>
      </c>
      <c r="C281" t="s">
        <v>16</v>
      </c>
      <c r="D281">
        <v>55111</v>
      </c>
      <c r="E281">
        <v>671</v>
      </c>
      <c r="F281">
        <v>31</v>
      </c>
      <c r="G281">
        <v>20133</v>
      </c>
      <c r="H281" t="s">
        <v>0</v>
      </c>
      <c r="I281">
        <v>63</v>
      </c>
      <c r="J281">
        <v>5</v>
      </c>
      <c r="K281">
        <v>1340.75</v>
      </c>
      <c r="L281">
        <v>1340.75</v>
      </c>
      <c r="M281">
        <v>0</v>
      </c>
      <c r="N281" s="3" t="str">
        <f t="shared" si="63"/>
        <v/>
      </c>
      <c r="O281" s="4" t="str">
        <f t="shared" si="63"/>
        <v/>
      </c>
      <c r="P281" s="4" t="str">
        <f t="shared" si="63"/>
        <v/>
      </c>
      <c r="Q281" s="4" t="str">
        <f t="shared" si="63"/>
        <v/>
      </c>
      <c r="R281" s="4" t="str">
        <f t="shared" si="63"/>
        <v/>
      </c>
      <c r="S281" s="4" t="str">
        <f t="shared" si="63"/>
        <v/>
      </c>
      <c r="T281" s="4" t="str">
        <f t="shared" si="63"/>
        <v/>
      </c>
      <c r="U281" s="4" t="str">
        <f t="shared" si="63"/>
        <v/>
      </c>
      <c r="V281" s="4" t="str">
        <f t="shared" si="60"/>
        <v/>
      </c>
      <c r="W281" s="4" t="str">
        <f t="shared" si="60"/>
        <v/>
      </c>
      <c r="X281" s="4" t="str">
        <f t="shared" si="60"/>
        <v/>
      </c>
      <c r="Y281" s="4" t="str">
        <f t="shared" si="60"/>
        <v/>
      </c>
      <c r="Z281" s="4" t="str">
        <f t="shared" si="60"/>
        <v/>
      </c>
      <c r="AA281" s="4" t="str">
        <f t="shared" si="60"/>
        <v/>
      </c>
      <c r="AB281" s="4" t="str">
        <f t="shared" si="60"/>
        <v/>
      </c>
      <c r="AC281" s="5" t="str">
        <f t="shared" si="60"/>
        <v/>
      </c>
      <c r="AD281" s="3" t="str">
        <f t="shared" si="64"/>
        <v/>
      </c>
      <c r="AE281" s="4" t="str">
        <f t="shared" si="64"/>
        <v/>
      </c>
      <c r="AF281" s="4" t="str">
        <f t="shared" si="64"/>
        <v/>
      </c>
      <c r="AG281" s="4" t="str">
        <f t="shared" si="64"/>
        <v/>
      </c>
      <c r="AH281" s="4" t="str">
        <f t="shared" si="64"/>
        <v/>
      </c>
      <c r="AI281" s="4" t="str">
        <f t="shared" si="64"/>
        <v/>
      </c>
      <c r="AJ281" s="4" t="str">
        <f t="shared" si="64"/>
        <v/>
      </c>
      <c r="AK281" s="4" t="str">
        <f t="shared" si="64"/>
        <v/>
      </c>
      <c r="AL281" s="4" t="str">
        <f t="shared" si="61"/>
        <v/>
      </c>
      <c r="AM281" s="4" t="str">
        <f t="shared" si="61"/>
        <v/>
      </c>
      <c r="AN281" s="4" t="str">
        <f t="shared" si="61"/>
        <v/>
      </c>
      <c r="AO281" s="4" t="str">
        <f t="shared" si="61"/>
        <v/>
      </c>
      <c r="AP281" s="4" t="str">
        <f t="shared" si="61"/>
        <v/>
      </c>
      <c r="AQ281" s="4" t="str">
        <f t="shared" si="61"/>
        <v/>
      </c>
      <c r="AR281" s="4" t="str">
        <f t="shared" si="61"/>
        <v/>
      </c>
      <c r="AS281" s="5" t="str">
        <f t="shared" si="61"/>
        <v/>
      </c>
      <c r="AT281" s="3" t="str">
        <f t="shared" si="65"/>
        <v/>
      </c>
      <c r="AU281" s="4" t="str">
        <f t="shared" si="65"/>
        <v/>
      </c>
      <c r="AV281" s="4" t="str">
        <f t="shared" si="65"/>
        <v/>
      </c>
      <c r="AW281" s="4" t="str">
        <f t="shared" si="65"/>
        <v/>
      </c>
      <c r="AX281" s="4" t="str">
        <f t="shared" si="65"/>
        <v/>
      </c>
      <c r="AY281" s="4" t="str">
        <f t="shared" si="65"/>
        <v/>
      </c>
      <c r="AZ281" s="4">
        <f t="shared" si="65"/>
        <v>1</v>
      </c>
      <c r="BA281" s="4" t="str">
        <f t="shared" si="65"/>
        <v/>
      </c>
      <c r="BB281" s="4" t="str">
        <f t="shared" si="62"/>
        <v/>
      </c>
      <c r="BC281" s="4" t="str">
        <f t="shared" si="62"/>
        <v/>
      </c>
      <c r="BD281" s="4" t="str">
        <f t="shared" si="62"/>
        <v/>
      </c>
      <c r="BE281" s="4" t="str">
        <f t="shared" si="62"/>
        <v/>
      </c>
      <c r="BF281" s="4" t="str">
        <f t="shared" si="62"/>
        <v/>
      </c>
      <c r="BG281" s="4" t="str">
        <f t="shared" si="62"/>
        <v/>
      </c>
      <c r="BH281" s="4" t="str">
        <f t="shared" si="62"/>
        <v/>
      </c>
      <c r="BI281" s="5" t="str">
        <f t="shared" si="62"/>
        <v/>
      </c>
    </row>
    <row r="282" spans="1:61" x14ac:dyDescent="0.25">
      <c r="A282">
        <v>702151</v>
      </c>
      <c r="B282" t="s">
        <v>15</v>
      </c>
      <c r="C282" t="s">
        <v>16</v>
      </c>
      <c r="D282">
        <v>55111</v>
      </c>
      <c r="E282">
        <v>671</v>
      </c>
      <c r="F282">
        <v>31</v>
      </c>
      <c r="G282">
        <v>20134</v>
      </c>
      <c r="H282" t="s">
        <v>0</v>
      </c>
      <c r="I282">
        <v>160</v>
      </c>
      <c r="J282">
        <v>12</v>
      </c>
      <c r="K282">
        <v>11563.33</v>
      </c>
      <c r="L282">
        <v>11563.33</v>
      </c>
      <c r="M282">
        <v>0</v>
      </c>
      <c r="N282" s="3" t="str">
        <f t="shared" si="63"/>
        <v/>
      </c>
      <c r="O282" s="4" t="str">
        <f t="shared" si="63"/>
        <v/>
      </c>
      <c r="P282" s="4" t="str">
        <f t="shared" si="63"/>
        <v/>
      </c>
      <c r="Q282" s="4" t="str">
        <f t="shared" si="63"/>
        <v/>
      </c>
      <c r="R282" s="4" t="str">
        <f t="shared" si="63"/>
        <v/>
      </c>
      <c r="S282" s="4" t="str">
        <f t="shared" si="63"/>
        <v/>
      </c>
      <c r="T282" s="4" t="str">
        <f t="shared" si="63"/>
        <v/>
      </c>
      <c r="U282" s="4" t="str">
        <f t="shared" si="63"/>
        <v/>
      </c>
      <c r="V282" s="4" t="str">
        <f t="shared" si="60"/>
        <v/>
      </c>
      <c r="W282" s="4" t="str">
        <f t="shared" si="60"/>
        <v/>
      </c>
      <c r="X282" s="4" t="str">
        <f t="shared" si="60"/>
        <v/>
      </c>
      <c r="Y282" s="4" t="str">
        <f t="shared" si="60"/>
        <v/>
      </c>
      <c r="Z282" s="4" t="str">
        <f t="shared" si="60"/>
        <v/>
      </c>
      <c r="AA282" s="4" t="str">
        <f t="shared" si="60"/>
        <v/>
      </c>
      <c r="AB282" s="4" t="str">
        <f t="shared" si="60"/>
        <v/>
      </c>
      <c r="AC282" s="5" t="str">
        <f t="shared" si="60"/>
        <v/>
      </c>
      <c r="AD282" s="3" t="str">
        <f t="shared" si="64"/>
        <v/>
      </c>
      <c r="AE282" s="4" t="str">
        <f t="shared" si="64"/>
        <v/>
      </c>
      <c r="AF282" s="4" t="str">
        <f t="shared" si="64"/>
        <v/>
      </c>
      <c r="AG282" s="4" t="str">
        <f t="shared" si="64"/>
        <v/>
      </c>
      <c r="AH282" s="4" t="str">
        <f t="shared" si="64"/>
        <v/>
      </c>
      <c r="AI282" s="4" t="str">
        <f t="shared" si="64"/>
        <v/>
      </c>
      <c r="AJ282" s="4" t="str">
        <f t="shared" si="64"/>
        <v/>
      </c>
      <c r="AK282" s="4" t="str">
        <f t="shared" si="64"/>
        <v/>
      </c>
      <c r="AL282" s="4" t="str">
        <f t="shared" si="61"/>
        <v/>
      </c>
      <c r="AM282" s="4" t="str">
        <f t="shared" si="61"/>
        <v/>
      </c>
      <c r="AN282" s="4" t="str">
        <f t="shared" si="61"/>
        <v/>
      </c>
      <c r="AO282" s="4" t="str">
        <f t="shared" si="61"/>
        <v/>
      </c>
      <c r="AP282" s="4" t="str">
        <f t="shared" si="61"/>
        <v/>
      </c>
      <c r="AQ282" s="4" t="str">
        <f t="shared" si="61"/>
        <v/>
      </c>
      <c r="AR282" s="4" t="str">
        <f t="shared" si="61"/>
        <v/>
      </c>
      <c r="AS282" s="5" t="str">
        <f t="shared" si="61"/>
        <v/>
      </c>
      <c r="AT282" s="3" t="str">
        <f t="shared" si="65"/>
        <v/>
      </c>
      <c r="AU282" s="4" t="str">
        <f t="shared" si="65"/>
        <v/>
      </c>
      <c r="AV282" s="4" t="str">
        <f t="shared" si="65"/>
        <v/>
      </c>
      <c r="AW282" s="4" t="str">
        <f t="shared" si="65"/>
        <v/>
      </c>
      <c r="AX282" s="4" t="str">
        <f t="shared" si="65"/>
        <v/>
      </c>
      <c r="AY282" s="4" t="str">
        <f t="shared" si="65"/>
        <v/>
      </c>
      <c r="AZ282" s="4" t="str">
        <f t="shared" si="65"/>
        <v/>
      </c>
      <c r="BA282" s="4">
        <f t="shared" si="65"/>
        <v>1</v>
      </c>
      <c r="BB282" s="4" t="str">
        <f t="shared" si="62"/>
        <v/>
      </c>
      <c r="BC282" s="4" t="str">
        <f t="shared" si="62"/>
        <v/>
      </c>
      <c r="BD282" s="4" t="str">
        <f t="shared" si="62"/>
        <v/>
      </c>
      <c r="BE282" s="4" t="str">
        <f t="shared" si="62"/>
        <v/>
      </c>
      <c r="BF282" s="4" t="str">
        <f t="shared" si="62"/>
        <v/>
      </c>
      <c r="BG282" s="4" t="str">
        <f t="shared" si="62"/>
        <v/>
      </c>
      <c r="BH282" s="4" t="str">
        <f t="shared" si="62"/>
        <v/>
      </c>
      <c r="BI282" s="5" t="str">
        <f t="shared" si="62"/>
        <v/>
      </c>
    </row>
    <row r="283" spans="1:61" x14ac:dyDescent="0.25">
      <c r="A283">
        <v>106395</v>
      </c>
      <c r="B283" t="s">
        <v>14</v>
      </c>
      <c r="C283" t="s">
        <v>16</v>
      </c>
      <c r="D283">
        <v>60505</v>
      </c>
      <c r="E283">
        <v>253</v>
      </c>
      <c r="F283">
        <v>1</v>
      </c>
      <c r="G283">
        <v>20111</v>
      </c>
      <c r="H283" t="s">
        <v>0</v>
      </c>
      <c r="I283">
        <v>30</v>
      </c>
      <c r="J283">
        <v>1</v>
      </c>
      <c r="K283">
        <v>32.25</v>
      </c>
      <c r="L283">
        <v>32.25</v>
      </c>
      <c r="M283">
        <v>0</v>
      </c>
      <c r="N283" s="3">
        <f t="shared" si="63"/>
        <v>1</v>
      </c>
      <c r="O283" s="4" t="str">
        <f t="shared" si="63"/>
        <v/>
      </c>
      <c r="P283" s="4" t="str">
        <f t="shared" si="63"/>
        <v/>
      </c>
      <c r="Q283" s="4" t="str">
        <f t="shared" si="63"/>
        <v/>
      </c>
      <c r="R283" s="4" t="str">
        <f t="shared" si="63"/>
        <v/>
      </c>
      <c r="S283" s="4" t="str">
        <f t="shared" si="63"/>
        <v/>
      </c>
      <c r="T283" s="4" t="str">
        <f t="shared" si="63"/>
        <v/>
      </c>
      <c r="U283" s="4" t="str">
        <f t="shared" si="63"/>
        <v/>
      </c>
      <c r="V283" s="4" t="str">
        <f t="shared" si="60"/>
        <v/>
      </c>
      <c r="W283" s="4" t="str">
        <f t="shared" si="60"/>
        <v/>
      </c>
      <c r="X283" s="4" t="str">
        <f t="shared" si="60"/>
        <v/>
      </c>
      <c r="Y283" s="4" t="str">
        <f t="shared" si="60"/>
        <v/>
      </c>
      <c r="Z283" s="4" t="str">
        <f t="shared" si="60"/>
        <v/>
      </c>
      <c r="AA283" s="4" t="str">
        <f t="shared" si="60"/>
        <v/>
      </c>
      <c r="AB283" s="4" t="str">
        <f t="shared" si="60"/>
        <v/>
      </c>
      <c r="AC283" s="5" t="str">
        <f t="shared" si="60"/>
        <v/>
      </c>
      <c r="AD283" s="3" t="str">
        <f t="shared" si="64"/>
        <v/>
      </c>
      <c r="AE283" s="4" t="str">
        <f t="shared" si="64"/>
        <v/>
      </c>
      <c r="AF283" s="4" t="str">
        <f t="shared" si="64"/>
        <v/>
      </c>
      <c r="AG283" s="4" t="str">
        <f t="shared" si="64"/>
        <v/>
      </c>
      <c r="AH283" s="4" t="str">
        <f t="shared" si="64"/>
        <v/>
      </c>
      <c r="AI283" s="4" t="str">
        <f t="shared" si="64"/>
        <v/>
      </c>
      <c r="AJ283" s="4" t="str">
        <f t="shared" si="64"/>
        <v/>
      </c>
      <c r="AK283" s="4" t="str">
        <f t="shared" si="64"/>
        <v/>
      </c>
      <c r="AL283" s="4" t="str">
        <f t="shared" si="61"/>
        <v/>
      </c>
      <c r="AM283" s="4" t="str">
        <f t="shared" si="61"/>
        <v/>
      </c>
      <c r="AN283" s="4" t="str">
        <f t="shared" si="61"/>
        <v/>
      </c>
      <c r="AO283" s="4" t="str">
        <f t="shared" si="61"/>
        <v/>
      </c>
      <c r="AP283" s="4" t="str">
        <f t="shared" si="61"/>
        <v/>
      </c>
      <c r="AQ283" s="4" t="str">
        <f t="shared" si="61"/>
        <v/>
      </c>
      <c r="AR283" s="4" t="str">
        <f t="shared" si="61"/>
        <v/>
      </c>
      <c r="AS283" s="5" t="str">
        <f t="shared" si="61"/>
        <v/>
      </c>
      <c r="AT283" s="3" t="str">
        <f t="shared" si="65"/>
        <v/>
      </c>
      <c r="AU283" s="4" t="str">
        <f t="shared" si="65"/>
        <v/>
      </c>
      <c r="AV283" s="4" t="str">
        <f t="shared" si="65"/>
        <v/>
      </c>
      <c r="AW283" s="4" t="str">
        <f t="shared" si="65"/>
        <v/>
      </c>
      <c r="AX283" s="4" t="str">
        <f t="shared" si="65"/>
        <v/>
      </c>
      <c r="AY283" s="4" t="str">
        <f t="shared" si="65"/>
        <v/>
      </c>
      <c r="AZ283" s="4" t="str">
        <f t="shared" si="65"/>
        <v/>
      </c>
      <c r="BA283" s="4" t="str">
        <f t="shared" si="65"/>
        <v/>
      </c>
      <c r="BB283" s="4" t="str">
        <f t="shared" si="62"/>
        <v/>
      </c>
      <c r="BC283" s="4" t="str">
        <f t="shared" si="62"/>
        <v/>
      </c>
      <c r="BD283" s="4" t="str">
        <f t="shared" si="62"/>
        <v/>
      </c>
      <c r="BE283" s="4" t="str">
        <f t="shared" si="62"/>
        <v/>
      </c>
      <c r="BF283" s="4" t="str">
        <f t="shared" si="62"/>
        <v/>
      </c>
      <c r="BG283" s="4" t="str">
        <f t="shared" si="62"/>
        <v/>
      </c>
      <c r="BH283" s="4" t="str">
        <f t="shared" si="62"/>
        <v/>
      </c>
      <c r="BI283" s="5" t="str">
        <f t="shared" si="62"/>
        <v/>
      </c>
    </row>
    <row r="284" spans="1:61" x14ac:dyDescent="0.25">
      <c r="A284">
        <v>106396</v>
      </c>
      <c r="B284" t="s">
        <v>14</v>
      </c>
      <c r="C284" t="s">
        <v>16</v>
      </c>
      <c r="D284">
        <v>60505</v>
      </c>
      <c r="E284">
        <v>253</v>
      </c>
      <c r="F284">
        <v>2</v>
      </c>
      <c r="G284">
        <v>20113</v>
      </c>
      <c r="H284" t="s">
        <v>0</v>
      </c>
      <c r="I284">
        <v>60</v>
      </c>
      <c r="J284">
        <v>2</v>
      </c>
      <c r="K284">
        <v>134.97999999999999</v>
      </c>
      <c r="L284">
        <v>134.97999999999999</v>
      </c>
      <c r="M284">
        <v>0</v>
      </c>
      <c r="N284" s="3" t="str">
        <f t="shared" si="63"/>
        <v/>
      </c>
      <c r="O284" s="4" t="str">
        <f t="shared" si="63"/>
        <v/>
      </c>
      <c r="P284" s="4">
        <f t="shared" si="63"/>
        <v>1</v>
      </c>
      <c r="Q284" s="4" t="str">
        <f t="shared" si="63"/>
        <v/>
      </c>
      <c r="R284" s="4" t="str">
        <f t="shared" si="63"/>
        <v/>
      </c>
      <c r="S284" s="4" t="str">
        <f t="shared" si="63"/>
        <v/>
      </c>
      <c r="T284" s="4" t="str">
        <f t="shared" si="63"/>
        <v/>
      </c>
      <c r="U284" s="4" t="str">
        <f t="shared" si="63"/>
        <v/>
      </c>
      <c r="V284" s="4" t="str">
        <f t="shared" si="60"/>
        <v/>
      </c>
      <c r="W284" s="4" t="str">
        <f t="shared" si="60"/>
        <v/>
      </c>
      <c r="X284" s="4" t="str">
        <f t="shared" si="60"/>
        <v/>
      </c>
      <c r="Y284" s="4" t="str">
        <f t="shared" si="60"/>
        <v/>
      </c>
      <c r="Z284" s="4" t="str">
        <f t="shared" si="60"/>
        <v/>
      </c>
      <c r="AA284" s="4" t="str">
        <f t="shared" si="60"/>
        <v/>
      </c>
      <c r="AB284" s="4" t="str">
        <f t="shared" si="60"/>
        <v/>
      </c>
      <c r="AC284" s="5" t="str">
        <f t="shared" si="60"/>
        <v/>
      </c>
      <c r="AD284" s="3" t="str">
        <f t="shared" si="64"/>
        <v/>
      </c>
      <c r="AE284" s="4" t="str">
        <f t="shared" si="64"/>
        <v/>
      </c>
      <c r="AF284" s="4" t="str">
        <f t="shared" si="64"/>
        <v/>
      </c>
      <c r="AG284" s="4" t="str">
        <f t="shared" si="64"/>
        <v/>
      </c>
      <c r="AH284" s="4" t="str">
        <f t="shared" si="64"/>
        <v/>
      </c>
      <c r="AI284" s="4" t="str">
        <f t="shared" si="64"/>
        <v/>
      </c>
      <c r="AJ284" s="4" t="str">
        <f t="shared" si="64"/>
        <v/>
      </c>
      <c r="AK284" s="4" t="str">
        <f t="shared" si="64"/>
        <v/>
      </c>
      <c r="AL284" s="4" t="str">
        <f t="shared" si="61"/>
        <v/>
      </c>
      <c r="AM284" s="4" t="str">
        <f t="shared" si="61"/>
        <v/>
      </c>
      <c r="AN284" s="4" t="str">
        <f t="shared" si="61"/>
        <v/>
      </c>
      <c r="AO284" s="4" t="str">
        <f t="shared" si="61"/>
        <v/>
      </c>
      <c r="AP284" s="4" t="str">
        <f t="shared" si="61"/>
        <v/>
      </c>
      <c r="AQ284" s="4" t="str">
        <f t="shared" si="61"/>
        <v/>
      </c>
      <c r="AR284" s="4" t="str">
        <f t="shared" si="61"/>
        <v/>
      </c>
      <c r="AS284" s="5" t="str">
        <f t="shared" si="61"/>
        <v/>
      </c>
      <c r="AT284" s="3" t="str">
        <f t="shared" si="65"/>
        <v/>
      </c>
      <c r="AU284" s="4" t="str">
        <f t="shared" si="65"/>
        <v/>
      </c>
      <c r="AV284" s="4" t="str">
        <f t="shared" si="65"/>
        <v/>
      </c>
      <c r="AW284" s="4" t="str">
        <f t="shared" si="65"/>
        <v/>
      </c>
      <c r="AX284" s="4" t="str">
        <f t="shared" si="65"/>
        <v/>
      </c>
      <c r="AY284" s="4" t="str">
        <f t="shared" si="65"/>
        <v/>
      </c>
      <c r="AZ284" s="4" t="str">
        <f t="shared" si="65"/>
        <v/>
      </c>
      <c r="BA284" s="4" t="str">
        <f t="shared" si="65"/>
        <v/>
      </c>
      <c r="BB284" s="4" t="str">
        <f t="shared" si="62"/>
        <v/>
      </c>
      <c r="BC284" s="4" t="str">
        <f t="shared" si="62"/>
        <v/>
      </c>
      <c r="BD284" s="4" t="str">
        <f t="shared" si="62"/>
        <v/>
      </c>
      <c r="BE284" s="4" t="str">
        <f t="shared" si="62"/>
        <v/>
      </c>
      <c r="BF284" s="4" t="str">
        <f t="shared" si="62"/>
        <v/>
      </c>
      <c r="BG284" s="4" t="str">
        <f t="shared" si="62"/>
        <v/>
      </c>
      <c r="BH284" s="4" t="str">
        <f t="shared" si="62"/>
        <v/>
      </c>
      <c r="BI284" s="5" t="str">
        <f t="shared" si="62"/>
        <v/>
      </c>
    </row>
    <row r="285" spans="1:61" x14ac:dyDescent="0.25">
      <c r="A285">
        <v>336317</v>
      </c>
      <c r="B285" t="s">
        <v>14</v>
      </c>
      <c r="C285" t="s">
        <v>16</v>
      </c>
      <c r="D285">
        <v>60505</v>
      </c>
      <c r="E285">
        <v>253</v>
      </c>
      <c r="F285">
        <v>1</v>
      </c>
      <c r="G285">
        <v>20122</v>
      </c>
      <c r="H285" t="s">
        <v>17</v>
      </c>
      <c r="I285">
        <v>4812</v>
      </c>
      <c r="J285">
        <v>152</v>
      </c>
      <c r="K285">
        <v>13366.72</v>
      </c>
      <c r="L285">
        <v>13310.47</v>
      </c>
      <c r="M285">
        <v>56.25</v>
      </c>
      <c r="N285" s="3" t="str">
        <f t="shared" si="63"/>
        <v/>
      </c>
      <c r="O285" s="4" t="str">
        <f t="shared" si="63"/>
        <v/>
      </c>
      <c r="P285" s="4" t="str">
        <f t="shared" si="63"/>
        <v/>
      </c>
      <c r="Q285" s="4" t="str">
        <f t="shared" si="63"/>
        <v/>
      </c>
      <c r="R285" s="4" t="str">
        <f t="shared" si="63"/>
        <v/>
      </c>
      <c r="S285" s="4" t="str">
        <f t="shared" si="63"/>
        <v/>
      </c>
      <c r="T285" s="4" t="str">
        <f t="shared" si="63"/>
        <v/>
      </c>
      <c r="U285" s="4" t="str">
        <f t="shared" si="63"/>
        <v/>
      </c>
      <c r="V285" s="4" t="str">
        <f t="shared" si="60"/>
        <v/>
      </c>
      <c r="W285" s="4" t="str">
        <f t="shared" si="60"/>
        <v/>
      </c>
      <c r="X285" s="4" t="str">
        <f t="shared" si="60"/>
        <v/>
      </c>
      <c r="Y285" s="4" t="str">
        <f t="shared" si="60"/>
        <v/>
      </c>
      <c r="Z285" s="4" t="str">
        <f t="shared" si="60"/>
        <v/>
      </c>
      <c r="AA285" s="4" t="str">
        <f t="shared" si="60"/>
        <v/>
      </c>
      <c r="AB285" s="4" t="str">
        <f t="shared" si="60"/>
        <v/>
      </c>
      <c r="AC285" s="5" t="str">
        <f t="shared" si="60"/>
        <v/>
      </c>
      <c r="AD285" s="3" t="str">
        <f t="shared" si="64"/>
        <v/>
      </c>
      <c r="AE285" s="4" t="str">
        <f t="shared" si="64"/>
        <v/>
      </c>
      <c r="AF285" s="4" t="str">
        <f t="shared" si="64"/>
        <v/>
      </c>
      <c r="AG285" s="4" t="str">
        <f t="shared" si="64"/>
        <v/>
      </c>
      <c r="AH285" s="4" t="str">
        <f t="shared" si="64"/>
        <v/>
      </c>
      <c r="AI285" s="4" t="str">
        <f t="shared" si="64"/>
        <v/>
      </c>
      <c r="AJ285" s="4" t="str">
        <f t="shared" si="64"/>
        <v/>
      </c>
      <c r="AK285" s="4" t="str">
        <f t="shared" si="64"/>
        <v/>
      </c>
      <c r="AL285" s="4" t="str">
        <f t="shared" si="61"/>
        <v/>
      </c>
      <c r="AM285" s="4" t="str">
        <f t="shared" si="61"/>
        <v/>
      </c>
      <c r="AN285" s="4" t="str">
        <f t="shared" si="61"/>
        <v/>
      </c>
      <c r="AO285" s="4" t="str">
        <f t="shared" si="61"/>
        <v/>
      </c>
      <c r="AP285" s="4" t="str">
        <f t="shared" si="61"/>
        <v/>
      </c>
      <c r="AQ285" s="4" t="str">
        <f t="shared" si="61"/>
        <v/>
      </c>
      <c r="AR285" s="4" t="str">
        <f t="shared" si="61"/>
        <v/>
      </c>
      <c r="AS285" s="5" t="str">
        <f t="shared" si="61"/>
        <v/>
      </c>
      <c r="AT285" s="3" t="str">
        <f t="shared" si="65"/>
        <v/>
      </c>
      <c r="AU285" s="4" t="str">
        <f t="shared" si="65"/>
        <v/>
      </c>
      <c r="AV285" s="4" t="str">
        <f t="shared" si="65"/>
        <v/>
      </c>
      <c r="AW285" s="4" t="str">
        <f t="shared" si="65"/>
        <v/>
      </c>
      <c r="AX285" s="4" t="str">
        <f t="shared" si="65"/>
        <v/>
      </c>
      <c r="AY285" s="4" t="str">
        <f t="shared" si="65"/>
        <v/>
      </c>
      <c r="AZ285" s="4" t="str">
        <f t="shared" si="65"/>
        <v/>
      </c>
      <c r="BA285" s="4" t="str">
        <f t="shared" si="65"/>
        <v/>
      </c>
      <c r="BB285" s="4" t="str">
        <f t="shared" si="62"/>
        <v/>
      </c>
      <c r="BC285" s="4" t="str">
        <f t="shared" si="62"/>
        <v/>
      </c>
      <c r="BD285" s="4" t="str">
        <f t="shared" si="62"/>
        <v/>
      </c>
      <c r="BE285" s="4" t="str">
        <f t="shared" si="62"/>
        <v/>
      </c>
      <c r="BF285" s="4" t="str">
        <f t="shared" si="62"/>
        <v/>
      </c>
      <c r="BG285" s="4" t="str">
        <f t="shared" si="62"/>
        <v/>
      </c>
      <c r="BH285" s="4" t="str">
        <f t="shared" si="62"/>
        <v/>
      </c>
      <c r="BI285" s="5" t="str">
        <f t="shared" si="62"/>
        <v/>
      </c>
    </row>
    <row r="286" spans="1:61" x14ac:dyDescent="0.25">
      <c r="A286">
        <v>336318</v>
      </c>
      <c r="B286" t="s">
        <v>14</v>
      </c>
      <c r="C286" t="s">
        <v>16</v>
      </c>
      <c r="D286">
        <v>60505</v>
      </c>
      <c r="E286">
        <v>253</v>
      </c>
      <c r="F286">
        <v>1</v>
      </c>
      <c r="G286">
        <v>20123</v>
      </c>
      <c r="H286" t="s">
        <v>0</v>
      </c>
      <c r="I286">
        <v>15818</v>
      </c>
      <c r="J286">
        <v>509</v>
      </c>
      <c r="K286">
        <v>9090.61</v>
      </c>
      <c r="L286">
        <v>8939.66</v>
      </c>
      <c r="M286">
        <v>150.94999999999999</v>
      </c>
      <c r="N286" s="3" t="str">
        <f t="shared" si="63"/>
        <v/>
      </c>
      <c r="O286" s="4" t="str">
        <f t="shared" si="63"/>
        <v/>
      </c>
      <c r="P286" s="4" t="str">
        <f t="shared" si="63"/>
        <v/>
      </c>
      <c r="Q286" s="4" t="str">
        <f t="shared" si="63"/>
        <v/>
      </c>
      <c r="R286" s="4" t="str">
        <f t="shared" si="63"/>
        <v/>
      </c>
      <c r="S286" s="4" t="str">
        <f t="shared" si="63"/>
        <v/>
      </c>
      <c r="T286" s="4" t="str">
        <f t="shared" si="63"/>
        <v/>
      </c>
      <c r="U286" s="4" t="str">
        <f t="shared" si="63"/>
        <v/>
      </c>
      <c r="V286" s="4" t="str">
        <f t="shared" si="60"/>
        <v/>
      </c>
      <c r="W286" s="4" t="str">
        <f t="shared" si="60"/>
        <v/>
      </c>
      <c r="X286" s="4" t="str">
        <f t="shared" si="60"/>
        <v/>
      </c>
      <c r="Y286" s="4" t="str">
        <f t="shared" si="60"/>
        <v/>
      </c>
      <c r="Z286" s="4" t="str">
        <f t="shared" si="60"/>
        <v/>
      </c>
      <c r="AA286" s="4" t="str">
        <f t="shared" si="60"/>
        <v/>
      </c>
      <c r="AB286" s="4" t="str">
        <f t="shared" si="60"/>
        <v/>
      </c>
      <c r="AC286" s="5" t="str">
        <f t="shared" si="60"/>
        <v/>
      </c>
      <c r="AD286" s="3" t="str">
        <f t="shared" si="64"/>
        <v/>
      </c>
      <c r="AE286" s="4" t="str">
        <f t="shared" si="64"/>
        <v/>
      </c>
      <c r="AF286" s="4">
        <f t="shared" si="64"/>
        <v>1</v>
      </c>
      <c r="AG286" s="4" t="str">
        <f t="shared" si="64"/>
        <v/>
      </c>
      <c r="AH286" s="4" t="str">
        <f t="shared" si="64"/>
        <v/>
      </c>
      <c r="AI286" s="4" t="str">
        <f t="shared" si="64"/>
        <v/>
      </c>
      <c r="AJ286" s="4" t="str">
        <f t="shared" si="64"/>
        <v/>
      </c>
      <c r="AK286" s="4" t="str">
        <f t="shared" si="64"/>
        <v/>
      </c>
      <c r="AL286" s="4" t="str">
        <f t="shared" si="61"/>
        <v/>
      </c>
      <c r="AM286" s="4" t="str">
        <f t="shared" si="61"/>
        <v/>
      </c>
      <c r="AN286" s="4" t="str">
        <f t="shared" si="61"/>
        <v/>
      </c>
      <c r="AO286" s="4" t="str">
        <f t="shared" si="61"/>
        <v/>
      </c>
      <c r="AP286" s="4" t="str">
        <f t="shared" si="61"/>
        <v/>
      </c>
      <c r="AQ286" s="4" t="str">
        <f t="shared" si="61"/>
        <v/>
      </c>
      <c r="AR286" s="4" t="str">
        <f t="shared" si="61"/>
        <v/>
      </c>
      <c r="AS286" s="5" t="str">
        <f t="shared" si="61"/>
        <v/>
      </c>
      <c r="AT286" s="3" t="str">
        <f t="shared" si="65"/>
        <v/>
      </c>
      <c r="AU286" s="4" t="str">
        <f t="shared" si="65"/>
        <v/>
      </c>
      <c r="AV286" s="4" t="str">
        <f t="shared" si="65"/>
        <v/>
      </c>
      <c r="AW286" s="4" t="str">
        <f t="shared" si="65"/>
        <v/>
      </c>
      <c r="AX286" s="4" t="str">
        <f t="shared" si="65"/>
        <v/>
      </c>
      <c r="AY286" s="4" t="str">
        <f t="shared" si="65"/>
        <v/>
      </c>
      <c r="AZ286" s="4" t="str">
        <f t="shared" si="65"/>
        <v/>
      </c>
      <c r="BA286" s="4" t="str">
        <f t="shared" si="65"/>
        <v/>
      </c>
      <c r="BB286" s="4" t="str">
        <f t="shared" si="62"/>
        <v/>
      </c>
      <c r="BC286" s="4" t="str">
        <f t="shared" si="62"/>
        <v/>
      </c>
      <c r="BD286" s="4" t="str">
        <f t="shared" si="62"/>
        <v/>
      </c>
      <c r="BE286" s="4" t="str">
        <f t="shared" si="62"/>
        <v/>
      </c>
      <c r="BF286" s="4" t="str">
        <f t="shared" si="62"/>
        <v/>
      </c>
      <c r="BG286" s="4" t="str">
        <f t="shared" si="62"/>
        <v/>
      </c>
      <c r="BH286" s="4" t="str">
        <f t="shared" si="62"/>
        <v/>
      </c>
      <c r="BI286" s="5" t="str">
        <f t="shared" si="62"/>
        <v/>
      </c>
    </row>
    <row r="287" spans="1:61" x14ac:dyDescent="0.25">
      <c r="A287">
        <v>336319</v>
      </c>
      <c r="B287" t="s">
        <v>14</v>
      </c>
      <c r="C287" t="s">
        <v>16</v>
      </c>
      <c r="D287">
        <v>60505</v>
      </c>
      <c r="E287">
        <v>253</v>
      </c>
      <c r="F287">
        <v>1</v>
      </c>
      <c r="G287">
        <v>20124</v>
      </c>
      <c r="H287" t="s">
        <v>0</v>
      </c>
      <c r="I287">
        <v>15652</v>
      </c>
      <c r="J287">
        <v>503</v>
      </c>
      <c r="K287">
        <v>7206.6</v>
      </c>
      <c r="L287">
        <v>7080.4</v>
      </c>
      <c r="M287">
        <v>126.2</v>
      </c>
      <c r="N287" s="3" t="str">
        <f t="shared" si="63"/>
        <v/>
      </c>
      <c r="O287" s="4" t="str">
        <f t="shared" si="63"/>
        <v/>
      </c>
      <c r="P287" s="4" t="str">
        <f t="shared" si="63"/>
        <v/>
      </c>
      <c r="Q287" s="4" t="str">
        <f t="shared" si="63"/>
        <v/>
      </c>
      <c r="R287" s="4" t="str">
        <f t="shared" si="63"/>
        <v/>
      </c>
      <c r="S287" s="4" t="str">
        <f t="shared" si="63"/>
        <v/>
      </c>
      <c r="T287" s="4" t="str">
        <f t="shared" si="63"/>
        <v/>
      </c>
      <c r="U287" s="4" t="str">
        <f t="shared" si="63"/>
        <v/>
      </c>
      <c r="V287" s="4" t="str">
        <f t="shared" si="60"/>
        <v/>
      </c>
      <c r="W287" s="4" t="str">
        <f t="shared" si="60"/>
        <v/>
      </c>
      <c r="X287" s="4" t="str">
        <f t="shared" si="60"/>
        <v/>
      </c>
      <c r="Y287" s="4" t="str">
        <f t="shared" si="60"/>
        <v/>
      </c>
      <c r="Z287" s="4" t="str">
        <f t="shared" si="60"/>
        <v/>
      </c>
      <c r="AA287" s="4" t="str">
        <f t="shared" si="60"/>
        <v/>
      </c>
      <c r="AB287" s="4" t="str">
        <f t="shared" si="60"/>
        <v/>
      </c>
      <c r="AC287" s="5" t="str">
        <f t="shared" si="60"/>
        <v/>
      </c>
      <c r="AD287" s="3" t="str">
        <f t="shared" si="64"/>
        <v/>
      </c>
      <c r="AE287" s="4" t="str">
        <f t="shared" si="64"/>
        <v/>
      </c>
      <c r="AF287" s="4" t="str">
        <f t="shared" si="64"/>
        <v/>
      </c>
      <c r="AG287" s="4">
        <f t="shared" si="64"/>
        <v>1</v>
      </c>
      <c r="AH287" s="4" t="str">
        <f t="shared" si="64"/>
        <v/>
      </c>
      <c r="AI287" s="4" t="str">
        <f t="shared" si="64"/>
        <v/>
      </c>
      <c r="AJ287" s="4" t="str">
        <f t="shared" si="64"/>
        <v/>
      </c>
      <c r="AK287" s="4" t="str">
        <f t="shared" si="64"/>
        <v/>
      </c>
      <c r="AL287" s="4" t="str">
        <f t="shared" si="61"/>
        <v/>
      </c>
      <c r="AM287" s="4" t="str">
        <f t="shared" si="61"/>
        <v/>
      </c>
      <c r="AN287" s="4" t="str">
        <f t="shared" si="61"/>
        <v/>
      </c>
      <c r="AO287" s="4" t="str">
        <f t="shared" si="61"/>
        <v/>
      </c>
      <c r="AP287" s="4" t="str">
        <f t="shared" si="61"/>
        <v/>
      </c>
      <c r="AQ287" s="4" t="str">
        <f t="shared" si="61"/>
        <v/>
      </c>
      <c r="AR287" s="4" t="str">
        <f t="shared" si="61"/>
        <v/>
      </c>
      <c r="AS287" s="5" t="str">
        <f t="shared" si="61"/>
        <v/>
      </c>
      <c r="AT287" s="3" t="str">
        <f t="shared" si="65"/>
        <v/>
      </c>
      <c r="AU287" s="4" t="str">
        <f t="shared" si="65"/>
        <v/>
      </c>
      <c r="AV287" s="4" t="str">
        <f t="shared" si="65"/>
        <v/>
      </c>
      <c r="AW287" s="4" t="str">
        <f t="shared" si="65"/>
        <v/>
      </c>
      <c r="AX287" s="4" t="str">
        <f t="shared" si="65"/>
        <v/>
      </c>
      <c r="AY287" s="4" t="str">
        <f t="shared" si="65"/>
        <v/>
      </c>
      <c r="AZ287" s="4" t="str">
        <f t="shared" si="65"/>
        <v/>
      </c>
      <c r="BA287" s="4" t="str">
        <f t="shared" si="65"/>
        <v/>
      </c>
      <c r="BB287" s="4" t="str">
        <f t="shared" si="62"/>
        <v/>
      </c>
      <c r="BC287" s="4" t="str">
        <f t="shared" si="62"/>
        <v/>
      </c>
      <c r="BD287" s="4" t="str">
        <f t="shared" si="62"/>
        <v/>
      </c>
      <c r="BE287" s="4" t="str">
        <f t="shared" si="62"/>
        <v/>
      </c>
      <c r="BF287" s="4" t="str">
        <f t="shared" si="62"/>
        <v/>
      </c>
      <c r="BG287" s="4" t="str">
        <f t="shared" si="62"/>
        <v/>
      </c>
      <c r="BH287" s="4" t="str">
        <f t="shared" si="62"/>
        <v/>
      </c>
      <c r="BI287" s="5" t="str">
        <f t="shared" si="62"/>
        <v/>
      </c>
    </row>
    <row r="288" spans="1:61" x14ac:dyDescent="0.25">
      <c r="A288">
        <v>336320</v>
      </c>
      <c r="B288" t="s">
        <v>14</v>
      </c>
      <c r="C288" t="s">
        <v>16</v>
      </c>
      <c r="D288">
        <v>60505</v>
      </c>
      <c r="E288">
        <v>253</v>
      </c>
      <c r="F288">
        <v>2</v>
      </c>
      <c r="G288">
        <v>20122</v>
      </c>
      <c r="H288" t="s">
        <v>0</v>
      </c>
      <c r="I288">
        <v>15565</v>
      </c>
      <c r="J288">
        <v>503</v>
      </c>
      <c r="K288">
        <v>31048.43</v>
      </c>
      <c r="L288">
        <v>30233.11</v>
      </c>
      <c r="M288">
        <v>815.32</v>
      </c>
      <c r="N288" s="3" t="str">
        <f t="shared" si="63"/>
        <v/>
      </c>
      <c r="O288" s="4" t="str">
        <f t="shared" si="63"/>
        <v/>
      </c>
      <c r="P288" s="4" t="str">
        <f t="shared" si="63"/>
        <v/>
      </c>
      <c r="Q288" s="4" t="str">
        <f t="shared" si="63"/>
        <v/>
      </c>
      <c r="R288" s="4" t="str">
        <f t="shared" si="63"/>
        <v/>
      </c>
      <c r="S288" s="4" t="str">
        <f t="shared" si="63"/>
        <v/>
      </c>
      <c r="T288" s="4" t="str">
        <f t="shared" si="63"/>
        <v/>
      </c>
      <c r="U288" s="4" t="str">
        <f t="shared" si="63"/>
        <v/>
      </c>
      <c r="V288" s="4" t="str">
        <f t="shared" si="60"/>
        <v/>
      </c>
      <c r="W288" s="4" t="str">
        <f t="shared" si="60"/>
        <v/>
      </c>
      <c r="X288" s="4" t="str">
        <f t="shared" si="60"/>
        <v/>
      </c>
      <c r="Y288" s="4" t="str">
        <f t="shared" si="60"/>
        <v/>
      </c>
      <c r="Z288" s="4" t="str">
        <f t="shared" si="60"/>
        <v/>
      </c>
      <c r="AA288" s="4" t="str">
        <f t="shared" si="60"/>
        <v/>
      </c>
      <c r="AB288" s="4" t="str">
        <f t="shared" si="60"/>
        <v/>
      </c>
      <c r="AC288" s="5" t="str">
        <f t="shared" si="60"/>
        <v/>
      </c>
      <c r="AD288" s="3" t="str">
        <f t="shared" si="64"/>
        <v/>
      </c>
      <c r="AE288" s="4">
        <f t="shared" si="64"/>
        <v>1</v>
      </c>
      <c r="AF288" s="4" t="str">
        <f t="shared" si="64"/>
        <v/>
      </c>
      <c r="AG288" s="4" t="str">
        <f t="shared" si="64"/>
        <v/>
      </c>
      <c r="AH288" s="4" t="str">
        <f t="shared" si="64"/>
        <v/>
      </c>
      <c r="AI288" s="4" t="str">
        <f t="shared" si="64"/>
        <v/>
      </c>
      <c r="AJ288" s="4" t="str">
        <f t="shared" si="64"/>
        <v/>
      </c>
      <c r="AK288" s="4" t="str">
        <f t="shared" si="64"/>
        <v/>
      </c>
      <c r="AL288" s="4" t="str">
        <f t="shared" si="61"/>
        <v/>
      </c>
      <c r="AM288" s="4" t="str">
        <f t="shared" si="61"/>
        <v/>
      </c>
      <c r="AN288" s="4" t="str">
        <f t="shared" si="61"/>
        <v/>
      </c>
      <c r="AO288" s="4" t="str">
        <f t="shared" si="61"/>
        <v/>
      </c>
      <c r="AP288" s="4" t="str">
        <f t="shared" si="61"/>
        <v/>
      </c>
      <c r="AQ288" s="4" t="str">
        <f t="shared" si="61"/>
        <v/>
      </c>
      <c r="AR288" s="4" t="str">
        <f t="shared" si="61"/>
        <v/>
      </c>
      <c r="AS288" s="5" t="str">
        <f t="shared" si="61"/>
        <v/>
      </c>
      <c r="AT288" s="3" t="str">
        <f t="shared" si="65"/>
        <v/>
      </c>
      <c r="AU288" s="4" t="str">
        <f t="shared" si="65"/>
        <v/>
      </c>
      <c r="AV288" s="4" t="str">
        <f t="shared" si="65"/>
        <v/>
      </c>
      <c r="AW288" s="4" t="str">
        <f t="shared" si="65"/>
        <v/>
      </c>
      <c r="AX288" s="4" t="str">
        <f t="shared" si="65"/>
        <v/>
      </c>
      <c r="AY288" s="4" t="str">
        <f t="shared" si="65"/>
        <v/>
      </c>
      <c r="AZ288" s="4" t="str">
        <f t="shared" si="65"/>
        <v/>
      </c>
      <c r="BA288" s="4" t="str">
        <f t="shared" si="65"/>
        <v/>
      </c>
      <c r="BB288" s="4" t="str">
        <f t="shared" si="62"/>
        <v/>
      </c>
      <c r="BC288" s="4" t="str">
        <f t="shared" si="62"/>
        <v/>
      </c>
      <c r="BD288" s="4" t="str">
        <f t="shared" si="62"/>
        <v/>
      </c>
      <c r="BE288" s="4" t="str">
        <f t="shared" si="62"/>
        <v/>
      </c>
      <c r="BF288" s="4" t="str">
        <f t="shared" si="62"/>
        <v/>
      </c>
      <c r="BG288" s="4" t="str">
        <f t="shared" si="62"/>
        <v/>
      </c>
      <c r="BH288" s="4" t="str">
        <f t="shared" si="62"/>
        <v/>
      </c>
      <c r="BI288" s="5" t="str">
        <f t="shared" si="62"/>
        <v/>
      </c>
    </row>
    <row r="289" spans="1:61" x14ac:dyDescent="0.25">
      <c r="A289">
        <v>336321</v>
      </c>
      <c r="B289" t="s">
        <v>14</v>
      </c>
      <c r="C289" t="s">
        <v>16</v>
      </c>
      <c r="D289">
        <v>60505</v>
      </c>
      <c r="E289">
        <v>253</v>
      </c>
      <c r="F289">
        <v>2</v>
      </c>
      <c r="G289">
        <v>20123</v>
      </c>
      <c r="H289" t="s">
        <v>0</v>
      </c>
      <c r="I289">
        <v>71179.001000000004</v>
      </c>
      <c r="J289">
        <v>2331</v>
      </c>
      <c r="K289">
        <v>54817.11</v>
      </c>
      <c r="L289">
        <v>52166.23</v>
      </c>
      <c r="M289">
        <v>2650.88</v>
      </c>
      <c r="N289" s="3" t="str">
        <f t="shared" si="63"/>
        <v/>
      </c>
      <c r="O289" s="4" t="str">
        <f t="shared" si="63"/>
        <v/>
      </c>
      <c r="P289" s="4" t="str">
        <f t="shared" si="63"/>
        <v/>
      </c>
      <c r="Q289" s="4" t="str">
        <f t="shared" si="63"/>
        <v/>
      </c>
      <c r="R289" s="4" t="str">
        <f t="shared" si="63"/>
        <v/>
      </c>
      <c r="S289" s="4" t="str">
        <f t="shared" si="63"/>
        <v/>
      </c>
      <c r="T289" s="4" t="str">
        <f t="shared" si="63"/>
        <v/>
      </c>
      <c r="U289" s="4" t="str">
        <f t="shared" si="63"/>
        <v/>
      </c>
      <c r="V289" s="4" t="str">
        <f t="shared" si="60"/>
        <v/>
      </c>
      <c r="W289" s="4" t="str">
        <f t="shared" si="60"/>
        <v/>
      </c>
      <c r="X289" s="4" t="str">
        <f t="shared" si="60"/>
        <v/>
      </c>
      <c r="Y289" s="4" t="str">
        <f t="shared" si="60"/>
        <v/>
      </c>
      <c r="Z289" s="4" t="str">
        <f t="shared" si="60"/>
        <v/>
      </c>
      <c r="AA289" s="4" t="str">
        <f t="shared" si="60"/>
        <v/>
      </c>
      <c r="AB289" s="4" t="str">
        <f t="shared" si="60"/>
        <v/>
      </c>
      <c r="AC289" s="5" t="str">
        <f t="shared" si="60"/>
        <v/>
      </c>
      <c r="AD289" s="3" t="str">
        <f t="shared" si="64"/>
        <v/>
      </c>
      <c r="AE289" s="4" t="str">
        <f t="shared" si="64"/>
        <v/>
      </c>
      <c r="AF289" s="4">
        <f t="shared" si="64"/>
        <v>1</v>
      </c>
      <c r="AG289" s="4" t="str">
        <f t="shared" si="64"/>
        <v/>
      </c>
      <c r="AH289" s="4" t="str">
        <f t="shared" si="64"/>
        <v/>
      </c>
      <c r="AI289" s="4" t="str">
        <f t="shared" si="64"/>
        <v/>
      </c>
      <c r="AJ289" s="4" t="str">
        <f t="shared" si="64"/>
        <v/>
      </c>
      <c r="AK289" s="4" t="str">
        <f t="shared" si="64"/>
        <v/>
      </c>
      <c r="AL289" s="4" t="str">
        <f t="shared" si="61"/>
        <v/>
      </c>
      <c r="AM289" s="4" t="str">
        <f t="shared" si="61"/>
        <v/>
      </c>
      <c r="AN289" s="4" t="str">
        <f t="shared" si="61"/>
        <v/>
      </c>
      <c r="AO289" s="4" t="str">
        <f t="shared" si="61"/>
        <v/>
      </c>
      <c r="AP289" s="4" t="str">
        <f t="shared" si="61"/>
        <v/>
      </c>
      <c r="AQ289" s="4" t="str">
        <f t="shared" si="61"/>
        <v/>
      </c>
      <c r="AR289" s="4" t="str">
        <f t="shared" si="61"/>
        <v/>
      </c>
      <c r="AS289" s="5" t="str">
        <f t="shared" si="61"/>
        <v/>
      </c>
      <c r="AT289" s="3" t="str">
        <f t="shared" si="65"/>
        <v/>
      </c>
      <c r="AU289" s="4" t="str">
        <f t="shared" si="65"/>
        <v/>
      </c>
      <c r="AV289" s="4" t="str">
        <f t="shared" si="65"/>
        <v/>
      </c>
      <c r="AW289" s="4" t="str">
        <f t="shared" si="65"/>
        <v/>
      </c>
      <c r="AX289" s="4" t="str">
        <f t="shared" si="65"/>
        <v/>
      </c>
      <c r="AY289" s="4" t="str">
        <f t="shared" si="65"/>
        <v/>
      </c>
      <c r="AZ289" s="4" t="str">
        <f t="shared" si="65"/>
        <v/>
      </c>
      <c r="BA289" s="4" t="str">
        <f t="shared" si="65"/>
        <v/>
      </c>
      <c r="BB289" s="4" t="str">
        <f t="shared" si="62"/>
        <v/>
      </c>
      <c r="BC289" s="4" t="str">
        <f t="shared" si="62"/>
        <v/>
      </c>
      <c r="BD289" s="4" t="str">
        <f t="shared" si="62"/>
        <v/>
      </c>
      <c r="BE289" s="4" t="str">
        <f t="shared" si="62"/>
        <v/>
      </c>
      <c r="BF289" s="4" t="str">
        <f t="shared" si="62"/>
        <v/>
      </c>
      <c r="BG289" s="4" t="str">
        <f t="shared" si="62"/>
        <v/>
      </c>
      <c r="BH289" s="4" t="str">
        <f t="shared" si="62"/>
        <v/>
      </c>
      <c r="BI289" s="5" t="str">
        <f t="shared" si="62"/>
        <v/>
      </c>
    </row>
    <row r="290" spans="1:61" x14ac:dyDescent="0.25">
      <c r="A290">
        <v>336322</v>
      </c>
      <c r="B290" t="s">
        <v>14</v>
      </c>
      <c r="C290" t="s">
        <v>16</v>
      </c>
      <c r="D290">
        <v>60505</v>
      </c>
      <c r="E290">
        <v>253</v>
      </c>
      <c r="F290">
        <v>2</v>
      </c>
      <c r="G290">
        <v>20124</v>
      </c>
      <c r="H290" t="s">
        <v>0</v>
      </c>
      <c r="I290">
        <v>71343</v>
      </c>
      <c r="J290">
        <v>2316</v>
      </c>
      <c r="K290">
        <v>44237.96</v>
      </c>
      <c r="L290">
        <v>42125.72</v>
      </c>
      <c r="M290">
        <v>2112.2399999999998</v>
      </c>
      <c r="N290" s="3" t="str">
        <f t="shared" si="63"/>
        <v/>
      </c>
      <c r="O290" s="4" t="str">
        <f t="shared" si="63"/>
        <v/>
      </c>
      <c r="P290" s="4" t="str">
        <f t="shared" si="63"/>
        <v/>
      </c>
      <c r="Q290" s="4" t="str">
        <f t="shared" si="63"/>
        <v/>
      </c>
      <c r="R290" s="4" t="str">
        <f t="shared" si="63"/>
        <v/>
      </c>
      <c r="S290" s="4" t="str">
        <f t="shared" si="63"/>
        <v/>
      </c>
      <c r="T290" s="4" t="str">
        <f t="shared" si="63"/>
        <v/>
      </c>
      <c r="U290" s="4" t="str">
        <f t="shared" si="63"/>
        <v/>
      </c>
      <c r="V290" s="4" t="str">
        <f t="shared" si="60"/>
        <v/>
      </c>
      <c r="W290" s="4" t="str">
        <f t="shared" si="60"/>
        <v/>
      </c>
      <c r="X290" s="4" t="str">
        <f t="shared" si="60"/>
        <v/>
      </c>
      <c r="Y290" s="4" t="str">
        <f t="shared" si="60"/>
        <v/>
      </c>
      <c r="Z290" s="4" t="str">
        <f t="shared" si="60"/>
        <v/>
      </c>
      <c r="AA290" s="4" t="str">
        <f t="shared" si="60"/>
        <v/>
      </c>
      <c r="AB290" s="4" t="str">
        <f t="shared" si="60"/>
        <v/>
      </c>
      <c r="AC290" s="5" t="str">
        <f t="shared" si="60"/>
        <v/>
      </c>
      <c r="AD290" s="3" t="str">
        <f t="shared" si="64"/>
        <v/>
      </c>
      <c r="AE290" s="4" t="str">
        <f t="shared" si="64"/>
        <v/>
      </c>
      <c r="AF290" s="4" t="str">
        <f t="shared" si="64"/>
        <v/>
      </c>
      <c r="AG290" s="4">
        <f t="shared" si="64"/>
        <v>1</v>
      </c>
      <c r="AH290" s="4" t="str">
        <f t="shared" si="64"/>
        <v/>
      </c>
      <c r="AI290" s="4" t="str">
        <f t="shared" si="64"/>
        <v/>
      </c>
      <c r="AJ290" s="4" t="str">
        <f t="shared" si="64"/>
        <v/>
      </c>
      <c r="AK290" s="4" t="str">
        <f t="shared" si="64"/>
        <v/>
      </c>
      <c r="AL290" s="4" t="str">
        <f t="shared" si="61"/>
        <v/>
      </c>
      <c r="AM290" s="4" t="str">
        <f t="shared" si="61"/>
        <v/>
      </c>
      <c r="AN290" s="4" t="str">
        <f t="shared" si="61"/>
        <v/>
      </c>
      <c r="AO290" s="4" t="str">
        <f t="shared" si="61"/>
        <v/>
      </c>
      <c r="AP290" s="4" t="str">
        <f t="shared" si="61"/>
        <v/>
      </c>
      <c r="AQ290" s="4" t="str">
        <f t="shared" si="61"/>
        <v/>
      </c>
      <c r="AR290" s="4" t="str">
        <f t="shared" si="61"/>
        <v/>
      </c>
      <c r="AS290" s="5" t="str">
        <f t="shared" si="61"/>
        <v/>
      </c>
      <c r="AT290" s="3" t="str">
        <f t="shared" si="65"/>
        <v/>
      </c>
      <c r="AU290" s="4" t="str">
        <f t="shared" si="65"/>
        <v/>
      </c>
      <c r="AV290" s="4" t="str">
        <f t="shared" si="65"/>
        <v/>
      </c>
      <c r="AW290" s="4" t="str">
        <f t="shared" si="65"/>
        <v/>
      </c>
      <c r="AX290" s="4" t="str">
        <f t="shared" si="65"/>
        <v/>
      </c>
      <c r="AY290" s="4" t="str">
        <f t="shared" si="65"/>
        <v/>
      </c>
      <c r="AZ290" s="4" t="str">
        <f t="shared" si="65"/>
        <v/>
      </c>
      <c r="BA290" s="4" t="str">
        <f t="shared" si="65"/>
        <v/>
      </c>
      <c r="BB290" s="4" t="str">
        <f t="shared" si="62"/>
        <v/>
      </c>
      <c r="BC290" s="4" t="str">
        <f t="shared" si="62"/>
        <v/>
      </c>
      <c r="BD290" s="4" t="str">
        <f t="shared" si="62"/>
        <v/>
      </c>
      <c r="BE290" s="4" t="str">
        <f t="shared" si="62"/>
        <v/>
      </c>
      <c r="BF290" s="4" t="str">
        <f t="shared" si="62"/>
        <v/>
      </c>
      <c r="BG290" s="4" t="str">
        <f t="shared" si="62"/>
        <v/>
      </c>
      <c r="BH290" s="4" t="str">
        <f t="shared" si="62"/>
        <v/>
      </c>
      <c r="BI290" s="5" t="str">
        <f t="shared" si="62"/>
        <v/>
      </c>
    </row>
    <row r="291" spans="1:61" x14ac:dyDescent="0.25">
      <c r="A291">
        <v>336323</v>
      </c>
      <c r="B291" t="s">
        <v>14</v>
      </c>
      <c r="C291" t="s">
        <v>16</v>
      </c>
      <c r="D291">
        <v>60505</v>
      </c>
      <c r="E291">
        <v>253</v>
      </c>
      <c r="F291">
        <v>3</v>
      </c>
      <c r="G291">
        <v>20122</v>
      </c>
      <c r="H291" t="s">
        <v>17</v>
      </c>
      <c r="I291">
        <v>1694</v>
      </c>
      <c r="J291">
        <v>55</v>
      </c>
      <c r="K291">
        <v>4556.68</v>
      </c>
      <c r="L291">
        <v>4351.9799999999996</v>
      </c>
      <c r="M291">
        <v>204.7</v>
      </c>
      <c r="N291" s="3" t="str">
        <f t="shared" si="63"/>
        <v/>
      </c>
      <c r="O291" s="4" t="str">
        <f t="shared" si="63"/>
        <v/>
      </c>
      <c r="P291" s="4" t="str">
        <f t="shared" si="63"/>
        <v/>
      </c>
      <c r="Q291" s="4" t="str">
        <f t="shared" si="63"/>
        <v/>
      </c>
      <c r="R291" s="4" t="str">
        <f t="shared" si="63"/>
        <v/>
      </c>
      <c r="S291" s="4" t="str">
        <f t="shared" si="63"/>
        <v/>
      </c>
      <c r="T291" s="4" t="str">
        <f t="shared" si="63"/>
        <v/>
      </c>
      <c r="U291" s="4" t="str">
        <f t="shared" si="63"/>
        <v/>
      </c>
      <c r="V291" s="4" t="str">
        <f t="shared" si="60"/>
        <v/>
      </c>
      <c r="W291" s="4" t="str">
        <f t="shared" si="60"/>
        <v/>
      </c>
      <c r="X291" s="4" t="str">
        <f t="shared" si="60"/>
        <v/>
      </c>
      <c r="Y291" s="4" t="str">
        <f t="shared" si="60"/>
        <v/>
      </c>
      <c r="Z291" s="4" t="str">
        <f t="shared" si="60"/>
        <v/>
      </c>
      <c r="AA291" s="4" t="str">
        <f t="shared" si="60"/>
        <v/>
      </c>
      <c r="AB291" s="4" t="str">
        <f t="shared" si="60"/>
        <v/>
      </c>
      <c r="AC291" s="5" t="str">
        <f t="shared" si="60"/>
        <v/>
      </c>
      <c r="AD291" s="3" t="str">
        <f t="shared" si="64"/>
        <v/>
      </c>
      <c r="AE291" s="4" t="str">
        <f t="shared" si="64"/>
        <v/>
      </c>
      <c r="AF291" s="4" t="str">
        <f t="shared" si="64"/>
        <v/>
      </c>
      <c r="AG291" s="4" t="str">
        <f t="shared" si="64"/>
        <v/>
      </c>
      <c r="AH291" s="4" t="str">
        <f t="shared" si="64"/>
        <v/>
      </c>
      <c r="AI291" s="4" t="str">
        <f t="shared" si="64"/>
        <v/>
      </c>
      <c r="AJ291" s="4" t="str">
        <f t="shared" si="64"/>
        <v/>
      </c>
      <c r="AK291" s="4" t="str">
        <f t="shared" si="64"/>
        <v/>
      </c>
      <c r="AL291" s="4" t="str">
        <f t="shared" si="61"/>
        <v/>
      </c>
      <c r="AM291" s="4" t="str">
        <f t="shared" si="61"/>
        <v/>
      </c>
      <c r="AN291" s="4" t="str">
        <f t="shared" si="61"/>
        <v/>
      </c>
      <c r="AO291" s="4" t="str">
        <f t="shared" si="61"/>
        <v/>
      </c>
      <c r="AP291" s="4" t="str">
        <f t="shared" si="61"/>
        <v/>
      </c>
      <c r="AQ291" s="4" t="str">
        <f t="shared" si="61"/>
        <v/>
      </c>
      <c r="AR291" s="4" t="str">
        <f t="shared" si="61"/>
        <v/>
      </c>
      <c r="AS291" s="5" t="str">
        <f t="shared" si="61"/>
        <v/>
      </c>
      <c r="AT291" s="3" t="str">
        <f t="shared" si="65"/>
        <v/>
      </c>
      <c r="AU291" s="4" t="str">
        <f t="shared" si="65"/>
        <v/>
      </c>
      <c r="AV291" s="4" t="str">
        <f t="shared" si="65"/>
        <v/>
      </c>
      <c r="AW291" s="4" t="str">
        <f t="shared" si="65"/>
        <v/>
      </c>
      <c r="AX291" s="4" t="str">
        <f t="shared" si="65"/>
        <v/>
      </c>
      <c r="AY291" s="4" t="str">
        <f t="shared" si="65"/>
        <v/>
      </c>
      <c r="AZ291" s="4" t="str">
        <f t="shared" si="65"/>
        <v/>
      </c>
      <c r="BA291" s="4" t="str">
        <f t="shared" si="65"/>
        <v/>
      </c>
      <c r="BB291" s="4" t="str">
        <f t="shared" si="62"/>
        <v/>
      </c>
      <c r="BC291" s="4" t="str">
        <f t="shared" si="62"/>
        <v/>
      </c>
      <c r="BD291" s="4" t="str">
        <f t="shared" si="62"/>
        <v/>
      </c>
      <c r="BE291" s="4" t="str">
        <f t="shared" si="62"/>
        <v/>
      </c>
      <c r="BF291" s="4" t="str">
        <f t="shared" si="62"/>
        <v/>
      </c>
      <c r="BG291" s="4" t="str">
        <f t="shared" si="62"/>
        <v/>
      </c>
      <c r="BH291" s="4" t="str">
        <f t="shared" si="62"/>
        <v/>
      </c>
      <c r="BI291" s="5" t="str">
        <f t="shared" si="62"/>
        <v/>
      </c>
    </row>
    <row r="292" spans="1:61" x14ac:dyDescent="0.25">
      <c r="A292">
        <v>336324</v>
      </c>
      <c r="B292" t="s">
        <v>14</v>
      </c>
      <c r="C292" t="s">
        <v>16</v>
      </c>
      <c r="D292">
        <v>60505</v>
      </c>
      <c r="E292">
        <v>253</v>
      </c>
      <c r="F292">
        <v>3</v>
      </c>
      <c r="G292">
        <v>20123</v>
      </c>
      <c r="H292" t="s">
        <v>0</v>
      </c>
      <c r="I292">
        <v>15488</v>
      </c>
      <c r="J292">
        <v>499</v>
      </c>
      <c r="K292">
        <v>11075.43</v>
      </c>
      <c r="L292">
        <v>10439.9</v>
      </c>
      <c r="M292">
        <v>635.53</v>
      </c>
      <c r="N292" s="3" t="str">
        <f t="shared" si="63"/>
        <v/>
      </c>
      <c r="O292" s="4" t="str">
        <f t="shared" si="63"/>
        <v/>
      </c>
      <c r="P292" s="4" t="str">
        <f t="shared" si="63"/>
        <v/>
      </c>
      <c r="Q292" s="4" t="str">
        <f t="shared" si="63"/>
        <v/>
      </c>
      <c r="R292" s="4" t="str">
        <f t="shared" si="63"/>
        <v/>
      </c>
      <c r="S292" s="4" t="str">
        <f t="shared" si="63"/>
        <v/>
      </c>
      <c r="T292" s="4" t="str">
        <f t="shared" si="63"/>
        <v/>
      </c>
      <c r="U292" s="4" t="str">
        <f t="shared" si="63"/>
        <v/>
      </c>
      <c r="V292" s="4" t="str">
        <f t="shared" si="60"/>
        <v/>
      </c>
      <c r="W292" s="4" t="str">
        <f t="shared" si="60"/>
        <v/>
      </c>
      <c r="X292" s="4" t="str">
        <f t="shared" si="60"/>
        <v/>
      </c>
      <c r="Y292" s="4" t="str">
        <f t="shared" si="60"/>
        <v/>
      </c>
      <c r="Z292" s="4" t="str">
        <f t="shared" si="60"/>
        <v/>
      </c>
      <c r="AA292" s="4" t="str">
        <f t="shared" si="60"/>
        <v/>
      </c>
      <c r="AB292" s="4" t="str">
        <f t="shared" si="60"/>
        <v/>
      </c>
      <c r="AC292" s="5" t="str">
        <f t="shared" si="60"/>
        <v/>
      </c>
      <c r="AD292" s="3" t="str">
        <f t="shared" si="64"/>
        <v/>
      </c>
      <c r="AE292" s="4" t="str">
        <f t="shared" si="64"/>
        <v/>
      </c>
      <c r="AF292" s="4">
        <f t="shared" si="64"/>
        <v>1</v>
      </c>
      <c r="AG292" s="4" t="str">
        <f t="shared" si="64"/>
        <v/>
      </c>
      <c r="AH292" s="4" t="str">
        <f t="shared" si="64"/>
        <v/>
      </c>
      <c r="AI292" s="4" t="str">
        <f t="shared" si="64"/>
        <v/>
      </c>
      <c r="AJ292" s="4" t="str">
        <f t="shared" si="64"/>
        <v/>
      </c>
      <c r="AK292" s="4" t="str">
        <f t="shared" si="64"/>
        <v/>
      </c>
      <c r="AL292" s="4" t="str">
        <f t="shared" si="61"/>
        <v/>
      </c>
      <c r="AM292" s="4" t="str">
        <f t="shared" si="61"/>
        <v/>
      </c>
      <c r="AN292" s="4" t="str">
        <f t="shared" si="61"/>
        <v/>
      </c>
      <c r="AO292" s="4" t="str">
        <f t="shared" si="61"/>
        <v/>
      </c>
      <c r="AP292" s="4" t="str">
        <f t="shared" si="61"/>
        <v/>
      </c>
      <c r="AQ292" s="4" t="str">
        <f t="shared" si="61"/>
        <v/>
      </c>
      <c r="AR292" s="4" t="str">
        <f t="shared" si="61"/>
        <v/>
      </c>
      <c r="AS292" s="5" t="str">
        <f t="shared" si="61"/>
        <v/>
      </c>
      <c r="AT292" s="3" t="str">
        <f t="shared" si="65"/>
        <v/>
      </c>
      <c r="AU292" s="4" t="str">
        <f t="shared" si="65"/>
        <v/>
      </c>
      <c r="AV292" s="4" t="str">
        <f t="shared" si="65"/>
        <v/>
      </c>
      <c r="AW292" s="4" t="str">
        <f t="shared" si="65"/>
        <v/>
      </c>
      <c r="AX292" s="4" t="str">
        <f t="shared" si="65"/>
        <v/>
      </c>
      <c r="AY292" s="4" t="str">
        <f t="shared" si="65"/>
        <v/>
      </c>
      <c r="AZ292" s="4" t="str">
        <f t="shared" si="65"/>
        <v/>
      </c>
      <c r="BA292" s="4" t="str">
        <f t="shared" si="65"/>
        <v/>
      </c>
      <c r="BB292" s="4" t="str">
        <f t="shared" si="62"/>
        <v/>
      </c>
      <c r="BC292" s="4" t="str">
        <f t="shared" si="62"/>
        <v/>
      </c>
      <c r="BD292" s="4" t="str">
        <f t="shared" si="62"/>
        <v/>
      </c>
      <c r="BE292" s="4" t="str">
        <f t="shared" si="62"/>
        <v/>
      </c>
      <c r="BF292" s="4" t="str">
        <f t="shared" si="62"/>
        <v/>
      </c>
      <c r="BG292" s="4" t="str">
        <f t="shared" si="62"/>
        <v/>
      </c>
      <c r="BH292" s="4" t="str">
        <f t="shared" si="62"/>
        <v/>
      </c>
      <c r="BI292" s="5" t="str">
        <f t="shared" si="62"/>
        <v/>
      </c>
    </row>
    <row r="293" spans="1:61" x14ac:dyDescent="0.25">
      <c r="A293">
        <v>336325</v>
      </c>
      <c r="B293" t="s">
        <v>14</v>
      </c>
      <c r="C293" t="s">
        <v>16</v>
      </c>
      <c r="D293">
        <v>60505</v>
      </c>
      <c r="E293">
        <v>253</v>
      </c>
      <c r="F293">
        <v>3</v>
      </c>
      <c r="G293">
        <v>20124</v>
      </c>
      <c r="H293" t="s">
        <v>0</v>
      </c>
      <c r="I293">
        <v>24658</v>
      </c>
      <c r="J293">
        <v>790</v>
      </c>
      <c r="K293">
        <v>11827.66</v>
      </c>
      <c r="L293">
        <v>11178.99</v>
      </c>
      <c r="M293">
        <v>648.66999999999996</v>
      </c>
      <c r="N293" s="3" t="str">
        <f t="shared" si="63"/>
        <v/>
      </c>
      <c r="O293" s="4" t="str">
        <f t="shared" si="63"/>
        <v/>
      </c>
      <c r="P293" s="4" t="str">
        <f t="shared" si="63"/>
        <v/>
      </c>
      <c r="Q293" s="4" t="str">
        <f t="shared" si="63"/>
        <v/>
      </c>
      <c r="R293" s="4" t="str">
        <f t="shared" si="63"/>
        <v/>
      </c>
      <c r="S293" s="4" t="str">
        <f t="shared" si="63"/>
        <v/>
      </c>
      <c r="T293" s="4" t="str">
        <f t="shared" si="63"/>
        <v/>
      </c>
      <c r="U293" s="4" t="str">
        <f t="shared" si="63"/>
        <v/>
      </c>
      <c r="V293" s="4" t="str">
        <f t="shared" si="60"/>
        <v/>
      </c>
      <c r="W293" s="4" t="str">
        <f t="shared" si="60"/>
        <v/>
      </c>
      <c r="X293" s="4" t="str">
        <f t="shared" si="60"/>
        <v/>
      </c>
      <c r="Y293" s="4" t="str">
        <f t="shared" si="60"/>
        <v/>
      </c>
      <c r="Z293" s="4" t="str">
        <f t="shared" si="60"/>
        <v/>
      </c>
      <c r="AA293" s="4" t="str">
        <f t="shared" si="60"/>
        <v/>
      </c>
      <c r="AB293" s="4" t="str">
        <f t="shared" si="60"/>
        <v/>
      </c>
      <c r="AC293" s="5" t="str">
        <f t="shared" si="60"/>
        <v/>
      </c>
      <c r="AD293" s="3" t="str">
        <f t="shared" si="64"/>
        <v/>
      </c>
      <c r="AE293" s="4" t="str">
        <f t="shared" si="64"/>
        <v/>
      </c>
      <c r="AF293" s="4" t="str">
        <f t="shared" si="64"/>
        <v/>
      </c>
      <c r="AG293" s="4">
        <f t="shared" si="64"/>
        <v>1</v>
      </c>
      <c r="AH293" s="4" t="str">
        <f t="shared" si="64"/>
        <v/>
      </c>
      <c r="AI293" s="4" t="str">
        <f t="shared" si="64"/>
        <v/>
      </c>
      <c r="AJ293" s="4" t="str">
        <f t="shared" si="64"/>
        <v/>
      </c>
      <c r="AK293" s="4" t="str">
        <f t="shared" si="64"/>
        <v/>
      </c>
      <c r="AL293" s="4" t="str">
        <f t="shared" si="61"/>
        <v/>
      </c>
      <c r="AM293" s="4" t="str">
        <f t="shared" si="61"/>
        <v/>
      </c>
      <c r="AN293" s="4" t="str">
        <f t="shared" si="61"/>
        <v/>
      </c>
      <c r="AO293" s="4" t="str">
        <f t="shared" si="61"/>
        <v/>
      </c>
      <c r="AP293" s="4" t="str">
        <f t="shared" si="61"/>
        <v/>
      </c>
      <c r="AQ293" s="4" t="str">
        <f t="shared" si="61"/>
        <v/>
      </c>
      <c r="AR293" s="4" t="str">
        <f t="shared" si="61"/>
        <v/>
      </c>
      <c r="AS293" s="5" t="str">
        <f t="shared" si="61"/>
        <v/>
      </c>
      <c r="AT293" s="3" t="str">
        <f t="shared" si="65"/>
        <v/>
      </c>
      <c r="AU293" s="4" t="str">
        <f t="shared" si="65"/>
        <v/>
      </c>
      <c r="AV293" s="4" t="str">
        <f t="shared" si="65"/>
        <v/>
      </c>
      <c r="AW293" s="4" t="str">
        <f t="shared" si="65"/>
        <v/>
      </c>
      <c r="AX293" s="4" t="str">
        <f t="shared" si="65"/>
        <v/>
      </c>
      <c r="AY293" s="4" t="str">
        <f t="shared" si="65"/>
        <v/>
      </c>
      <c r="AZ293" s="4" t="str">
        <f t="shared" si="65"/>
        <v/>
      </c>
      <c r="BA293" s="4" t="str">
        <f t="shared" si="65"/>
        <v/>
      </c>
      <c r="BB293" s="4" t="str">
        <f t="shared" si="62"/>
        <v/>
      </c>
      <c r="BC293" s="4" t="str">
        <f t="shared" si="62"/>
        <v/>
      </c>
      <c r="BD293" s="4" t="str">
        <f t="shared" si="62"/>
        <v/>
      </c>
      <c r="BE293" s="4" t="str">
        <f t="shared" si="62"/>
        <v/>
      </c>
      <c r="BF293" s="4" t="str">
        <f t="shared" si="62"/>
        <v/>
      </c>
      <c r="BG293" s="4" t="str">
        <f t="shared" si="62"/>
        <v/>
      </c>
      <c r="BH293" s="4" t="str">
        <f t="shared" si="62"/>
        <v/>
      </c>
      <c r="BI293" s="5" t="str">
        <f t="shared" si="62"/>
        <v/>
      </c>
    </row>
    <row r="294" spans="1:61" x14ac:dyDescent="0.25">
      <c r="A294">
        <v>457762</v>
      </c>
      <c r="B294" t="s">
        <v>15</v>
      </c>
      <c r="C294" t="s">
        <v>16</v>
      </c>
      <c r="D294">
        <v>60505</v>
      </c>
      <c r="E294">
        <v>253</v>
      </c>
      <c r="F294">
        <v>1</v>
      </c>
      <c r="G294">
        <v>20122</v>
      </c>
      <c r="H294" t="s">
        <v>0</v>
      </c>
      <c r="I294">
        <v>30694</v>
      </c>
      <c r="J294">
        <v>1031</v>
      </c>
      <c r="K294">
        <v>82392.460000000006</v>
      </c>
      <c r="L294">
        <v>82346.509999999995</v>
      </c>
      <c r="M294">
        <v>45.95</v>
      </c>
      <c r="N294" s="3" t="str">
        <f t="shared" si="63"/>
        <v/>
      </c>
      <c r="O294" s="4" t="str">
        <f t="shared" si="63"/>
        <v/>
      </c>
      <c r="P294" s="4" t="str">
        <f t="shared" si="63"/>
        <v/>
      </c>
      <c r="Q294" s="4" t="str">
        <f t="shared" si="63"/>
        <v/>
      </c>
      <c r="R294" s="4" t="str">
        <f t="shared" si="63"/>
        <v/>
      </c>
      <c r="S294" s="4" t="str">
        <f t="shared" si="63"/>
        <v/>
      </c>
      <c r="T294" s="4" t="str">
        <f t="shared" si="63"/>
        <v/>
      </c>
      <c r="U294" s="4" t="str">
        <f t="shared" si="63"/>
        <v/>
      </c>
      <c r="V294" s="4" t="str">
        <f t="shared" si="60"/>
        <v/>
      </c>
      <c r="W294" s="4" t="str">
        <f t="shared" si="60"/>
        <v/>
      </c>
      <c r="X294" s="4" t="str">
        <f t="shared" si="60"/>
        <v/>
      </c>
      <c r="Y294" s="4" t="str">
        <f t="shared" si="60"/>
        <v/>
      </c>
      <c r="Z294" s="4" t="str">
        <f t="shared" si="60"/>
        <v/>
      </c>
      <c r="AA294" s="4" t="str">
        <f t="shared" si="60"/>
        <v/>
      </c>
      <c r="AB294" s="4" t="str">
        <f t="shared" si="60"/>
        <v/>
      </c>
      <c r="AC294" s="5" t="str">
        <f t="shared" si="60"/>
        <v/>
      </c>
      <c r="AD294" s="3" t="str">
        <f t="shared" si="64"/>
        <v/>
      </c>
      <c r="AE294" s="4" t="str">
        <f t="shared" si="64"/>
        <v/>
      </c>
      <c r="AF294" s="4" t="str">
        <f t="shared" si="64"/>
        <v/>
      </c>
      <c r="AG294" s="4" t="str">
        <f t="shared" si="64"/>
        <v/>
      </c>
      <c r="AH294" s="4" t="str">
        <f t="shared" si="64"/>
        <v/>
      </c>
      <c r="AI294" s="4">
        <f t="shared" si="64"/>
        <v>1</v>
      </c>
      <c r="AJ294" s="4" t="str">
        <f t="shared" si="64"/>
        <v/>
      </c>
      <c r="AK294" s="4" t="str">
        <f t="shared" si="64"/>
        <v/>
      </c>
      <c r="AL294" s="4" t="str">
        <f t="shared" si="61"/>
        <v/>
      </c>
      <c r="AM294" s="4" t="str">
        <f t="shared" si="61"/>
        <v/>
      </c>
      <c r="AN294" s="4" t="str">
        <f t="shared" si="61"/>
        <v/>
      </c>
      <c r="AO294" s="4" t="str">
        <f t="shared" si="61"/>
        <v/>
      </c>
      <c r="AP294" s="4" t="str">
        <f t="shared" si="61"/>
        <v/>
      </c>
      <c r="AQ294" s="4" t="str">
        <f t="shared" si="61"/>
        <v/>
      </c>
      <c r="AR294" s="4" t="str">
        <f t="shared" si="61"/>
        <v/>
      </c>
      <c r="AS294" s="5" t="str">
        <f t="shared" si="61"/>
        <v/>
      </c>
      <c r="AT294" s="3" t="str">
        <f t="shared" si="65"/>
        <v/>
      </c>
      <c r="AU294" s="4" t="str">
        <f t="shared" si="65"/>
        <v/>
      </c>
      <c r="AV294" s="4" t="str">
        <f t="shared" si="65"/>
        <v/>
      </c>
      <c r="AW294" s="4" t="str">
        <f t="shared" si="65"/>
        <v/>
      </c>
      <c r="AX294" s="4" t="str">
        <f t="shared" si="65"/>
        <v/>
      </c>
      <c r="AY294" s="4" t="str">
        <f t="shared" si="65"/>
        <v/>
      </c>
      <c r="AZ294" s="4" t="str">
        <f t="shared" si="65"/>
        <v/>
      </c>
      <c r="BA294" s="4" t="str">
        <f t="shared" si="65"/>
        <v/>
      </c>
      <c r="BB294" s="4" t="str">
        <f t="shared" si="62"/>
        <v/>
      </c>
      <c r="BC294" s="4" t="str">
        <f t="shared" si="62"/>
        <v/>
      </c>
      <c r="BD294" s="4" t="str">
        <f t="shared" si="62"/>
        <v/>
      </c>
      <c r="BE294" s="4" t="str">
        <f t="shared" si="62"/>
        <v/>
      </c>
      <c r="BF294" s="4" t="str">
        <f t="shared" si="62"/>
        <v/>
      </c>
      <c r="BG294" s="4" t="str">
        <f t="shared" si="62"/>
        <v/>
      </c>
      <c r="BH294" s="4" t="str">
        <f t="shared" si="62"/>
        <v/>
      </c>
      <c r="BI294" s="5" t="str">
        <f t="shared" si="62"/>
        <v/>
      </c>
    </row>
    <row r="295" spans="1:61" x14ac:dyDescent="0.25">
      <c r="A295">
        <v>457763</v>
      </c>
      <c r="B295" t="s">
        <v>15</v>
      </c>
      <c r="C295" t="s">
        <v>16</v>
      </c>
      <c r="D295">
        <v>60505</v>
      </c>
      <c r="E295">
        <v>253</v>
      </c>
      <c r="F295">
        <v>1</v>
      </c>
      <c r="G295">
        <v>20123</v>
      </c>
      <c r="H295" t="s">
        <v>0</v>
      </c>
      <c r="I295">
        <v>73906</v>
      </c>
      <c r="J295">
        <v>2469</v>
      </c>
      <c r="K295">
        <v>103742.7</v>
      </c>
      <c r="L295">
        <v>103657.55</v>
      </c>
      <c r="M295">
        <v>85.15</v>
      </c>
      <c r="N295" s="3" t="str">
        <f t="shared" si="63"/>
        <v/>
      </c>
      <c r="O295" s="4" t="str">
        <f t="shared" si="63"/>
        <v/>
      </c>
      <c r="P295" s="4" t="str">
        <f t="shared" si="63"/>
        <v/>
      </c>
      <c r="Q295" s="4" t="str">
        <f t="shared" si="63"/>
        <v/>
      </c>
      <c r="R295" s="4" t="str">
        <f t="shared" si="63"/>
        <v/>
      </c>
      <c r="S295" s="4" t="str">
        <f t="shared" si="63"/>
        <v/>
      </c>
      <c r="T295" s="4" t="str">
        <f t="shared" si="63"/>
        <v/>
      </c>
      <c r="U295" s="4" t="str">
        <f t="shared" si="63"/>
        <v/>
      </c>
      <c r="V295" s="4" t="str">
        <f t="shared" si="60"/>
        <v/>
      </c>
      <c r="W295" s="4" t="str">
        <f t="shared" si="60"/>
        <v/>
      </c>
      <c r="X295" s="4" t="str">
        <f t="shared" si="60"/>
        <v/>
      </c>
      <c r="Y295" s="4" t="str">
        <f t="shared" si="60"/>
        <v/>
      </c>
      <c r="Z295" s="4" t="str">
        <f t="shared" si="60"/>
        <v/>
      </c>
      <c r="AA295" s="4" t="str">
        <f t="shared" si="60"/>
        <v/>
      </c>
      <c r="AB295" s="4" t="str">
        <f t="shared" si="60"/>
        <v/>
      </c>
      <c r="AC295" s="5" t="str">
        <f t="shared" si="60"/>
        <v/>
      </c>
      <c r="AD295" s="3" t="str">
        <f t="shared" si="64"/>
        <v/>
      </c>
      <c r="AE295" s="4" t="str">
        <f t="shared" si="64"/>
        <v/>
      </c>
      <c r="AF295" s="4" t="str">
        <f t="shared" si="64"/>
        <v/>
      </c>
      <c r="AG295" s="4" t="str">
        <f t="shared" si="64"/>
        <v/>
      </c>
      <c r="AH295" s="4" t="str">
        <f t="shared" si="64"/>
        <v/>
      </c>
      <c r="AI295" s="4" t="str">
        <f t="shared" si="64"/>
        <v/>
      </c>
      <c r="AJ295" s="4">
        <f t="shared" si="64"/>
        <v>1</v>
      </c>
      <c r="AK295" s="4" t="str">
        <f t="shared" si="64"/>
        <v/>
      </c>
      <c r="AL295" s="4" t="str">
        <f t="shared" si="61"/>
        <v/>
      </c>
      <c r="AM295" s="4" t="str">
        <f t="shared" si="61"/>
        <v/>
      </c>
      <c r="AN295" s="4" t="str">
        <f t="shared" si="61"/>
        <v/>
      </c>
      <c r="AO295" s="4" t="str">
        <f t="shared" si="61"/>
        <v/>
      </c>
      <c r="AP295" s="4" t="str">
        <f t="shared" si="61"/>
        <v/>
      </c>
      <c r="AQ295" s="4" t="str">
        <f t="shared" si="61"/>
        <v/>
      </c>
      <c r="AR295" s="4" t="str">
        <f t="shared" si="61"/>
        <v/>
      </c>
      <c r="AS295" s="5" t="str">
        <f t="shared" si="61"/>
        <v/>
      </c>
      <c r="AT295" s="3" t="str">
        <f t="shared" si="65"/>
        <v/>
      </c>
      <c r="AU295" s="4" t="str">
        <f t="shared" si="65"/>
        <v/>
      </c>
      <c r="AV295" s="4" t="str">
        <f t="shared" si="65"/>
        <v/>
      </c>
      <c r="AW295" s="4" t="str">
        <f t="shared" si="65"/>
        <v/>
      </c>
      <c r="AX295" s="4" t="str">
        <f t="shared" si="65"/>
        <v/>
      </c>
      <c r="AY295" s="4" t="str">
        <f t="shared" si="65"/>
        <v/>
      </c>
      <c r="AZ295" s="4" t="str">
        <f t="shared" si="65"/>
        <v/>
      </c>
      <c r="BA295" s="4" t="str">
        <f t="shared" si="65"/>
        <v/>
      </c>
      <c r="BB295" s="4" t="str">
        <f t="shared" si="62"/>
        <v/>
      </c>
      <c r="BC295" s="4" t="str">
        <f t="shared" si="62"/>
        <v/>
      </c>
      <c r="BD295" s="4" t="str">
        <f t="shared" si="62"/>
        <v/>
      </c>
      <c r="BE295" s="4" t="str">
        <f t="shared" si="62"/>
        <v/>
      </c>
      <c r="BF295" s="4" t="str">
        <f t="shared" si="62"/>
        <v/>
      </c>
      <c r="BG295" s="4" t="str">
        <f t="shared" si="62"/>
        <v/>
      </c>
      <c r="BH295" s="4" t="str">
        <f t="shared" si="62"/>
        <v/>
      </c>
      <c r="BI295" s="5" t="str">
        <f t="shared" si="62"/>
        <v/>
      </c>
    </row>
    <row r="296" spans="1:61" x14ac:dyDescent="0.25">
      <c r="A296">
        <v>457764</v>
      </c>
      <c r="B296" t="s">
        <v>15</v>
      </c>
      <c r="C296" t="s">
        <v>16</v>
      </c>
      <c r="D296">
        <v>60505</v>
      </c>
      <c r="E296">
        <v>253</v>
      </c>
      <c r="F296">
        <v>1</v>
      </c>
      <c r="G296">
        <v>20124</v>
      </c>
      <c r="H296" t="s">
        <v>0</v>
      </c>
      <c r="I296">
        <v>66860</v>
      </c>
      <c r="J296">
        <v>2231</v>
      </c>
      <c r="K296">
        <v>96408.93</v>
      </c>
      <c r="L296">
        <v>96262.13</v>
      </c>
      <c r="M296">
        <v>146.80000000000001</v>
      </c>
      <c r="N296" s="3" t="str">
        <f t="shared" si="63"/>
        <v/>
      </c>
      <c r="O296" s="4" t="str">
        <f t="shared" si="63"/>
        <v/>
      </c>
      <c r="P296" s="4" t="str">
        <f t="shared" si="63"/>
        <v/>
      </c>
      <c r="Q296" s="4" t="str">
        <f t="shared" si="63"/>
        <v/>
      </c>
      <c r="R296" s="4" t="str">
        <f t="shared" si="63"/>
        <v/>
      </c>
      <c r="S296" s="4" t="str">
        <f t="shared" si="63"/>
        <v/>
      </c>
      <c r="T296" s="4" t="str">
        <f t="shared" si="63"/>
        <v/>
      </c>
      <c r="U296" s="4" t="str">
        <f t="shared" si="63"/>
        <v/>
      </c>
      <c r="V296" s="4" t="str">
        <f t="shared" si="60"/>
        <v/>
      </c>
      <c r="W296" s="4" t="str">
        <f t="shared" si="60"/>
        <v/>
      </c>
      <c r="X296" s="4" t="str">
        <f t="shared" si="60"/>
        <v/>
      </c>
      <c r="Y296" s="4" t="str">
        <f t="shared" si="60"/>
        <v/>
      </c>
      <c r="Z296" s="4" t="str">
        <f t="shared" si="60"/>
        <v/>
      </c>
      <c r="AA296" s="4" t="str">
        <f t="shared" si="60"/>
        <v/>
      </c>
      <c r="AB296" s="4" t="str">
        <f t="shared" si="60"/>
        <v/>
      </c>
      <c r="AC296" s="5" t="str">
        <f t="shared" si="60"/>
        <v/>
      </c>
      <c r="AD296" s="3" t="str">
        <f t="shared" si="64"/>
        <v/>
      </c>
      <c r="AE296" s="4" t="str">
        <f t="shared" si="64"/>
        <v/>
      </c>
      <c r="AF296" s="4" t="str">
        <f t="shared" si="64"/>
        <v/>
      </c>
      <c r="AG296" s="4" t="str">
        <f t="shared" si="64"/>
        <v/>
      </c>
      <c r="AH296" s="4" t="str">
        <f t="shared" si="64"/>
        <v/>
      </c>
      <c r="AI296" s="4" t="str">
        <f t="shared" si="64"/>
        <v/>
      </c>
      <c r="AJ296" s="4" t="str">
        <f t="shared" si="64"/>
        <v/>
      </c>
      <c r="AK296" s="4">
        <f t="shared" si="64"/>
        <v>1</v>
      </c>
      <c r="AL296" s="4" t="str">
        <f t="shared" si="61"/>
        <v/>
      </c>
      <c r="AM296" s="4" t="str">
        <f t="shared" si="61"/>
        <v/>
      </c>
      <c r="AN296" s="4" t="str">
        <f t="shared" si="61"/>
        <v/>
      </c>
      <c r="AO296" s="4" t="str">
        <f t="shared" si="61"/>
        <v/>
      </c>
      <c r="AP296" s="4" t="str">
        <f t="shared" si="61"/>
        <v/>
      </c>
      <c r="AQ296" s="4" t="str">
        <f t="shared" si="61"/>
        <v/>
      </c>
      <c r="AR296" s="4" t="str">
        <f t="shared" si="61"/>
        <v/>
      </c>
      <c r="AS296" s="5" t="str">
        <f t="shared" si="61"/>
        <v/>
      </c>
      <c r="AT296" s="3" t="str">
        <f t="shared" si="65"/>
        <v/>
      </c>
      <c r="AU296" s="4" t="str">
        <f t="shared" si="65"/>
        <v/>
      </c>
      <c r="AV296" s="4" t="str">
        <f t="shared" si="65"/>
        <v/>
      </c>
      <c r="AW296" s="4" t="str">
        <f t="shared" si="65"/>
        <v/>
      </c>
      <c r="AX296" s="4" t="str">
        <f t="shared" si="65"/>
        <v/>
      </c>
      <c r="AY296" s="4" t="str">
        <f t="shared" si="65"/>
        <v/>
      </c>
      <c r="AZ296" s="4" t="str">
        <f t="shared" si="65"/>
        <v/>
      </c>
      <c r="BA296" s="4" t="str">
        <f t="shared" si="65"/>
        <v/>
      </c>
      <c r="BB296" s="4" t="str">
        <f t="shared" si="62"/>
        <v/>
      </c>
      <c r="BC296" s="4" t="str">
        <f t="shared" si="62"/>
        <v/>
      </c>
      <c r="BD296" s="4" t="str">
        <f t="shared" si="62"/>
        <v/>
      </c>
      <c r="BE296" s="4" t="str">
        <f t="shared" si="62"/>
        <v/>
      </c>
      <c r="BF296" s="4" t="str">
        <f t="shared" si="62"/>
        <v/>
      </c>
      <c r="BG296" s="4" t="str">
        <f t="shared" si="62"/>
        <v/>
      </c>
      <c r="BH296" s="4" t="str">
        <f t="shared" si="62"/>
        <v/>
      </c>
      <c r="BI296" s="5" t="str">
        <f t="shared" si="62"/>
        <v/>
      </c>
    </row>
    <row r="297" spans="1:61" x14ac:dyDescent="0.25">
      <c r="A297">
        <v>457765</v>
      </c>
      <c r="B297" t="s">
        <v>15</v>
      </c>
      <c r="C297" t="s">
        <v>16</v>
      </c>
      <c r="D297">
        <v>60505</v>
      </c>
      <c r="E297">
        <v>253</v>
      </c>
      <c r="F297">
        <v>2</v>
      </c>
      <c r="G297">
        <v>20122</v>
      </c>
      <c r="H297" t="s">
        <v>0</v>
      </c>
      <c r="I297">
        <v>30266.001</v>
      </c>
      <c r="J297">
        <v>1003</v>
      </c>
      <c r="K297">
        <v>77968.679999999993</v>
      </c>
      <c r="L297">
        <v>77535.710000000006</v>
      </c>
      <c r="M297">
        <v>432.97</v>
      </c>
      <c r="N297" s="3" t="str">
        <f t="shared" si="63"/>
        <v/>
      </c>
      <c r="O297" s="4" t="str">
        <f t="shared" si="63"/>
        <v/>
      </c>
      <c r="P297" s="4" t="str">
        <f t="shared" si="63"/>
        <v/>
      </c>
      <c r="Q297" s="4" t="str">
        <f t="shared" si="63"/>
        <v/>
      </c>
      <c r="R297" s="4" t="str">
        <f t="shared" si="63"/>
        <v/>
      </c>
      <c r="S297" s="4" t="str">
        <f t="shared" si="63"/>
        <v/>
      </c>
      <c r="T297" s="4" t="str">
        <f t="shared" si="63"/>
        <v/>
      </c>
      <c r="U297" s="4" t="str">
        <f t="shared" si="63"/>
        <v/>
      </c>
      <c r="V297" s="4" t="str">
        <f t="shared" si="60"/>
        <v/>
      </c>
      <c r="W297" s="4" t="str">
        <f t="shared" si="60"/>
        <v/>
      </c>
      <c r="X297" s="4" t="str">
        <f t="shared" si="60"/>
        <v/>
      </c>
      <c r="Y297" s="4" t="str">
        <f t="shared" si="60"/>
        <v/>
      </c>
      <c r="Z297" s="4" t="str">
        <f t="shared" si="60"/>
        <v/>
      </c>
      <c r="AA297" s="4" t="str">
        <f t="shared" si="60"/>
        <v/>
      </c>
      <c r="AB297" s="4" t="str">
        <f t="shared" si="60"/>
        <v/>
      </c>
      <c r="AC297" s="5" t="str">
        <f t="shared" si="60"/>
        <v/>
      </c>
      <c r="AD297" s="3" t="str">
        <f t="shared" si="64"/>
        <v/>
      </c>
      <c r="AE297" s="4" t="str">
        <f t="shared" si="64"/>
        <v/>
      </c>
      <c r="AF297" s="4" t="str">
        <f t="shared" si="64"/>
        <v/>
      </c>
      <c r="AG297" s="4" t="str">
        <f t="shared" si="64"/>
        <v/>
      </c>
      <c r="AH297" s="4" t="str">
        <f t="shared" si="64"/>
        <v/>
      </c>
      <c r="AI297" s="4">
        <f t="shared" si="64"/>
        <v>1</v>
      </c>
      <c r="AJ297" s="4" t="str">
        <f t="shared" si="64"/>
        <v/>
      </c>
      <c r="AK297" s="4" t="str">
        <f t="shared" si="64"/>
        <v/>
      </c>
      <c r="AL297" s="4" t="str">
        <f t="shared" si="61"/>
        <v/>
      </c>
      <c r="AM297" s="4" t="str">
        <f t="shared" si="61"/>
        <v/>
      </c>
      <c r="AN297" s="4" t="str">
        <f t="shared" si="61"/>
        <v/>
      </c>
      <c r="AO297" s="4" t="str">
        <f t="shared" si="61"/>
        <v/>
      </c>
      <c r="AP297" s="4" t="str">
        <f t="shared" si="61"/>
        <v/>
      </c>
      <c r="AQ297" s="4" t="str">
        <f t="shared" si="61"/>
        <v/>
      </c>
      <c r="AR297" s="4" t="str">
        <f t="shared" si="61"/>
        <v/>
      </c>
      <c r="AS297" s="5" t="str">
        <f t="shared" si="61"/>
        <v/>
      </c>
      <c r="AT297" s="3" t="str">
        <f t="shared" si="65"/>
        <v/>
      </c>
      <c r="AU297" s="4" t="str">
        <f t="shared" si="65"/>
        <v/>
      </c>
      <c r="AV297" s="4" t="str">
        <f t="shared" si="65"/>
        <v/>
      </c>
      <c r="AW297" s="4" t="str">
        <f t="shared" si="65"/>
        <v/>
      </c>
      <c r="AX297" s="4" t="str">
        <f t="shared" si="65"/>
        <v/>
      </c>
      <c r="AY297" s="4" t="str">
        <f t="shared" si="65"/>
        <v/>
      </c>
      <c r="AZ297" s="4" t="str">
        <f t="shared" si="65"/>
        <v/>
      </c>
      <c r="BA297" s="4" t="str">
        <f t="shared" si="65"/>
        <v/>
      </c>
      <c r="BB297" s="4" t="str">
        <f t="shared" si="62"/>
        <v/>
      </c>
      <c r="BC297" s="4" t="str">
        <f t="shared" si="62"/>
        <v/>
      </c>
      <c r="BD297" s="4" t="str">
        <f t="shared" si="62"/>
        <v/>
      </c>
      <c r="BE297" s="4" t="str">
        <f t="shared" si="62"/>
        <v/>
      </c>
      <c r="BF297" s="4" t="str">
        <f t="shared" si="62"/>
        <v/>
      </c>
      <c r="BG297" s="4" t="str">
        <f t="shared" si="62"/>
        <v/>
      </c>
      <c r="BH297" s="4" t="str">
        <f t="shared" si="62"/>
        <v/>
      </c>
      <c r="BI297" s="5" t="str">
        <f t="shared" si="62"/>
        <v/>
      </c>
    </row>
    <row r="298" spans="1:61" x14ac:dyDescent="0.25">
      <c r="A298">
        <v>457766</v>
      </c>
      <c r="B298" t="s">
        <v>15</v>
      </c>
      <c r="C298" t="s">
        <v>16</v>
      </c>
      <c r="D298">
        <v>60505</v>
      </c>
      <c r="E298">
        <v>253</v>
      </c>
      <c r="F298">
        <v>2</v>
      </c>
      <c r="G298">
        <v>20123</v>
      </c>
      <c r="H298" t="s">
        <v>0</v>
      </c>
      <c r="I298">
        <v>99667.001000000004</v>
      </c>
      <c r="J298">
        <v>3301</v>
      </c>
      <c r="K298">
        <v>138622.76</v>
      </c>
      <c r="L298">
        <v>138393.32999999999</v>
      </c>
      <c r="M298">
        <v>229.43</v>
      </c>
      <c r="N298" s="3" t="str">
        <f t="shared" si="63"/>
        <v/>
      </c>
      <c r="O298" s="4" t="str">
        <f t="shared" si="63"/>
        <v/>
      </c>
      <c r="P298" s="4" t="str">
        <f t="shared" si="63"/>
        <v/>
      </c>
      <c r="Q298" s="4" t="str">
        <f t="shared" si="63"/>
        <v/>
      </c>
      <c r="R298" s="4" t="str">
        <f t="shared" si="63"/>
        <v/>
      </c>
      <c r="S298" s="4" t="str">
        <f t="shared" si="63"/>
        <v/>
      </c>
      <c r="T298" s="4" t="str">
        <f t="shared" si="63"/>
        <v/>
      </c>
      <c r="U298" s="4" t="str">
        <f t="shared" si="63"/>
        <v/>
      </c>
      <c r="V298" s="4" t="str">
        <f t="shared" si="60"/>
        <v/>
      </c>
      <c r="W298" s="4" t="str">
        <f t="shared" si="60"/>
        <v/>
      </c>
      <c r="X298" s="4" t="str">
        <f t="shared" si="60"/>
        <v/>
      </c>
      <c r="Y298" s="4" t="str">
        <f t="shared" si="60"/>
        <v/>
      </c>
      <c r="Z298" s="4" t="str">
        <f t="shared" si="60"/>
        <v/>
      </c>
      <c r="AA298" s="4" t="str">
        <f t="shared" si="60"/>
        <v/>
      </c>
      <c r="AB298" s="4" t="str">
        <f t="shared" si="60"/>
        <v/>
      </c>
      <c r="AC298" s="5" t="str">
        <f t="shared" si="60"/>
        <v/>
      </c>
      <c r="AD298" s="3" t="str">
        <f t="shared" si="64"/>
        <v/>
      </c>
      <c r="AE298" s="4" t="str">
        <f t="shared" si="64"/>
        <v/>
      </c>
      <c r="AF298" s="4" t="str">
        <f t="shared" si="64"/>
        <v/>
      </c>
      <c r="AG298" s="4" t="str">
        <f t="shared" si="64"/>
        <v/>
      </c>
      <c r="AH298" s="4" t="str">
        <f t="shared" si="64"/>
        <v/>
      </c>
      <c r="AI298" s="4" t="str">
        <f t="shared" si="64"/>
        <v/>
      </c>
      <c r="AJ298" s="4">
        <f t="shared" si="64"/>
        <v>1</v>
      </c>
      <c r="AK298" s="4" t="str">
        <f t="shared" si="64"/>
        <v/>
      </c>
      <c r="AL298" s="4" t="str">
        <f t="shared" si="61"/>
        <v/>
      </c>
      <c r="AM298" s="4" t="str">
        <f t="shared" si="61"/>
        <v/>
      </c>
      <c r="AN298" s="4" t="str">
        <f t="shared" si="61"/>
        <v/>
      </c>
      <c r="AO298" s="4" t="str">
        <f t="shared" si="61"/>
        <v/>
      </c>
      <c r="AP298" s="4" t="str">
        <f t="shared" si="61"/>
        <v/>
      </c>
      <c r="AQ298" s="4" t="str">
        <f t="shared" si="61"/>
        <v/>
      </c>
      <c r="AR298" s="4" t="str">
        <f t="shared" si="61"/>
        <v/>
      </c>
      <c r="AS298" s="5" t="str">
        <f t="shared" si="61"/>
        <v/>
      </c>
      <c r="AT298" s="3" t="str">
        <f t="shared" si="65"/>
        <v/>
      </c>
      <c r="AU298" s="4" t="str">
        <f t="shared" si="65"/>
        <v/>
      </c>
      <c r="AV298" s="4" t="str">
        <f t="shared" si="65"/>
        <v/>
      </c>
      <c r="AW298" s="4" t="str">
        <f t="shared" si="65"/>
        <v/>
      </c>
      <c r="AX298" s="4" t="str">
        <f t="shared" si="65"/>
        <v/>
      </c>
      <c r="AY298" s="4" t="str">
        <f t="shared" si="65"/>
        <v/>
      </c>
      <c r="AZ298" s="4" t="str">
        <f t="shared" si="65"/>
        <v/>
      </c>
      <c r="BA298" s="4" t="str">
        <f t="shared" si="65"/>
        <v/>
      </c>
      <c r="BB298" s="4" t="str">
        <f t="shared" si="62"/>
        <v/>
      </c>
      <c r="BC298" s="4" t="str">
        <f t="shared" si="62"/>
        <v/>
      </c>
      <c r="BD298" s="4" t="str">
        <f t="shared" si="62"/>
        <v/>
      </c>
      <c r="BE298" s="4" t="str">
        <f t="shared" si="62"/>
        <v/>
      </c>
      <c r="BF298" s="4" t="str">
        <f t="shared" si="62"/>
        <v/>
      </c>
      <c r="BG298" s="4" t="str">
        <f t="shared" si="62"/>
        <v/>
      </c>
      <c r="BH298" s="4" t="str">
        <f t="shared" si="62"/>
        <v/>
      </c>
      <c r="BI298" s="5" t="str">
        <f t="shared" si="62"/>
        <v/>
      </c>
    </row>
    <row r="299" spans="1:61" x14ac:dyDescent="0.25">
      <c r="A299">
        <v>457767</v>
      </c>
      <c r="B299" t="s">
        <v>15</v>
      </c>
      <c r="C299" t="s">
        <v>16</v>
      </c>
      <c r="D299">
        <v>60505</v>
      </c>
      <c r="E299">
        <v>253</v>
      </c>
      <c r="F299">
        <v>2</v>
      </c>
      <c r="G299">
        <v>20124</v>
      </c>
      <c r="H299" t="s">
        <v>0</v>
      </c>
      <c r="I299">
        <v>89333</v>
      </c>
      <c r="J299">
        <v>2916</v>
      </c>
      <c r="K299">
        <v>115043.42</v>
      </c>
      <c r="L299">
        <v>114775.77</v>
      </c>
      <c r="M299">
        <v>267.64999999999998</v>
      </c>
      <c r="N299" s="3" t="str">
        <f t="shared" si="63"/>
        <v/>
      </c>
      <c r="O299" s="4" t="str">
        <f t="shared" si="63"/>
        <v/>
      </c>
      <c r="P299" s="4" t="str">
        <f t="shared" si="63"/>
        <v/>
      </c>
      <c r="Q299" s="4" t="str">
        <f t="shared" si="63"/>
        <v/>
      </c>
      <c r="R299" s="4" t="str">
        <f t="shared" si="63"/>
        <v/>
      </c>
      <c r="S299" s="4" t="str">
        <f t="shared" si="63"/>
        <v/>
      </c>
      <c r="T299" s="4" t="str">
        <f t="shared" si="63"/>
        <v/>
      </c>
      <c r="U299" s="4" t="str">
        <f t="shared" si="63"/>
        <v/>
      </c>
      <c r="V299" s="4" t="str">
        <f t="shared" si="60"/>
        <v/>
      </c>
      <c r="W299" s="4" t="str">
        <f t="shared" si="60"/>
        <v/>
      </c>
      <c r="X299" s="4" t="str">
        <f t="shared" si="60"/>
        <v/>
      </c>
      <c r="Y299" s="4" t="str">
        <f t="shared" si="60"/>
        <v/>
      </c>
      <c r="Z299" s="4" t="str">
        <f t="shared" si="60"/>
        <v/>
      </c>
      <c r="AA299" s="4" t="str">
        <f t="shared" si="60"/>
        <v/>
      </c>
      <c r="AB299" s="4" t="str">
        <f t="shared" si="60"/>
        <v/>
      </c>
      <c r="AC299" s="5" t="str">
        <f t="shared" si="60"/>
        <v/>
      </c>
      <c r="AD299" s="3" t="str">
        <f t="shared" si="64"/>
        <v/>
      </c>
      <c r="AE299" s="4" t="str">
        <f t="shared" si="64"/>
        <v/>
      </c>
      <c r="AF299" s="4" t="str">
        <f t="shared" si="64"/>
        <v/>
      </c>
      <c r="AG299" s="4" t="str">
        <f t="shared" si="64"/>
        <v/>
      </c>
      <c r="AH299" s="4" t="str">
        <f t="shared" si="64"/>
        <v/>
      </c>
      <c r="AI299" s="4" t="str">
        <f t="shared" si="64"/>
        <v/>
      </c>
      <c r="AJ299" s="4" t="str">
        <f t="shared" si="64"/>
        <v/>
      </c>
      <c r="AK299" s="4">
        <f t="shared" si="64"/>
        <v>1</v>
      </c>
      <c r="AL299" s="4" t="str">
        <f t="shared" si="61"/>
        <v/>
      </c>
      <c r="AM299" s="4" t="str">
        <f t="shared" si="61"/>
        <v/>
      </c>
      <c r="AN299" s="4" t="str">
        <f t="shared" si="61"/>
        <v/>
      </c>
      <c r="AO299" s="4" t="str">
        <f t="shared" si="61"/>
        <v/>
      </c>
      <c r="AP299" s="4" t="str">
        <f t="shared" si="61"/>
        <v/>
      </c>
      <c r="AQ299" s="4" t="str">
        <f t="shared" si="61"/>
        <v/>
      </c>
      <c r="AR299" s="4" t="str">
        <f t="shared" si="61"/>
        <v/>
      </c>
      <c r="AS299" s="5" t="str">
        <f t="shared" si="61"/>
        <v/>
      </c>
      <c r="AT299" s="3" t="str">
        <f t="shared" si="65"/>
        <v/>
      </c>
      <c r="AU299" s="4" t="str">
        <f t="shared" si="65"/>
        <v/>
      </c>
      <c r="AV299" s="4" t="str">
        <f t="shared" si="65"/>
        <v/>
      </c>
      <c r="AW299" s="4" t="str">
        <f t="shared" si="65"/>
        <v/>
      </c>
      <c r="AX299" s="4" t="str">
        <f t="shared" si="65"/>
        <v/>
      </c>
      <c r="AY299" s="4" t="str">
        <f t="shared" si="65"/>
        <v/>
      </c>
      <c r="AZ299" s="4" t="str">
        <f t="shared" si="65"/>
        <v/>
      </c>
      <c r="BA299" s="4" t="str">
        <f t="shared" si="65"/>
        <v/>
      </c>
      <c r="BB299" s="4" t="str">
        <f t="shared" si="62"/>
        <v/>
      </c>
      <c r="BC299" s="4" t="str">
        <f t="shared" si="62"/>
        <v/>
      </c>
      <c r="BD299" s="4" t="str">
        <f t="shared" si="62"/>
        <v/>
      </c>
      <c r="BE299" s="4" t="str">
        <f t="shared" si="62"/>
        <v/>
      </c>
      <c r="BF299" s="4" t="str">
        <f t="shared" si="62"/>
        <v/>
      </c>
      <c r="BG299" s="4" t="str">
        <f t="shared" si="62"/>
        <v/>
      </c>
      <c r="BH299" s="4" t="str">
        <f t="shared" si="62"/>
        <v/>
      </c>
      <c r="BI299" s="5" t="str">
        <f t="shared" si="62"/>
        <v/>
      </c>
    </row>
    <row r="300" spans="1:61" x14ac:dyDescent="0.25">
      <c r="A300">
        <v>457768</v>
      </c>
      <c r="B300" t="s">
        <v>15</v>
      </c>
      <c r="C300" t="s">
        <v>16</v>
      </c>
      <c r="D300">
        <v>60505</v>
      </c>
      <c r="E300">
        <v>253</v>
      </c>
      <c r="F300">
        <v>3</v>
      </c>
      <c r="G300">
        <v>20122</v>
      </c>
      <c r="H300" t="s">
        <v>0</v>
      </c>
      <c r="I300">
        <v>3412</v>
      </c>
      <c r="J300">
        <v>116</v>
      </c>
      <c r="K300">
        <v>8537.51</v>
      </c>
      <c r="L300">
        <v>8531.51</v>
      </c>
      <c r="M300">
        <v>6</v>
      </c>
      <c r="N300" s="3" t="str">
        <f t="shared" si="63"/>
        <v/>
      </c>
      <c r="O300" s="4" t="str">
        <f t="shared" si="63"/>
        <v/>
      </c>
      <c r="P300" s="4" t="str">
        <f t="shared" si="63"/>
        <v/>
      </c>
      <c r="Q300" s="4" t="str">
        <f t="shared" si="63"/>
        <v/>
      </c>
      <c r="R300" s="4" t="str">
        <f t="shared" si="63"/>
        <v/>
      </c>
      <c r="S300" s="4" t="str">
        <f t="shared" si="63"/>
        <v/>
      </c>
      <c r="T300" s="4" t="str">
        <f t="shared" si="63"/>
        <v/>
      </c>
      <c r="U300" s="4" t="str">
        <f t="shared" si="63"/>
        <v/>
      </c>
      <c r="V300" s="4" t="str">
        <f t="shared" si="60"/>
        <v/>
      </c>
      <c r="W300" s="4" t="str">
        <f t="shared" si="60"/>
        <v/>
      </c>
      <c r="X300" s="4" t="str">
        <f t="shared" si="60"/>
        <v/>
      </c>
      <c r="Y300" s="4" t="str">
        <f t="shared" si="60"/>
        <v/>
      </c>
      <c r="Z300" s="4" t="str">
        <f t="shared" si="60"/>
        <v/>
      </c>
      <c r="AA300" s="4" t="str">
        <f t="shared" si="60"/>
        <v/>
      </c>
      <c r="AB300" s="4" t="str">
        <f t="shared" si="60"/>
        <v/>
      </c>
      <c r="AC300" s="5" t="str">
        <f t="shared" si="60"/>
        <v/>
      </c>
      <c r="AD300" s="3" t="str">
        <f t="shared" si="64"/>
        <v/>
      </c>
      <c r="AE300" s="4" t="str">
        <f t="shared" si="64"/>
        <v/>
      </c>
      <c r="AF300" s="4" t="str">
        <f t="shared" si="64"/>
        <v/>
      </c>
      <c r="AG300" s="4" t="str">
        <f t="shared" si="64"/>
        <v/>
      </c>
      <c r="AH300" s="4" t="str">
        <f t="shared" si="64"/>
        <v/>
      </c>
      <c r="AI300" s="4">
        <f t="shared" si="64"/>
        <v>1</v>
      </c>
      <c r="AJ300" s="4" t="str">
        <f t="shared" si="64"/>
        <v/>
      </c>
      <c r="AK300" s="4" t="str">
        <f t="shared" si="64"/>
        <v/>
      </c>
      <c r="AL300" s="4" t="str">
        <f t="shared" si="61"/>
        <v/>
      </c>
      <c r="AM300" s="4" t="str">
        <f t="shared" si="61"/>
        <v/>
      </c>
      <c r="AN300" s="4" t="str">
        <f t="shared" si="61"/>
        <v/>
      </c>
      <c r="AO300" s="4" t="str">
        <f t="shared" si="61"/>
        <v/>
      </c>
      <c r="AP300" s="4" t="str">
        <f t="shared" si="61"/>
        <v/>
      </c>
      <c r="AQ300" s="4" t="str">
        <f t="shared" si="61"/>
        <v/>
      </c>
      <c r="AR300" s="4" t="str">
        <f t="shared" si="61"/>
        <v/>
      </c>
      <c r="AS300" s="5" t="str">
        <f t="shared" si="61"/>
        <v/>
      </c>
      <c r="AT300" s="3" t="str">
        <f t="shared" si="65"/>
        <v/>
      </c>
      <c r="AU300" s="4" t="str">
        <f t="shared" si="65"/>
        <v/>
      </c>
      <c r="AV300" s="4" t="str">
        <f t="shared" si="65"/>
        <v/>
      </c>
      <c r="AW300" s="4" t="str">
        <f t="shared" si="65"/>
        <v/>
      </c>
      <c r="AX300" s="4" t="str">
        <f t="shared" si="65"/>
        <v/>
      </c>
      <c r="AY300" s="4" t="str">
        <f t="shared" si="65"/>
        <v/>
      </c>
      <c r="AZ300" s="4" t="str">
        <f t="shared" si="65"/>
        <v/>
      </c>
      <c r="BA300" s="4" t="str">
        <f t="shared" si="65"/>
        <v/>
      </c>
      <c r="BB300" s="4" t="str">
        <f t="shared" si="62"/>
        <v/>
      </c>
      <c r="BC300" s="4" t="str">
        <f t="shared" si="62"/>
        <v/>
      </c>
      <c r="BD300" s="4" t="str">
        <f t="shared" si="62"/>
        <v/>
      </c>
      <c r="BE300" s="4" t="str">
        <f t="shared" si="62"/>
        <v/>
      </c>
      <c r="BF300" s="4" t="str">
        <f t="shared" si="62"/>
        <v/>
      </c>
      <c r="BG300" s="4" t="str">
        <f t="shared" si="62"/>
        <v/>
      </c>
      <c r="BH300" s="4" t="str">
        <f t="shared" si="62"/>
        <v/>
      </c>
      <c r="BI300" s="5" t="str">
        <f t="shared" si="62"/>
        <v/>
      </c>
    </row>
    <row r="301" spans="1:61" x14ac:dyDescent="0.25">
      <c r="A301">
        <v>457769</v>
      </c>
      <c r="B301" t="s">
        <v>15</v>
      </c>
      <c r="C301" t="s">
        <v>16</v>
      </c>
      <c r="D301">
        <v>60505</v>
      </c>
      <c r="E301">
        <v>253</v>
      </c>
      <c r="F301">
        <v>3</v>
      </c>
      <c r="G301">
        <v>20123</v>
      </c>
      <c r="H301" t="s">
        <v>0</v>
      </c>
      <c r="I301">
        <v>39050</v>
      </c>
      <c r="J301">
        <v>1302</v>
      </c>
      <c r="K301">
        <v>61409.4</v>
      </c>
      <c r="L301">
        <v>61364.63</v>
      </c>
      <c r="M301">
        <v>44.77</v>
      </c>
      <c r="N301" s="3" t="str">
        <f t="shared" si="63"/>
        <v/>
      </c>
      <c r="O301" s="4" t="str">
        <f t="shared" si="63"/>
        <v/>
      </c>
      <c r="P301" s="4" t="str">
        <f t="shared" si="63"/>
        <v/>
      </c>
      <c r="Q301" s="4" t="str">
        <f t="shared" si="63"/>
        <v/>
      </c>
      <c r="R301" s="4" t="str">
        <f t="shared" si="63"/>
        <v/>
      </c>
      <c r="S301" s="4" t="str">
        <f t="shared" si="63"/>
        <v/>
      </c>
      <c r="T301" s="4" t="str">
        <f t="shared" si="63"/>
        <v/>
      </c>
      <c r="U301" s="4" t="str">
        <f t="shared" si="63"/>
        <v/>
      </c>
      <c r="V301" s="4" t="str">
        <f t="shared" si="60"/>
        <v/>
      </c>
      <c r="W301" s="4" t="str">
        <f t="shared" si="60"/>
        <v/>
      </c>
      <c r="X301" s="4" t="str">
        <f t="shared" si="60"/>
        <v/>
      </c>
      <c r="Y301" s="4" t="str">
        <f t="shared" si="60"/>
        <v/>
      </c>
      <c r="Z301" s="4" t="str">
        <f t="shared" si="60"/>
        <v/>
      </c>
      <c r="AA301" s="4" t="str">
        <f t="shared" si="60"/>
        <v/>
      </c>
      <c r="AB301" s="4" t="str">
        <f t="shared" si="60"/>
        <v/>
      </c>
      <c r="AC301" s="5" t="str">
        <f t="shared" si="60"/>
        <v/>
      </c>
      <c r="AD301" s="3" t="str">
        <f t="shared" si="64"/>
        <v/>
      </c>
      <c r="AE301" s="4" t="str">
        <f t="shared" si="64"/>
        <v/>
      </c>
      <c r="AF301" s="4" t="str">
        <f t="shared" si="64"/>
        <v/>
      </c>
      <c r="AG301" s="4" t="str">
        <f t="shared" si="64"/>
        <v/>
      </c>
      <c r="AH301" s="4" t="str">
        <f t="shared" si="64"/>
        <v/>
      </c>
      <c r="AI301" s="4" t="str">
        <f t="shared" si="64"/>
        <v/>
      </c>
      <c r="AJ301" s="4">
        <f t="shared" si="64"/>
        <v>1</v>
      </c>
      <c r="AK301" s="4" t="str">
        <f t="shared" si="64"/>
        <v/>
      </c>
      <c r="AL301" s="4" t="str">
        <f t="shared" si="61"/>
        <v/>
      </c>
      <c r="AM301" s="4" t="str">
        <f t="shared" si="61"/>
        <v/>
      </c>
      <c r="AN301" s="4" t="str">
        <f t="shared" si="61"/>
        <v/>
      </c>
      <c r="AO301" s="4" t="str">
        <f t="shared" si="61"/>
        <v/>
      </c>
      <c r="AP301" s="4" t="str">
        <f t="shared" si="61"/>
        <v/>
      </c>
      <c r="AQ301" s="4" t="str">
        <f t="shared" si="61"/>
        <v/>
      </c>
      <c r="AR301" s="4" t="str">
        <f t="shared" si="61"/>
        <v/>
      </c>
      <c r="AS301" s="5" t="str">
        <f t="shared" si="61"/>
        <v/>
      </c>
      <c r="AT301" s="3" t="str">
        <f t="shared" si="65"/>
        <v/>
      </c>
      <c r="AU301" s="4" t="str">
        <f t="shared" si="65"/>
        <v/>
      </c>
      <c r="AV301" s="4" t="str">
        <f t="shared" si="65"/>
        <v/>
      </c>
      <c r="AW301" s="4" t="str">
        <f t="shared" si="65"/>
        <v/>
      </c>
      <c r="AX301" s="4" t="str">
        <f t="shared" si="65"/>
        <v/>
      </c>
      <c r="AY301" s="4" t="str">
        <f t="shared" si="65"/>
        <v/>
      </c>
      <c r="AZ301" s="4" t="str">
        <f t="shared" si="65"/>
        <v/>
      </c>
      <c r="BA301" s="4" t="str">
        <f t="shared" si="65"/>
        <v/>
      </c>
      <c r="BB301" s="4" t="str">
        <f t="shared" si="62"/>
        <v/>
      </c>
      <c r="BC301" s="4" t="str">
        <f t="shared" si="62"/>
        <v/>
      </c>
      <c r="BD301" s="4" t="str">
        <f t="shared" si="62"/>
        <v/>
      </c>
      <c r="BE301" s="4" t="str">
        <f t="shared" si="62"/>
        <v/>
      </c>
      <c r="BF301" s="4" t="str">
        <f t="shared" si="62"/>
        <v/>
      </c>
      <c r="BG301" s="4" t="str">
        <f t="shared" si="62"/>
        <v/>
      </c>
      <c r="BH301" s="4" t="str">
        <f t="shared" si="62"/>
        <v/>
      </c>
      <c r="BI301" s="5" t="str">
        <f t="shared" si="62"/>
        <v/>
      </c>
    </row>
    <row r="302" spans="1:61" x14ac:dyDescent="0.25">
      <c r="A302">
        <v>457770</v>
      </c>
      <c r="B302" t="s">
        <v>15</v>
      </c>
      <c r="C302" t="s">
        <v>16</v>
      </c>
      <c r="D302">
        <v>60505</v>
      </c>
      <c r="E302">
        <v>253</v>
      </c>
      <c r="F302">
        <v>3</v>
      </c>
      <c r="G302">
        <v>20124</v>
      </c>
      <c r="H302" t="s">
        <v>0</v>
      </c>
      <c r="I302">
        <v>49996</v>
      </c>
      <c r="J302">
        <v>1666</v>
      </c>
      <c r="K302">
        <v>72420.2</v>
      </c>
      <c r="L302">
        <v>72347.89</v>
      </c>
      <c r="M302">
        <v>72.31</v>
      </c>
      <c r="N302" s="3" t="str">
        <f t="shared" si="63"/>
        <v/>
      </c>
      <c r="O302" s="4" t="str">
        <f t="shared" si="63"/>
        <v/>
      </c>
      <c r="P302" s="4" t="str">
        <f t="shared" si="63"/>
        <v/>
      </c>
      <c r="Q302" s="4" t="str">
        <f t="shared" si="63"/>
        <v/>
      </c>
      <c r="R302" s="4" t="str">
        <f t="shared" si="63"/>
        <v/>
      </c>
      <c r="S302" s="4" t="str">
        <f t="shared" si="63"/>
        <v/>
      </c>
      <c r="T302" s="4" t="str">
        <f t="shared" si="63"/>
        <v/>
      </c>
      <c r="U302" s="4" t="str">
        <f t="shared" si="63"/>
        <v/>
      </c>
      <c r="V302" s="4" t="str">
        <f t="shared" si="60"/>
        <v/>
      </c>
      <c r="W302" s="4" t="str">
        <f t="shared" si="60"/>
        <v/>
      </c>
      <c r="X302" s="4" t="str">
        <f t="shared" si="60"/>
        <v/>
      </c>
      <c r="Y302" s="4" t="str">
        <f t="shared" si="60"/>
        <v/>
      </c>
      <c r="Z302" s="4" t="str">
        <f t="shared" si="60"/>
        <v/>
      </c>
      <c r="AA302" s="4" t="str">
        <f t="shared" si="60"/>
        <v/>
      </c>
      <c r="AB302" s="4" t="str">
        <f t="shared" si="60"/>
        <v/>
      </c>
      <c r="AC302" s="5" t="str">
        <f t="shared" si="60"/>
        <v/>
      </c>
      <c r="AD302" s="3" t="str">
        <f t="shared" si="64"/>
        <v/>
      </c>
      <c r="AE302" s="4" t="str">
        <f t="shared" si="64"/>
        <v/>
      </c>
      <c r="AF302" s="4" t="str">
        <f t="shared" si="64"/>
        <v/>
      </c>
      <c r="AG302" s="4" t="str">
        <f t="shared" si="64"/>
        <v/>
      </c>
      <c r="AH302" s="4" t="str">
        <f t="shared" si="64"/>
        <v/>
      </c>
      <c r="AI302" s="4" t="str">
        <f t="shared" si="64"/>
        <v/>
      </c>
      <c r="AJ302" s="4" t="str">
        <f t="shared" si="64"/>
        <v/>
      </c>
      <c r="AK302" s="4">
        <f t="shared" si="64"/>
        <v>1</v>
      </c>
      <c r="AL302" s="4" t="str">
        <f t="shared" si="61"/>
        <v/>
      </c>
      <c r="AM302" s="4" t="str">
        <f t="shared" si="61"/>
        <v/>
      </c>
      <c r="AN302" s="4" t="str">
        <f t="shared" si="61"/>
        <v/>
      </c>
      <c r="AO302" s="4" t="str">
        <f t="shared" si="61"/>
        <v/>
      </c>
      <c r="AP302" s="4" t="str">
        <f t="shared" si="61"/>
        <v/>
      </c>
      <c r="AQ302" s="4" t="str">
        <f t="shared" si="61"/>
        <v/>
      </c>
      <c r="AR302" s="4" t="str">
        <f t="shared" si="61"/>
        <v/>
      </c>
      <c r="AS302" s="5" t="str">
        <f t="shared" si="61"/>
        <v/>
      </c>
      <c r="AT302" s="3" t="str">
        <f t="shared" si="65"/>
        <v/>
      </c>
      <c r="AU302" s="4" t="str">
        <f t="shared" si="65"/>
        <v/>
      </c>
      <c r="AV302" s="4" t="str">
        <f t="shared" si="65"/>
        <v/>
      </c>
      <c r="AW302" s="4" t="str">
        <f t="shared" si="65"/>
        <v/>
      </c>
      <c r="AX302" s="4" t="str">
        <f t="shared" si="65"/>
        <v/>
      </c>
      <c r="AY302" s="4" t="str">
        <f t="shared" si="65"/>
        <v/>
      </c>
      <c r="AZ302" s="4" t="str">
        <f t="shared" si="65"/>
        <v/>
      </c>
      <c r="BA302" s="4" t="str">
        <f t="shared" si="65"/>
        <v/>
      </c>
      <c r="BB302" s="4" t="str">
        <f t="shared" si="62"/>
        <v/>
      </c>
      <c r="BC302" s="4" t="str">
        <f t="shared" si="62"/>
        <v/>
      </c>
      <c r="BD302" s="4" t="str">
        <f t="shared" si="62"/>
        <v/>
      </c>
      <c r="BE302" s="4" t="str">
        <f t="shared" si="62"/>
        <v/>
      </c>
      <c r="BF302" s="4" t="str">
        <f t="shared" si="62"/>
        <v/>
      </c>
      <c r="BG302" s="4" t="str">
        <f t="shared" si="62"/>
        <v/>
      </c>
      <c r="BH302" s="4" t="str">
        <f t="shared" si="62"/>
        <v/>
      </c>
      <c r="BI302" s="5" t="str">
        <f t="shared" si="62"/>
        <v/>
      </c>
    </row>
    <row r="303" spans="1:61" x14ac:dyDescent="0.25">
      <c r="A303">
        <v>582331</v>
      </c>
      <c r="B303" t="s">
        <v>14</v>
      </c>
      <c r="C303" t="s">
        <v>16</v>
      </c>
      <c r="D303">
        <v>60505</v>
      </c>
      <c r="E303">
        <v>253</v>
      </c>
      <c r="F303">
        <v>1</v>
      </c>
      <c r="G303">
        <v>20131</v>
      </c>
      <c r="H303" t="s">
        <v>0</v>
      </c>
      <c r="I303">
        <v>11687</v>
      </c>
      <c r="J303">
        <v>378</v>
      </c>
      <c r="K303">
        <v>4939.43</v>
      </c>
      <c r="L303">
        <v>4873.43</v>
      </c>
      <c r="M303">
        <v>66</v>
      </c>
      <c r="N303" s="3" t="str">
        <f t="shared" si="63"/>
        <v/>
      </c>
      <c r="O303" s="4" t="str">
        <f t="shared" si="63"/>
        <v/>
      </c>
      <c r="P303" s="4" t="str">
        <f t="shared" si="63"/>
        <v/>
      </c>
      <c r="Q303" s="4" t="str">
        <f t="shared" si="63"/>
        <v/>
      </c>
      <c r="R303" s="4" t="str">
        <f t="shared" si="63"/>
        <v/>
      </c>
      <c r="S303" s="4" t="str">
        <f t="shared" si="63"/>
        <v/>
      </c>
      <c r="T303" s="4" t="str">
        <f t="shared" si="63"/>
        <v/>
      </c>
      <c r="U303" s="4" t="str">
        <f t="shared" si="63"/>
        <v/>
      </c>
      <c r="V303" s="4" t="str">
        <f t="shared" si="60"/>
        <v/>
      </c>
      <c r="W303" s="4" t="str">
        <f t="shared" si="60"/>
        <v/>
      </c>
      <c r="X303" s="4" t="str">
        <f t="shared" si="60"/>
        <v/>
      </c>
      <c r="Y303" s="4" t="str">
        <f t="shared" si="60"/>
        <v/>
      </c>
      <c r="Z303" s="4" t="str">
        <f t="shared" si="60"/>
        <v/>
      </c>
      <c r="AA303" s="4" t="str">
        <f t="shared" si="60"/>
        <v/>
      </c>
      <c r="AB303" s="4" t="str">
        <f t="shared" si="60"/>
        <v/>
      </c>
      <c r="AC303" s="5" t="str">
        <f t="shared" si="60"/>
        <v/>
      </c>
      <c r="AD303" s="3" t="str">
        <f t="shared" si="64"/>
        <v/>
      </c>
      <c r="AE303" s="4" t="str">
        <f t="shared" si="64"/>
        <v/>
      </c>
      <c r="AF303" s="4" t="str">
        <f t="shared" si="64"/>
        <v/>
      </c>
      <c r="AG303" s="4" t="str">
        <f t="shared" si="64"/>
        <v/>
      </c>
      <c r="AH303" s="4" t="str">
        <f t="shared" si="64"/>
        <v/>
      </c>
      <c r="AI303" s="4" t="str">
        <f t="shared" si="64"/>
        <v/>
      </c>
      <c r="AJ303" s="4" t="str">
        <f t="shared" si="64"/>
        <v/>
      </c>
      <c r="AK303" s="4" t="str">
        <f t="shared" si="64"/>
        <v/>
      </c>
      <c r="AL303" s="4" t="str">
        <f t="shared" si="61"/>
        <v/>
      </c>
      <c r="AM303" s="4" t="str">
        <f t="shared" si="61"/>
        <v/>
      </c>
      <c r="AN303" s="4" t="str">
        <f t="shared" si="61"/>
        <v/>
      </c>
      <c r="AO303" s="4" t="str">
        <f t="shared" si="61"/>
        <v/>
      </c>
      <c r="AP303" s="4" t="str">
        <f t="shared" si="61"/>
        <v/>
      </c>
      <c r="AQ303" s="4" t="str">
        <f t="shared" si="61"/>
        <v/>
      </c>
      <c r="AR303" s="4" t="str">
        <f t="shared" si="61"/>
        <v/>
      </c>
      <c r="AS303" s="5" t="str">
        <f t="shared" si="61"/>
        <v/>
      </c>
      <c r="AT303" s="3">
        <f t="shared" si="65"/>
        <v>1</v>
      </c>
      <c r="AU303" s="4" t="str">
        <f t="shared" si="65"/>
        <v/>
      </c>
      <c r="AV303" s="4" t="str">
        <f t="shared" si="65"/>
        <v/>
      </c>
      <c r="AW303" s="4" t="str">
        <f t="shared" si="65"/>
        <v/>
      </c>
      <c r="AX303" s="4" t="str">
        <f t="shared" si="65"/>
        <v/>
      </c>
      <c r="AY303" s="4" t="str">
        <f t="shared" si="65"/>
        <v/>
      </c>
      <c r="AZ303" s="4" t="str">
        <f t="shared" si="65"/>
        <v/>
      </c>
      <c r="BA303" s="4" t="str">
        <f t="shared" si="65"/>
        <v/>
      </c>
      <c r="BB303" s="4" t="str">
        <f t="shared" si="62"/>
        <v/>
      </c>
      <c r="BC303" s="4" t="str">
        <f t="shared" si="62"/>
        <v/>
      </c>
      <c r="BD303" s="4" t="str">
        <f t="shared" si="62"/>
        <v/>
      </c>
      <c r="BE303" s="4" t="str">
        <f t="shared" si="62"/>
        <v/>
      </c>
      <c r="BF303" s="4" t="str">
        <f t="shared" si="62"/>
        <v/>
      </c>
      <c r="BG303" s="4" t="str">
        <f t="shared" si="62"/>
        <v/>
      </c>
      <c r="BH303" s="4" t="str">
        <f t="shared" si="62"/>
        <v/>
      </c>
      <c r="BI303" s="5" t="str">
        <f t="shared" si="62"/>
        <v/>
      </c>
    </row>
    <row r="304" spans="1:61" x14ac:dyDescent="0.25">
      <c r="A304">
        <v>582332</v>
      </c>
      <c r="B304" t="s">
        <v>14</v>
      </c>
      <c r="C304" t="s">
        <v>16</v>
      </c>
      <c r="D304">
        <v>60505</v>
      </c>
      <c r="E304">
        <v>253</v>
      </c>
      <c r="F304">
        <v>1</v>
      </c>
      <c r="G304">
        <v>20132</v>
      </c>
      <c r="H304" t="s">
        <v>17</v>
      </c>
      <c r="I304">
        <v>11937</v>
      </c>
      <c r="J304">
        <v>375</v>
      </c>
      <c r="K304">
        <v>5501.79</v>
      </c>
      <c r="L304">
        <v>5429.79</v>
      </c>
      <c r="M304">
        <v>72</v>
      </c>
      <c r="N304" s="3" t="str">
        <f t="shared" si="63"/>
        <v/>
      </c>
      <c r="O304" s="4" t="str">
        <f t="shared" si="63"/>
        <v/>
      </c>
      <c r="P304" s="4" t="str">
        <f t="shared" si="63"/>
        <v/>
      </c>
      <c r="Q304" s="4" t="str">
        <f t="shared" si="63"/>
        <v/>
      </c>
      <c r="R304" s="4" t="str">
        <f t="shared" si="63"/>
        <v/>
      </c>
      <c r="S304" s="4" t="str">
        <f t="shared" si="63"/>
        <v/>
      </c>
      <c r="T304" s="4" t="str">
        <f t="shared" si="63"/>
        <v/>
      </c>
      <c r="U304" s="4" t="str">
        <f t="shared" si="63"/>
        <v/>
      </c>
      <c r="V304" s="4" t="str">
        <f t="shared" si="60"/>
        <v/>
      </c>
      <c r="W304" s="4" t="str">
        <f t="shared" si="60"/>
        <v/>
      </c>
      <c r="X304" s="4" t="str">
        <f t="shared" si="60"/>
        <v/>
      </c>
      <c r="Y304" s="4" t="str">
        <f t="shared" si="60"/>
        <v/>
      </c>
      <c r="Z304" s="4" t="str">
        <f t="shared" si="60"/>
        <v/>
      </c>
      <c r="AA304" s="4" t="str">
        <f t="shared" si="60"/>
        <v/>
      </c>
      <c r="AB304" s="4" t="str">
        <f t="shared" si="60"/>
        <v/>
      </c>
      <c r="AC304" s="5" t="str">
        <f t="shared" si="60"/>
        <v/>
      </c>
      <c r="AD304" s="3" t="str">
        <f t="shared" si="64"/>
        <v/>
      </c>
      <c r="AE304" s="4" t="str">
        <f t="shared" si="64"/>
        <v/>
      </c>
      <c r="AF304" s="4" t="str">
        <f t="shared" si="64"/>
        <v/>
      </c>
      <c r="AG304" s="4" t="str">
        <f t="shared" si="64"/>
        <v/>
      </c>
      <c r="AH304" s="4" t="str">
        <f t="shared" si="64"/>
        <v/>
      </c>
      <c r="AI304" s="4" t="str">
        <f t="shared" si="64"/>
        <v/>
      </c>
      <c r="AJ304" s="4" t="str">
        <f t="shared" si="64"/>
        <v/>
      </c>
      <c r="AK304" s="4" t="str">
        <f t="shared" si="64"/>
        <v/>
      </c>
      <c r="AL304" s="4" t="str">
        <f t="shared" si="61"/>
        <v/>
      </c>
      <c r="AM304" s="4" t="str">
        <f t="shared" si="61"/>
        <v/>
      </c>
      <c r="AN304" s="4" t="str">
        <f t="shared" si="61"/>
        <v/>
      </c>
      <c r="AO304" s="4" t="str">
        <f t="shared" si="61"/>
        <v/>
      </c>
      <c r="AP304" s="4" t="str">
        <f t="shared" si="61"/>
        <v/>
      </c>
      <c r="AQ304" s="4" t="str">
        <f t="shared" si="61"/>
        <v/>
      </c>
      <c r="AR304" s="4" t="str">
        <f t="shared" si="61"/>
        <v/>
      </c>
      <c r="AS304" s="5" t="str">
        <f t="shared" si="61"/>
        <v/>
      </c>
      <c r="AT304" s="3" t="str">
        <f t="shared" si="65"/>
        <v/>
      </c>
      <c r="AU304" s="4" t="str">
        <f t="shared" si="65"/>
        <v/>
      </c>
      <c r="AV304" s="4" t="str">
        <f t="shared" si="65"/>
        <v/>
      </c>
      <c r="AW304" s="4" t="str">
        <f t="shared" si="65"/>
        <v/>
      </c>
      <c r="AX304" s="4" t="str">
        <f t="shared" si="65"/>
        <v/>
      </c>
      <c r="AY304" s="4" t="str">
        <f t="shared" si="65"/>
        <v/>
      </c>
      <c r="AZ304" s="4" t="str">
        <f t="shared" si="65"/>
        <v/>
      </c>
      <c r="BA304" s="4" t="str">
        <f t="shared" si="65"/>
        <v/>
      </c>
      <c r="BB304" s="4" t="str">
        <f t="shared" si="62"/>
        <v/>
      </c>
      <c r="BC304" s="4" t="str">
        <f t="shared" si="62"/>
        <v/>
      </c>
      <c r="BD304" s="4" t="str">
        <f t="shared" si="62"/>
        <v/>
      </c>
      <c r="BE304" s="4" t="str">
        <f t="shared" si="62"/>
        <v/>
      </c>
      <c r="BF304" s="4" t="str">
        <f t="shared" si="62"/>
        <v/>
      </c>
      <c r="BG304" s="4" t="str">
        <f t="shared" si="62"/>
        <v/>
      </c>
      <c r="BH304" s="4" t="str">
        <f t="shared" si="62"/>
        <v/>
      </c>
      <c r="BI304" s="5" t="str">
        <f t="shared" si="62"/>
        <v/>
      </c>
    </row>
    <row r="305" spans="1:61" x14ac:dyDescent="0.25">
      <c r="A305">
        <v>582333</v>
      </c>
      <c r="B305" t="s">
        <v>14</v>
      </c>
      <c r="C305" t="s">
        <v>16</v>
      </c>
      <c r="D305">
        <v>60505</v>
      </c>
      <c r="E305">
        <v>253</v>
      </c>
      <c r="F305">
        <v>1</v>
      </c>
      <c r="G305">
        <v>20133</v>
      </c>
      <c r="H305" t="s">
        <v>17</v>
      </c>
      <c r="I305">
        <v>9030</v>
      </c>
      <c r="J305">
        <v>280</v>
      </c>
      <c r="K305">
        <v>3179.97</v>
      </c>
      <c r="L305">
        <v>3120.77</v>
      </c>
      <c r="M305">
        <v>59.2</v>
      </c>
      <c r="N305" s="3" t="str">
        <f t="shared" si="63"/>
        <v/>
      </c>
      <c r="O305" s="4" t="str">
        <f t="shared" si="63"/>
        <v/>
      </c>
      <c r="P305" s="4" t="str">
        <f t="shared" si="63"/>
        <v/>
      </c>
      <c r="Q305" s="4" t="str">
        <f t="shared" si="63"/>
        <v/>
      </c>
      <c r="R305" s="4" t="str">
        <f t="shared" si="63"/>
        <v/>
      </c>
      <c r="S305" s="4" t="str">
        <f t="shared" si="63"/>
        <v/>
      </c>
      <c r="T305" s="4" t="str">
        <f t="shared" si="63"/>
        <v/>
      </c>
      <c r="U305" s="4" t="str">
        <f t="shared" si="63"/>
        <v/>
      </c>
      <c r="V305" s="4" t="str">
        <f t="shared" si="60"/>
        <v/>
      </c>
      <c r="W305" s="4" t="str">
        <f t="shared" si="60"/>
        <v/>
      </c>
      <c r="X305" s="4" t="str">
        <f t="shared" si="60"/>
        <v/>
      </c>
      <c r="Y305" s="4" t="str">
        <f t="shared" si="60"/>
        <v/>
      </c>
      <c r="Z305" s="4" t="str">
        <f t="shared" si="60"/>
        <v/>
      </c>
      <c r="AA305" s="4" t="str">
        <f t="shared" si="60"/>
        <v/>
      </c>
      <c r="AB305" s="4" t="str">
        <f t="shared" si="60"/>
        <v/>
      </c>
      <c r="AC305" s="5" t="str">
        <f t="shared" ref="W305:AC342" si="66">IF(AND($B305=AC$3, $G305=AC$2, LEFT($H305, 6)=AC$1), 1, "")</f>
        <v/>
      </c>
      <c r="AD305" s="3" t="str">
        <f t="shared" si="64"/>
        <v/>
      </c>
      <c r="AE305" s="4" t="str">
        <f t="shared" si="64"/>
        <v/>
      </c>
      <c r="AF305" s="4" t="str">
        <f t="shared" si="64"/>
        <v/>
      </c>
      <c r="AG305" s="4" t="str">
        <f t="shared" si="64"/>
        <v/>
      </c>
      <c r="AH305" s="4" t="str">
        <f t="shared" si="64"/>
        <v/>
      </c>
      <c r="AI305" s="4" t="str">
        <f t="shared" si="64"/>
        <v/>
      </c>
      <c r="AJ305" s="4" t="str">
        <f t="shared" si="64"/>
        <v/>
      </c>
      <c r="AK305" s="4" t="str">
        <f t="shared" si="64"/>
        <v/>
      </c>
      <c r="AL305" s="4" t="str">
        <f t="shared" si="61"/>
        <v/>
      </c>
      <c r="AM305" s="4" t="str">
        <f t="shared" si="61"/>
        <v/>
      </c>
      <c r="AN305" s="4" t="str">
        <f t="shared" si="61"/>
        <v/>
      </c>
      <c r="AO305" s="4" t="str">
        <f t="shared" si="61"/>
        <v/>
      </c>
      <c r="AP305" s="4" t="str">
        <f t="shared" si="61"/>
        <v/>
      </c>
      <c r="AQ305" s="4" t="str">
        <f t="shared" si="61"/>
        <v/>
      </c>
      <c r="AR305" s="4" t="str">
        <f t="shared" si="61"/>
        <v/>
      </c>
      <c r="AS305" s="5" t="str">
        <f t="shared" ref="AM305:AS342" si="67">IF(AND($B305=AS$3, $G305=AS$2, LEFT($H305, 6)=AS$1), 1, "")</f>
        <v/>
      </c>
      <c r="AT305" s="3" t="str">
        <f t="shared" si="65"/>
        <v/>
      </c>
      <c r="AU305" s="4" t="str">
        <f t="shared" si="65"/>
        <v/>
      </c>
      <c r="AV305" s="4" t="str">
        <f t="shared" si="65"/>
        <v/>
      </c>
      <c r="AW305" s="4" t="str">
        <f t="shared" si="65"/>
        <v/>
      </c>
      <c r="AX305" s="4" t="str">
        <f t="shared" si="65"/>
        <v/>
      </c>
      <c r="AY305" s="4" t="str">
        <f t="shared" si="65"/>
        <v/>
      </c>
      <c r="AZ305" s="4" t="str">
        <f t="shared" si="65"/>
        <v/>
      </c>
      <c r="BA305" s="4" t="str">
        <f t="shared" si="65"/>
        <v/>
      </c>
      <c r="BB305" s="4" t="str">
        <f t="shared" si="62"/>
        <v/>
      </c>
      <c r="BC305" s="4" t="str">
        <f t="shared" si="62"/>
        <v/>
      </c>
      <c r="BD305" s="4" t="str">
        <f t="shared" si="62"/>
        <v/>
      </c>
      <c r="BE305" s="4" t="str">
        <f t="shared" si="62"/>
        <v/>
      </c>
      <c r="BF305" s="4" t="str">
        <f t="shared" si="62"/>
        <v/>
      </c>
      <c r="BG305" s="4" t="str">
        <f t="shared" si="62"/>
        <v/>
      </c>
      <c r="BH305" s="4" t="str">
        <f t="shared" si="62"/>
        <v/>
      </c>
      <c r="BI305" s="5" t="str">
        <f t="shared" ref="BC305:BI342" si="68">IF(AND($B305=BI$3, $G305=BI$2, LEFT($H305, 6)=BI$1), 1, "")</f>
        <v/>
      </c>
    </row>
    <row r="306" spans="1:61" x14ac:dyDescent="0.25">
      <c r="A306">
        <v>582334</v>
      </c>
      <c r="B306" t="s">
        <v>14</v>
      </c>
      <c r="C306" t="s">
        <v>16</v>
      </c>
      <c r="D306">
        <v>60505</v>
      </c>
      <c r="E306">
        <v>253</v>
      </c>
      <c r="F306">
        <v>1</v>
      </c>
      <c r="G306">
        <v>20134</v>
      </c>
      <c r="H306" t="s">
        <v>17</v>
      </c>
      <c r="I306">
        <v>8687</v>
      </c>
      <c r="J306">
        <v>275</v>
      </c>
      <c r="K306">
        <v>3233.16</v>
      </c>
      <c r="L306">
        <v>3140.37</v>
      </c>
      <c r="M306">
        <v>92.79</v>
      </c>
      <c r="N306" s="3" t="str">
        <f t="shared" si="63"/>
        <v/>
      </c>
      <c r="O306" s="4" t="str">
        <f t="shared" si="63"/>
        <v/>
      </c>
      <c r="P306" s="4" t="str">
        <f t="shared" si="63"/>
        <v/>
      </c>
      <c r="Q306" s="4" t="str">
        <f t="shared" si="63"/>
        <v/>
      </c>
      <c r="R306" s="4" t="str">
        <f t="shared" si="63"/>
        <v/>
      </c>
      <c r="S306" s="4" t="str">
        <f t="shared" si="63"/>
        <v/>
      </c>
      <c r="T306" s="4" t="str">
        <f t="shared" si="63"/>
        <v/>
      </c>
      <c r="U306" s="4" t="str">
        <f t="shared" ref="N306:U338" si="69">IF(AND($B306=U$3, $G306=U$2, $H306=U$1), 1, "")</f>
        <v/>
      </c>
      <c r="V306" s="4" t="str">
        <f t="shared" ref="V306:V369" si="70">IF(AND($B306=V$3, $G306=V$2, LEFT($H306, 6)=V$1), 1, "")</f>
        <v/>
      </c>
      <c r="W306" s="4" t="str">
        <f t="shared" si="66"/>
        <v/>
      </c>
      <c r="X306" s="4" t="str">
        <f t="shared" si="66"/>
        <v/>
      </c>
      <c r="Y306" s="4" t="str">
        <f t="shared" si="66"/>
        <v/>
      </c>
      <c r="Z306" s="4" t="str">
        <f t="shared" si="66"/>
        <v/>
      </c>
      <c r="AA306" s="4" t="str">
        <f t="shared" si="66"/>
        <v/>
      </c>
      <c r="AB306" s="4" t="str">
        <f t="shared" si="66"/>
        <v/>
      </c>
      <c r="AC306" s="5" t="str">
        <f t="shared" si="66"/>
        <v/>
      </c>
      <c r="AD306" s="3" t="str">
        <f t="shared" si="64"/>
        <v/>
      </c>
      <c r="AE306" s="4" t="str">
        <f t="shared" si="64"/>
        <v/>
      </c>
      <c r="AF306" s="4" t="str">
        <f t="shared" si="64"/>
        <v/>
      </c>
      <c r="AG306" s="4" t="str">
        <f t="shared" si="64"/>
        <v/>
      </c>
      <c r="AH306" s="4" t="str">
        <f t="shared" si="64"/>
        <v/>
      </c>
      <c r="AI306" s="4" t="str">
        <f t="shared" si="64"/>
        <v/>
      </c>
      <c r="AJ306" s="4" t="str">
        <f t="shared" si="64"/>
        <v/>
      </c>
      <c r="AK306" s="4" t="str">
        <f t="shared" ref="AD306:AK338" si="71">IF(AND($B306=AK$3, $G306=AK$2, $H306=AK$1), 1, "")</f>
        <v/>
      </c>
      <c r="AL306" s="4" t="str">
        <f t="shared" ref="AL306:AL369" si="72">IF(AND($B306=AL$3, $G306=AL$2, LEFT($H306, 6)=AL$1), 1, "")</f>
        <v/>
      </c>
      <c r="AM306" s="4" t="str">
        <f t="shared" si="67"/>
        <v/>
      </c>
      <c r="AN306" s="4" t="str">
        <f t="shared" si="67"/>
        <v/>
      </c>
      <c r="AO306" s="4" t="str">
        <f t="shared" si="67"/>
        <v/>
      </c>
      <c r="AP306" s="4" t="str">
        <f t="shared" si="67"/>
        <v/>
      </c>
      <c r="AQ306" s="4" t="str">
        <f t="shared" si="67"/>
        <v/>
      </c>
      <c r="AR306" s="4" t="str">
        <f t="shared" si="67"/>
        <v/>
      </c>
      <c r="AS306" s="5" t="str">
        <f t="shared" si="67"/>
        <v/>
      </c>
      <c r="AT306" s="3" t="str">
        <f t="shared" si="65"/>
        <v/>
      </c>
      <c r="AU306" s="4" t="str">
        <f t="shared" si="65"/>
        <v/>
      </c>
      <c r="AV306" s="4" t="str">
        <f t="shared" si="65"/>
        <v/>
      </c>
      <c r="AW306" s="4" t="str">
        <f t="shared" si="65"/>
        <v/>
      </c>
      <c r="AX306" s="4" t="str">
        <f t="shared" si="65"/>
        <v/>
      </c>
      <c r="AY306" s="4" t="str">
        <f t="shared" si="65"/>
        <v/>
      </c>
      <c r="AZ306" s="4" t="str">
        <f t="shared" si="65"/>
        <v/>
      </c>
      <c r="BA306" s="4" t="str">
        <f t="shared" ref="AT306:BA338" si="73">IF(AND($B306=BA$3, $G306=BA$2, $H306=BA$1), 1, "")</f>
        <v/>
      </c>
      <c r="BB306" s="4" t="str">
        <f t="shared" ref="BB306:BB369" si="74">IF(AND($B306=BB$3, $G306=BB$2, LEFT($H306, 6)=BB$1), 1, "")</f>
        <v/>
      </c>
      <c r="BC306" s="4" t="str">
        <f t="shared" si="68"/>
        <v/>
      </c>
      <c r="BD306" s="4" t="str">
        <f t="shared" si="68"/>
        <v/>
      </c>
      <c r="BE306" s="4" t="str">
        <f t="shared" si="68"/>
        <v/>
      </c>
      <c r="BF306" s="4" t="str">
        <f t="shared" si="68"/>
        <v/>
      </c>
      <c r="BG306" s="4" t="str">
        <f t="shared" si="68"/>
        <v/>
      </c>
      <c r="BH306" s="4" t="str">
        <f t="shared" si="68"/>
        <v/>
      </c>
      <c r="BI306" s="5" t="str">
        <f t="shared" si="68"/>
        <v/>
      </c>
    </row>
    <row r="307" spans="1:61" x14ac:dyDescent="0.25">
      <c r="A307">
        <v>582335</v>
      </c>
      <c r="B307" t="s">
        <v>14</v>
      </c>
      <c r="C307" t="s">
        <v>16</v>
      </c>
      <c r="D307">
        <v>60505</v>
      </c>
      <c r="E307">
        <v>253</v>
      </c>
      <c r="F307">
        <v>2</v>
      </c>
      <c r="G307">
        <v>20131</v>
      </c>
      <c r="H307" t="s">
        <v>0</v>
      </c>
      <c r="I307">
        <v>23942</v>
      </c>
      <c r="J307">
        <v>786</v>
      </c>
      <c r="K307">
        <v>14365.27</v>
      </c>
      <c r="L307">
        <v>14008.16</v>
      </c>
      <c r="M307">
        <v>357.11</v>
      </c>
      <c r="N307" s="3" t="str">
        <f t="shared" si="69"/>
        <v/>
      </c>
      <c r="O307" s="4" t="str">
        <f t="shared" si="69"/>
        <v/>
      </c>
      <c r="P307" s="4" t="str">
        <f t="shared" si="69"/>
        <v/>
      </c>
      <c r="Q307" s="4" t="str">
        <f t="shared" si="69"/>
        <v/>
      </c>
      <c r="R307" s="4" t="str">
        <f t="shared" si="69"/>
        <v/>
      </c>
      <c r="S307" s="4" t="str">
        <f t="shared" si="69"/>
        <v/>
      </c>
      <c r="T307" s="4" t="str">
        <f t="shared" si="69"/>
        <v/>
      </c>
      <c r="U307" s="4" t="str">
        <f t="shared" si="69"/>
        <v/>
      </c>
      <c r="V307" s="4" t="str">
        <f t="shared" si="70"/>
        <v/>
      </c>
      <c r="W307" s="4" t="str">
        <f t="shared" si="66"/>
        <v/>
      </c>
      <c r="X307" s="4" t="str">
        <f t="shared" si="66"/>
        <v/>
      </c>
      <c r="Y307" s="4" t="str">
        <f t="shared" si="66"/>
        <v/>
      </c>
      <c r="Z307" s="4" t="str">
        <f t="shared" si="66"/>
        <v/>
      </c>
      <c r="AA307" s="4" t="str">
        <f t="shared" si="66"/>
        <v/>
      </c>
      <c r="AB307" s="4" t="str">
        <f t="shared" si="66"/>
        <v/>
      </c>
      <c r="AC307" s="5" t="str">
        <f t="shared" si="66"/>
        <v/>
      </c>
      <c r="AD307" s="3" t="str">
        <f t="shared" si="71"/>
        <v/>
      </c>
      <c r="AE307" s="4" t="str">
        <f t="shared" si="71"/>
        <v/>
      </c>
      <c r="AF307" s="4" t="str">
        <f t="shared" si="71"/>
        <v/>
      </c>
      <c r="AG307" s="4" t="str">
        <f t="shared" si="71"/>
        <v/>
      </c>
      <c r="AH307" s="4" t="str">
        <f t="shared" si="71"/>
        <v/>
      </c>
      <c r="AI307" s="4" t="str">
        <f t="shared" si="71"/>
        <v/>
      </c>
      <c r="AJ307" s="4" t="str">
        <f t="shared" si="71"/>
        <v/>
      </c>
      <c r="AK307" s="4" t="str">
        <f t="shared" si="71"/>
        <v/>
      </c>
      <c r="AL307" s="4" t="str">
        <f t="shared" si="72"/>
        <v/>
      </c>
      <c r="AM307" s="4" t="str">
        <f t="shared" si="67"/>
        <v/>
      </c>
      <c r="AN307" s="4" t="str">
        <f t="shared" si="67"/>
        <v/>
      </c>
      <c r="AO307" s="4" t="str">
        <f t="shared" si="67"/>
        <v/>
      </c>
      <c r="AP307" s="4" t="str">
        <f t="shared" si="67"/>
        <v/>
      </c>
      <c r="AQ307" s="4" t="str">
        <f t="shared" si="67"/>
        <v/>
      </c>
      <c r="AR307" s="4" t="str">
        <f t="shared" si="67"/>
        <v/>
      </c>
      <c r="AS307" s="5" t="str">
        <f t="shared" si="67"/>
        <v/>
      </c>
      <c r="AT307" s="3">
        <f t="shared" si="73"/>
        <v>1</v>
      </c>
      <c r="AU307" s="4" t="str">
        <f t="shared" si="73"/>
        <v/>
      </c>
      <c r="AV307" s="4" t="str">
        <f t="shared" si="73"/>
        <v/>
      </c>
      <c r="AW307" s="4" t="str">
        <f t="shared" si="73"/>
        <v/>
      </c>
      <c r="AX307" s="4" t="str">
        <f t="shared" si="73"/>
        <v/>
      </c>
      <c r="AY307" s="4" t="str">
        <f t="shared" si="73"/>
        <v/>
      </c>
      <c r="AZ307" s="4" t="str">
        <f t="shared" si="73"/>
        <v/>
      </c>
      <c r="BA307" s="4" t="str">
        <f t="shared" si="73"/>
        <v/>
      </c>
      <c r="BB307" s="4" t="str">
        <f t="shared" si="74"/>
        <v/>
      </c>
      <c r="BC307" s="4" t="str">
        <f t="shared" si="68"/>
        <v/>
      </c>
      <c r="BD307" s="4" t="str">
        <f t="shared" si="68"/>
        <v/>
      </c>
      <c r="BE307" s="4" t="str">
        <f t="shared" si="68"/>
        <v/>
      </c>
      <c r="BF307" s="4" t="str">
        <f t="shared" si="68"/>
        <v/>
      </c>
      <c r="BG307" s="4" t="str">
        <f t="shared" si="68"/>
        <v/>
      </c>
      <c r="BH307" s="4" t="str">
        <f t="shared" si="68"/>
        <v/>
      </c>
      <c r="BI307" s="5" t="str">
        <f t="shared" si="68"/>
        <v/>
      </c>
    </row>
    <row r="308" spans="1:61" x14ac:dyDescent="0.25">
      <c r="A308">
        <v>582336</v>
      </c>
      <c r="B308" t="s">
        <v>14</v>
      </c>
      <c r="C308" t="s">
        <v>16</v>
      </c>
      <c r="D308">
        <v>60505</v>
      </c>
      <c r="E308">
        <v>253</v>
      </c>
      <c r="F308">
        <v>2</v>
      </c>
      <c r="G308">
        <v>20132</v>
      </c>
      <c r="H308" t="s">
        <v>17</v>
      </c>
      <c r="I308">
        <v>23406</v>
      </c>
      <c r="J308">
        <v>763</v>
      </c>
      <c r="K308">
        <v>14634.97</v>
      </c>
      <c r="L308">
        <v>14185.33</v>
      </c>
      <c r="M308">
        <v>449.64</v>
      </c>
      <c r="N308" s="3" t="str">
        <f t="shared" si="69"/>
        <v/>
      </c>
      <c r="O308" s="4" t="str">
        <f t="shared" si="69"/>
        <v/>
      </c>
      <c r="P308" s="4" t="str">
        <f t="shared" si="69"/>
        <v/>
      </c>
      <c r="Q308" s="4" t="str">
        <f t="shared" si="69"/>
        <v/>
      </c>
      <c r="R308" s="4" t="str">
        <f t="shared" si="69"/>
        <v/>
      </c>
      <c r="S308" s="4" t="str">
        <f t="shared" si="69"/>
        <v/>
      </c>
      <c r="T308" s="4" t="str">
        <f t="shared" si="69"/>
        <v/>
      </c>
      <c r="U308" s="4" t="str">
        <f t="shared" si="69"/>
        <v/>
      </c>
      <c r="V308" s="4" t="str">
        <f t="shared" si="70"/>
        <v/>
      </c>
      <c r="W308" s="4" t="str">
        <f t="shared" si="66"/>
        <v/>
      </c>
      <c r="X308" s="4" t="str">
        <f t="shared" si="66"/>
        <v/>
      </c>
      <c r="Y308" s="4" t="str">
        <f t="shared" si="66"/>
        <v/>
      </c>
      <c r="Z308" s="4" t="str">
        <f t="shared" si="66"/>
        <v/>
      </c>
      <c r="AA308" s="4" t="str">
        <f t="shared" si="66"/>
        <v/>
      </c>
      <c r="AB308" s="4" t="str">
        <f t="shared" si="66"/>
        <v/>
      </c>
      <c r="AC308" s="5" t="str">
        <f t="shared" si="66"/>
        <v/>
      </c>
      <c r="AD308" s="3" t="str">
        <f t="shared" si="71"/>
        <v/>
      </c>
      <c r="AE308" s="4" t="str">
        <f t="shared" si="71"/>
        <v/>
      </c>
      <c r="AF308" s="4" t="str">
        <f t="shared" si="71"/>
        <v/>
      </c>
      <c r="AG308" s="4" t="str">
        <f t="shared" si="71"/>
        <v/>
      </c>
      <c r="AH308" s="4" t="str">
        <f t="shared" si="71"/>
        <v/>
      </c>
      <c r="AI308" s="4" t="str">
        <f t="shared" si="71"/>
        <v/>
      </c>
      <c r="AJ308" s="4" t="str">
        <f t="shared" si="71"/>
        <v/>
      </c>
      <c r="AK308" s="4" t="str">
        <f t="shared" si="71"/>
        <v/>
      </c>
      <c r="AL308" s="4" t="str">
        <f t="shared" si="72"/>
        <v/>
      </c>
      <c r="AM308" s="4" t="str">
        <f t="shared" si="67"/>
        <v/>
      </c>
      <c r="AN308" s="4" t="str">
        <f t="shared" si="67"/>
        <v/>
      </c>
      <c r="AO308" s="4" t="str">
        <f t="shared" si="67"/>
        <v/>
      </c>
      <c r="AP308" s="4" t="str">
        <f t="shared" si="67"/>
        <v/>
      </c>
      <c r="AQ308" s="4" t="str">
        <f t="shared" si="67"/>
        <v/>
      </c>
      <c r="AR308" s="4" t="str">
        <f t="shared" si="67"/>
        <v/>
      </c>
      <c r="AS308" s="5" t="str">
        <f t="shared" si="67"/>
        <v/>
      </c>
      <c r="AT308" s="3" t="str">
        <f t="shared" si="73"/>
        <v/>
      </c>
      <c r="AU308" s="4" t="str">
        <f t="shared" si="73"/>
        <v/>
      </c>
      <c r="AV308" s="4" t="str">
        <f t="shared" si="73"/>
        <v/>
      </c>
      <c r="AW308" s="4" t="str">
        <f t="shared" si="73"/>
        <v/>
      </c>
      <c r="AX308" s="4" t="str">
        <f t="shared" si="73"/>
        <v/>
      </c>
      <c r="AY308" s="4" t="str">
        <f t="shared" si="73"/>
        <v/>
      </c>
      <c r="AZ308" s="4" t="str">
        <f t="shared" si="73"/>
        <v/>
      </c>
      <c r="BA308" s="4" t="str">
        <f t="shared" si="73"/>
        <v/>
      </c>
      <c r="BB308" s="4" t="str">
        <f t="shared" si="74"/>
        <v/>
      </c>
      <c r="BC308" s="4" t="str">
        <f t="shared" si="68"/>
        <v/>
      </c>
      <c r="BD308" s="4" t="str">
        <f t="shared" si="68"/>
        <v/>
      </c>
      <c r="BE308" s="4" t="str">
        <f t="shared" si="68"/>
        <v/>
      </c>
      <c r="BF308" s="4" t="str">
        <f t="shared" si="68"/>
        <v/>
      </c>
      <c r="BG308" s="4" t="str">
        <f t="shared" si="68"/>
        <v/>
      </c>
      <c r="BH308" s="4" t="str">
        <f t="shared" si="68"/>
        <v/>
      </c>
      <c r="BI308" s="5" t="str">
        <f t="shared" si="68"/>
        <v/>
      </c>
    </row>
    <row r="309" spans="1:61" x14ac:dyDescent="0.25">
      <c r="A309">
        <v>582337</v>
      </c>
      <c r="B309" t="s">
        <v>14</v>
      </c>
      <c r="C309" t="s">
        <v>16</v>
      </c>
      <c r="D309">
        <v>60505</v>
      </c>
      <c r="E309">
        <v>253</v>
      </c>
      <c r="F309">
        <v>2</v>
      </c>
      <c r="G309">
        <v>20133</v>
      </c>
      <c r="H309" t="s">
        <v>17</v>
      </c>
      <c r="I309">
        <v>37508</v>
      </c>
      <c r="J309">
        <v>1133</v>
      </c>
      <c r="K309">
        <v>18797.7</v>
      </c>
      <c r="L309">
        <v>17553.759999999998</v>
      </c>
      <c r="M309">
        <v>1243.94</v>
      </c>
      <c r="N309" s="3" t="str">
        <f t="shared" si="69"/>
        <v/>
      </c>
      <c r="O309" s="4" t="str">
        <f t="shared" si="69"/>
        <v/>
      </c>
      <c r="P309" s="4" t="str">
        <f t="shared" si="69"/>
        <v/>
      </c>
      <c r="Q309" s="4" t="str">
        <f t="shared" si="69"/>
        <v/>
      </c>
      <c r="R309" s="4" t="str">
        <f t="shared" si="69"/>
        <v/>
      </c>
      <c r="S309" s="4" t="str">
        <f t="shared" si="69"/>
        <v/>
      </c>
      <c r="T309" s="4" t="str">
        <f t="shared" si="69"/>
        <v/>
      </c>
      <c r="U309" s="4" t="str">
        <f t="shared" si="69"/>
        <v/>
      </c>
      <c r="V309" s="4" t="str">
        <f t="shared" si="70"/>
        <v/>
      </c>
      <c r="W309" s="4" t="str">
        <f t="shared" si="66"/>
        <v/>
      </c>
      <c r="X309" s="4" t="str">
        <f t="shared" si="66"/>
        <v/>
      </c>
      <c r="Y309" s="4" t="str">
        <f t="shared" si="66"/>
        <v/>
      </c>
      <c r="Z309" s="4" t="str">
        <f t="shared" si="66"/>
        <v/>
      </c>
      <c r="AA309" s="4" t="str">
        <f t="shared" si="66"/>
        <v/>
      </c>
      <c r="AB309" s="4" t="str">
        <f t="shared" si="66"/>
        <v/>
      </c>
      <c r="AC309" s="5" t="str">
        <f t="shared" si="66"/>
        <v/>
      </c>
      <c r="AD309" s="3" t="str">
        <f t="shared" si="71"/>
        <v/>
      </c>
      <c r="AE309" s="4" t="str">
        <f t="shared" si="71"/>
        <v/>
      </c>
      <c r="AF309" s="4" t="str">
        <f t="shared" si="71"/>
        <v/>
      </c>
      <c r="AG309" s="4" t="str">
        <f t="shared" si="71"/>
        <v/>
      </c>
      <c r="AH309" s="4" t="str">
        <f t="shared" si="71"/>
        <v/>
      </c>
      <c r="AI309" s="4" t="str">
        <f t="shared" si="71"/>
        <v/>
      </c>
      <c r="AJ309" s="4" t="str">
        <f t="shared" si="71"/>
        <v/>
      </c>
      <c r="AK309" s="4" t="str">
        <f t="shared" si="71"/>
        <v/>
      </c>
      <c r="AL309" s="4" t="str">
        <f t="shared" si="72"/>
        <v/>
      </c>
      <c r="AM309" s="4" t="str">
        <f t="shared" si="67"/>
        <v/>
      </c>
      <c r="AN309" s="4" t="str">
        <f t="shared" si="67"/>
        <v/>
      </c>
      <c r="AO309" s="4" t="str">
        <f t="shared" si="67"/>
        <v/>
      </c>
      <c r="AP309" s="4" t="str">
        <f t="shared" si="67"/>
        <v/>
      </c>
      <c r="AQ309" s="4" t="str">
        <f t="shared" si="67"/>
        <v/>
      </c>
      <c r="AR309" s="4" t="str">
        <f t="shared" si="67"/>
        <v/>
      </c>
      <c r="AS309" s="5" t="str">
        <f t="shared" si="67"/>
        <v/>
      </c>
      <c r="AT309" s="3" t="str">
        <f t="shared" si="73"/>
        <v/>
      </c>
      <c r="AU309" s="4" t="str">
        <f t="shared" si="73"/>
        <v/>
      </c>
      <c r="AV309" s="4" t="str">
        <f t="shared" si="73"/>
        <v/>
      </c>
      <c r="AW309" s="4" t="str">
        <f t="shared" si="73"/>
        <v/>
      </c>
      <c r="AX309" s="4" t="str">
        <f t="shared" si="73"/>
        <v/>
      </c>
      <c r="AY309" s="4" t="str">
        <f t="shared" si="73"/>
        <v/>
      </c>
      <c r="AZ309" s="4" t="str">
        <f t="shared" si="73"/>
        <v/>
      </c>
      <c r="BA309" s="4" t="str">
        <f t="shared" si="73"/>
        <v/>
      </c>
      <c r="BB309" s="4" t="str">
        <f t="shared" si="74"/>
        <v/>
      </c>
      <c r="BC309" s="4" t="str">
        <f t="shared" si="68"/>
        <v/>
      </c>
      <c r="BD309" s="4" t="str">
        <f t="shared" si="68"/>
        <v/>
      </c>
      <c r="BE309" s="4" t="str">
        <f t="shared" si="68"/>
        <v/>
      </c>
      <c r="BF309" s="4" t="str">
        <f t="shared" si="68"/>
        <v/>
      </c>
      <c r="BG309" s="4" t="str">
        <f t="shared" si="68"/>
        <v/>
      </c>
      <c r="BH309" s="4" t="str">
        <f t="shared" si="68"/>
        <v/>
      </c>
      <c r="BI309" s="5" t="str">
        <f t="shared" si="68"/>
        <v/>
      </c>
    </row>
    <row r="310" spans="1:61" x14ac:dyDescent="0.25">
      <c r="A310">
        <v>582338</v>
      </c>
      <c r="B310" t="s">
        <v>14</v>
      </c>
      <c r="C310" t="s">
        <v>16</v>
      </c>
      <c r="D310">
        <v>60505</v>
      </c>
      <c r="E310">
        <v>253</v>
      </c>
      <c r="F310">
        <v>2</v>
      </c>
      <c r="G310">
        <v>20134</v>
      </c>
      <c r="H310" t="s">
        <v>17</v>
      </c>
      <c r="I310">
        <v>181738.00099999999</v>
      </c>
      <c r="J310">
        <v>5275</v>
      </c>
      <c r="K310">
        <v>99341.19</v>
      </c>
      <c r="L310">
        <v>94013.79</v>
      </c>
      <c r="M310">
        <v>5327.4</v>
      </c>
      <c r="N310" s="3" t="str">
        <f t="shared" si="69"/>
        <v/>
      </c>
      <c r="O310" s="4" t="str">
        <f t="shared" si="69"/>
        <v/>
      </c>
      <c r="P310" s="4" t="str">
        <f t="shared" si="69"/>
        <v/>
      </c>
      <c r="Q310" s="4" t="str">
        <f t="shared" si="69"/>
        <v/>
      </c>
      <c r="R310" s="4" t="str">
        <f t="shared" si="69"/>
        <v/>
      </c>
      <c r="S310" s="4" t="str">
        <f t="shared" si="69"/>
        <v/>
      </c>
      <c r="T310" s="4" t="str">
        <f t="shared" si="69"/>
        <v/>
      </c>
      <c r="U310" s="4" t="str">
        <f t="shared" si="69"/>
        <v/>
      </c>
      <c r="V310" s="4" t="str">
        <f t="shared" si="70"/>
        <v/>
      </c>
      <c r="W310" s="4" t="str">
        <f t="shared" si="66"/>
        <v/>
      </c>
      <c r="X310" s="4" t="str">
        <f t="shared" si="66"/>
        <v/>
      </c>
      <c r="Y310" s="4" t="str">
        <f t="shared" si="66"/>
        <v/>
      </c>
      <c r="Z310" s="4" t="str">
        <f t="shared" si="66"/>
        <v/>
      </c>
      <c r="AA310" s="4" t="str">
        <f t="shared" si="66"/>
        <v/>
      </c>
      <c r="AB310" s="4" t="str">
        <f t="shared" si="66"/>
        <v/>
      </c>
      <c r="AC310" s="5" t="str">
        <f t="shared" si="66"/>
        <v/>
      </c>
      <c r="AD310" s="3" t="str">
        <f t="shared" si="71"/>
        <v/>
      </c>
      <c r="AE310" s="4" t="str">
        <f t="shared" si="71"/>
        <v/>
      </c>
      <c r="AF310" s="4" t="str">
        <f t="shared" si="71"/>
        <v/>
      </c>
      <c r="AG310" s="4" t="str">
        <f t="shared" si="71"/>
        <v/>
      </c>
      <c r="AH310" s="4" t="str">
        <f t="shared" si="71"/>
        <v/>
      </c>
      <c r="AI310" s="4" t="str">
        <f t="shared" si="71"/>
        <v/>
      </c>
      <c r="AJ310" s="4" t="str">
        <f t="shared" si="71"/>
        <v/>
      </c>
      <c r="AK310" s="4" t="str">
        <f t="shared" si="71"/>
        <v/>
      </c>
      <c r="AL310" s="4" t="str">
        <f t="shared" si="72"/>
        <v/>
      </c>
      <c r="AM310" s="4" t="str">
        <f t="shared" si="67"/>
        <v/>
      </c>
      <c r="AN310" s="4" t="str">
        <f t="shared" si="67"/>
        <v/>
      </c>
      <c r="AO310" s="4" t="str">
        <f t="shared" si="67"/>
        <v/>
      </c>
      <c r="AP310" s="4" t="str">
        <f t="shared" si="67"/>
        <v/>
      </c>
      <c r="AQ310" s="4" t="str">
        <f t="shared" si="67"/>
        <v/>
      </c>
      <c r="AR310" s="4" t="str">
        <f t="shared" si="67"/>
        <v/>
      </c>
      <c r="AS310" s="5" t="str">
        <f t="shared" si="67"/>
        <v/>
      </c>
      <c r="AT310" s="3" t="str">
        <f t="shared" si="73"/>
        <v/>
      </c>
      <c r="AU310" s="4" t="str">
        <f t="shared" si="73"/>
        <v/>
      </c>
      <c r="AV310" s="4" t="str">
        <f t="shared" si="73"/>
        <v/>
      </c>
      <c r="AW310" s="4" t="str">
        <f t="shared" si="73"/>
        <v/>
      </c>
      <c r="AX310" s="4" t="str">
        <f t="shared" si="73"/>
        <v/>
      </c>
      <c r="AY310" s="4" t="str">
        <f t="shared" si="73"/>
        <v/>
      </c>
      <c r="AZ310" s="4" t="str">
        <f t="shared" si="73"/>
        <v/>
      </c>
      <c r="BA310" s="4" t="str">
        <f t="shared" si="73"/>
        <v/>
      </c>
      <c r="BB310" s="4" t="str">
        <f t="shared" si="74"/>
        <v/>
      </c>
      <c r="BC310" s="4" t="str">
        <f t="shared" si="68"/>
        <v/>
      </c>
      <c r="BD310" s="4" t="str">
        <f t="shared" si="68"/>
        <v/>
      </c>
      <c r="BE310" s="4" t="str">
        <f t="shared" si="68"/>
        <v/>
      </c>
      <c r="BF310" s="4" t="str">
        <f t="shared" si="68"/>
        <v/>
      </c>
      <c r="BG310" s="4" t="str">
        <f t="shared" si="68"/>
        <v/>
      </c>
      <c r="BH310" s="4" t="str">
        <f t="shared" si="68"/>
        <v/>
      </c>
      <c r="BI310" s="5" t="str">
        <f t="shared" si="68"/>
        <v/>
      </c>
    </row>
    <row r="311" spans="1:61" x14ac:dyDescent="0.25">
      <c r="A311">
        <v>582339</v>
      </c>
      <c r="B311" t="s">
        <v>14</v>
      </c>
      <c r="C311" t="s">
        <v>16</v>
      </c>
      <c r="D311">
        <v>60505</v>
      </c>
      <c r="E311">
        <v>253</v>
      </c>
      <c r="F311">
        <v>3</v>
      </c>
      <c r="G311">
        <v>20131</v>
      </c>
      <c r="H311" t="s">
        <v>0</v>
      </c>
      <c r="I311">
        <v>28534</v>
      </c>
      <c r="J311">
        <v>885</v>
      </c>
      <c r="K311">
        <v>12360.54</v>
      </c>
      <c r="L311">
        <v>11643.22</v>
      </c>
      <c r="M311">
        <v>717.32</v>
      </c>
      <c r="N311" s="3" t="str">
        <f t="shared" si="69"/>
        <v/>
      </c>
      <c r="O311" s="4" t="str">
        <f t="shared" si="69"/>
        <v/>
      </c>
      <c r="P311" s="4" t="str">
        <f t="shared" si="69"/>
        <v/>
      </c>
      <c r="Q311" s="4" t="str">
        <f t="shared" si="69"/>
        <v/>
      </c>
      <c r="R311" s="4" t="str">
        <f t="shared" si="69"/>
        <v/>
      </c>
      <c r="S311" s="4" t="str">
        <f t="shared" si="69"/>
        <v/>
      </c>
      <c r="T311" s="4" t="str">
        <f t="shared" si="69"/>
        <v/>
      </c>
      <c r="U311" s="4" t="str">
        <f t="shared" si="69"/>
        <v/>
      </c>
      <c r="V311" s="4" t="str">
        <f t="shared" si="70"/>
        <v/>
      </c>
      <c r="W311" s="4" t="str">
        <f t="shared" si="66"/>
        <v/>
      </c>
      <c r="X311" s="4" t="str">
        <f t="shared" si="66"/>
        <v/>
      </c>
      <c r="Y311" s="4" t="str">
        <f t="shared" si="66"/>
        <v/>
      </c>
      <c r="Z311" s="4" t="str">
        <f t="shared" si="66"/>
        <v/>
      </c>
      <c r="AA311" s="4" t="str">
        <f t="shared" si="66"/>
        <v/>
      </c>
      <c r="AB311" s="4" t="str">
        <f t="shared" si="66"/>
        <v/>
      </c>
      <c r="AC311" s="5" t="str">
        <f t="shared" si="66"/>
        <v/>
      </c>
      <c r="AD311" s="3" t="str">
        <f t="shared" si="71"/>
        <v/>
      </c>
      <c r="AE311" s="4" t="str">
        <f t="shared" si="71"/>
        <v/>
      </c>
      <c r="AF311" s="4" t="str">
        <f t="shared" si="71"/>
        <v/>
      </c>
      <c r="AG311" s="4" t="str">
        <f t="shared" si="71"/>
        <v/>
      </c>
      <c r="AH311" s="4" t="str">
        <f t="shared" si="71"/>
        <v/>
      </c>
      <c r="AI311" s="4" t="str">
        <f t="shared" si="71"/>
        <v/>
      </c>
      <c r="AJ311" s="4" t="str">
        <f t="shared" si="71"/>
        <v/>
      </c>
      <c r="AK311" s="4" t="str">
        <f t="shared" si="71"/>
        <v/>
      </c>
      <c r="AL311" s="4" t="str">
        <f t="shared" si="72"/>
        <v/>
      </c>
      <c r="AM311" s="4" t="str">
        <f t="shared" si="67"/>
        <v/>
      </c>
      <c r="AN311" s="4" t="str">
        <f t="shared" si="67"/>
        <v/>
      </c>
      <c r="AO311" s="4" t="str">
        <f t="shared" si="67"/>
        <v/>
      </c>
      <c r="AP311" s="4" t="str">
        <f t="shared" si="67"/>
        <v/>
      </c>
      <c r="AQ311" s="4" t="str">
        <f t="shared" si="67"/>
        <v/>
      </c>
      <c r="AR311" s="4" t="str">
        <f t="shared" si="67"/>
        <v/>
      </c>
      <c r="AS311" s="5" t="str">
        <f t="shared" si="67"/>
        <v/>
      </c>
      <c r="AT311" s="3">
        <f t="shared" si="73"/>
        <v>1</v>
      </c>
      <c r="AU311" s="4" t="str">
        <f t="shared" si="73"/>
        <v/>
      </c>
      <c r="AV311" s="4" t="str">
        <f t="shared" si="73"/>
        <v/>
      </c>
      <c r="AW311" s="4" t="str">
        <f t="shared" si="73"/>
        <v/>
      </c>
      <c r="AX311" s="4" t="str">
        <f t="shared" si="73"/>
        <v/>
      </c>
      <c r="AY311" s="4" t="str">
        <f t="shared" si="73"/>
        <v/>
      </c>
      <c r="AZ311" s="4" t="str">
        <f t="shared" si="73"/>
        <v/>
      </c>
      <c r="BA311" s="4" t="str">
        <f t="shared" si="73"/>
        <v/>
      </c>
      <c r="BB311" s="4" t="str">
        <f t="shared" si="74"/>
        <v/>
      </c>
      <c r="BC311" s="4" t="str">
        <f t="shared" si="68"/>
        <v/>
      </c>
      <c r="BD311" s="4" t="str">
        <f t="shared" si="68"/>
        <v/>
      </c>
      <c r="BE311" s="4" t="str">
        <f t="shared" si="68"/>
        <v/>
      </c>
      <c r="BF311" s="4" t="str">
        <f t="shared" si="68"/>
        <v/>
      </c>
      <c r="BG311" s="4" t="str">
        <f t="shared" si="68"/>
        <v/>
      </c>
      <c r="BH311" s="4" t="str">
        <f t="shared" si="68"/>
        <v/>
      </c>
      <c r="BI311" s="5" t="str">
        <f t="shared" si="68"/>
        <v/>
      </c>
    </row>
    <row r="312" spans="1:61" x14ac:dyDescent="0.25">
      <c r="A312">
        <v>582340</v>
      </c>
      <c r="B312" t="s">
        <v>14</v>
      </c>
      <c r="C312" t="s">
        <v>16</v>
      </c>
      <c r="D312">
        <v>60505</v>
      </c>
      <c r="E312">
        <v>253</v>
      </c>
      <c r="F312">
        <v>3</v>
      </c>
      <c r="G312">
        <v>20132</v>
      </c>
      <c r="H312" t="s">
        <v>0</v>
      </c>
      <c r="I312">
        <v>28546</v>
      </c>
      <c r="J312">
        <v>882</v>
      </c>
      <c r="K312">
        <v>13255.45</v>
      </c>
      <c r="L312">
        <v>12285.95</v>
      </c>
      <c r="M312">
        <v>969.5</v>
      </c>
      <c r="N312" s="3" t="str">
        <f t="shared" si="69"/>
        <v/>
      </c>
      <c r="O312" s="4" t="str">
        <f t="shared" si="69"/>
        <v/>
      </c>
      <c r="P312" s="4" t="str">
        <f t="shared" si="69"/>
        <v/>
      </c>
      <c r="Q312" s="4" t="str">
        <f t="shared" si="69"/>
        <v/>
      </c>
      <c r="R312" s="4" t="str">
        <f t="shared" si="69"/>
        <v/>
      </c>
      <c r="S312" s="4" t="str">
        <f t="shared" si="69"/>
        <v/>
      </c>
      <c r="T312" s="4" t="str">
        <f t="shared" si="69"/>
        <v/>
      </c>
      <c r="U312" s="4" t="str">
        <f t="shared" si="69"/>
        <v/>
      </c>
      <c r="V312" s="4" t="str">
        <f t="shared" si="70"/>
        <v/>
      </c>
      <c r="W312" s="4" t="str">
        <f t="shared" si="66"/>
        <v/>
      </c>
      <c r="X312" s="4" t="str">
        <f t="shared" si="66"/>
        <v/>
      </c>
      <c r="Y312" s="4" t="str">
        <f t="shared" si="66"/>
        <v/>
      </c>
      <c r="Z312" s="4" t="str">
        <f t="shared" si="66"/>
        <v/>
      </c>
      <c r="AA312" s="4" t="str">
        <f t="shared" si="66"/>
        <v/>
      </c>
      <c r="AB312" s="4" t="str">
        <f t="shared" si="66"/>
        <v/>
      </c>
      <c r="AC312" s="5" t="str">
        <f t="shared" si="66"/>
        <v/>
      </c>
      <c r="AD312" s="3" t="str">
        <f t="shared" si="71"/>
        <v/>
      </c>
      <c r="AE312" s="4" t="str">
        <f t="shared" si="71"/>
        <v/>
      </c>
      <c r="AF312" s="4" t="str">
        <f t="shared" si="71"/>
        <v/>
      </c>
      <c r="AG312" s="4" t="str">
        <f t="shared" si="71"/>
        <v/>
      </c>
      <c r="AH312" s="4" t="str">
        <f t="shared" si="71"/>
        <v/>
      </c>
      <c r="AI312" s="4" t="str">
        <f t="shared" si="71"/>
        <v/>
      </c>
      <c r="AJ312" s="4" t="str">
        <f t="shared" si="71"/>
        <v/>
      </c>
      <c r="AK312" s="4" t="str">
        <f t="shared" si="71"/>
        <v/>
      </c>
      <c r="AL312" s="4" t="str">
        <f t="shared" si="72"/>
        <v/>
      </c>
      <c r="AM312" s="4" t="str">
        <f t="shared" si="67"/>
        <v/>
      </c>
      <c r="AN312" s="4" t="str">
        <f t="shared" si="67"/>
        <v/>
      </c>
      <c r="AO312" s="4" t="str">
        <f t="shared" si="67"/>
        <v/>
      </c>
      <c r="AP312" s="4" t="str">
        <f t="shared" si="67"/>
        <v/>
      </c>
      <c r="AQ312" s="4" t="str">
        <f t="shared" si="67"/>
        <v/>
      </c>
      <c r="AR312" s="4" t="str">
        <f t="shared" si="67"/>
        <v/>
      </c>
      <c r="AS312" s="5" t="str">
        <f t="shared" si="67"/>
        <v/>
      </c>
      <c r="AT312" s="3" t="str">
        <f t="shared" si="73"/>
        <v/>
      </c>
      <c r="AU312" s="4">
        <f t="shared" si="73"/>
        <v>1</v>
      </c>
      <c r="AV312" s="4" t="str">
        <f t="shared" si="73"/>
        <v/>
      </c>
      <c r="AW312" s="4" t="str">
        <f t="shared" si="73"/>
        <v/>
      </c>
      <c r="AX312" s="4" t="str">
        <f t="shared" si="73"/>
        <v/>
      </c>
      <c r="AY312" s="4" t="str">
        <f t="shared" si="73"/>
        <v/>
      </c>
      <c r="AZ312" s="4" t="str">
        <f t="shared" si="73"/>
        <v/>
      </c>
      <c r="BA312" s="4" t="str">
        <f t="shared" si="73"/>
        <v/>
      </c>
      <c r="BB312" s="4" t="str">
        <f t="shared" si="74"/>
        <v/>
      </c>
      <c r="BC312" s="4" t="str">
        <f t="shared" si="68"/>
        <v/>
      </c>
      <c r="BD312" s="4" t="str">
        <f t="shared" si="68"/>
        <v/>
      </c>
      <c r="BE312" s="4" t="str">
        <f t="shared" si="68"/>
        <v/>
      </c>
      <c r="BF312" s="4" t="str">
        <f t="shared" si="68"/>
        <v/>
      </c>
      <c r="BG312" s="4" t="str">
        <f t="shared" si="68"/>
        <v/>
      </c>
      <c r="BH312" s="4" t="str">
        <f t="shared" si="68"/>
        <v/>
      </c>
      <c r="BI312" s="5" t="str">
        <f t="shared" si="68"/>
        <v/>
      </c>
    </row>
    <row r="313" spans="1:61" x14ac:dyDescent="0.25">
      <c r="A313">
        <v>582341</v>
      </c>
      <c r="B313" t="s">
        <v>14</v>
      </c>
      <c r="C313" t="s">
        <v>16</v>
      </c>
      <c r="D313">
        <v>60505</v>
      </c>
      <c r="E313">
        <v>253</v>
      </c>
      <c r="F313">
        <v>3</v>
      </c>
      <c r="G313">
        <v>20133</v>
      </c>
      <c r="H313" t="s">
        <v>0</v>
      </c>
      <c r="I313">
        <v>23962</v>
      </c>
      <c r="J313">
        <v>730</v>
      </c>
      <c r="K313">
        <v>10706.66</v>
      </c>
      <c r="L313">
        <v>9913.36</v>
      </c>
      <c r="M313">
        <v>793.3</v>
      </c>
      <c r="N313" s="3" t="str">
        <f t="shared" si="69"/>
        <v/>
      </c>
      <c r="O313" s="4" t="str">
        <f t="shared" si="69"/>
        <v/>
      </c>
      <c r="P313" s="4" t="str">
        <f t="shared" si="69"/>
        <v/>
      </c>
      <c r="Q313" s="4" t="str">
        <f t="shared" si="69"/>
        <v/>
      </c>
      <c r="R313" s="4" t="str">
        <f t="shared" si="69"/>
        <v/>
      </c>
      <c r="S313" s="4" t="str">
        <f t="shared" si="69"/>
        <v/>
      </c>
      <c r="T313" s="4" t="str">
        <f t="shared" si="69"/>
        <v/>
      </c>
      <c r="U313" s="4" t="str">
        <f t="shared" si="69"/>
        <v/>
      </c>
      <c r="V313" s="4" t="str">
        <f t="shared" si="70"/>
        <v/>
      </c>
      <c r="W313" s="4" t="str">
        <f t="shared" si="66"/>
        <v/>
      </c>
      <c r="X313" s="4" t="str">
        <f t="shared" si="66"/>
        <v/>
      </c>
      <c r="Y313" s="4" t="str">
        <f t="shared" si="66"/>
        <v/>
      </c>
      <c r="Z313" s="4" t="str">
        <f t="shared" si="66"/>
        <v/>
      </c>
      <c r="AA313" s="4" t="str">
        <f t="shared" si="66"/>
        <v/>
      </c>
      <c r="AB313" s="4" t="str">
        <f t="shared" si="66"/>
        <v/>
      </c>
      <c r="AC313" s="5" t="str">
        <f t="shared" si="66"/>
        <v/>
      </c>
      <c r="AD313" s="3" t="str">
        <f t="shared" si="71"/>
        <v/>
      </c>
      <c r="AE313" s="4" t="str">
        <f t="shared" si="71"/>
        <v/>
      </c>
      <c r="AF313" s="4" t="str">
        <f t="shared" si="71"/>
        <v/>
      </c>
      <c r="AG313" s="4" t="str">
        <f t="shared" si="71"/>
        <v/>
      </c>
      <c r="AH313" s="4" t="str">
        <f t="shared" si="71"/>
        <v/>
      </c>
      <c r="AI313" s="4" t="str">
        <f t="shared" si="71"/>
        <v/>
      </c>
      <c r="AJ313" s="4" t="str">
        <f t="shared" si="71"/>
        <v/>
      </c>
      <c r="AK313" s="4" t="str">
        <f t="shared" si="71"/>
        <v/>
      </c>
      <c r="AL313" s="4" t="str">
        <f t="shared" si="72"/>
        <v/>
      </c>
      <c r="AM313" s="4" t="str">
        <f t="shared" si="67"/>
        <v/>
      </c>
      <c r="AN313" s="4" t="str">
        <f t="shared" si="67"/>
        <v/>
      </c>
      <c r="AO313" s="4" t="str">
        <f t="shared" si="67"/>
        <v/>
      </c>
      <c r="AP313" s="4" t="str">
        <f t="shared" si="67"/>
        <v/>
      </c>
      <c r="AQ313" s="4" t="str">
        <f t="shared" si="67"/>
        <v/>
      </c>
      <c r="AR313" s="4" t="str">
        <f t="shared" si="67"/>
        <v/>
      </c>
      <c r="AS313" s="5" t="str">
        <f t="shared" si="67"/>
        <v/>
      </c>
      <c r="AT313" s="3" t="str">
        <f t="shared" si="73"/>
        <v/>
      </c>
      <c r="AU313" s="4" t="str">
        <f t="shared" si="73"/>
        <v/>
      </c>
      <c r="AV313" s="4">
        <f t="shared" si="73"/>
        <v>1</v>
      </c>
      <c r="AW313" s="4" t="str">
        <f t="shared" si="73"/>
        <v/>
      </c>
      <c r="AX313" s="4" t="str">
        <f t="shared" si="73"/>
        <v/>
      </c>
      <c r="AY313" s="4" t="str">
        <f t="shared" si="73"/>
        <v/>
      </c>
      <c r="AZ313" s="4" t="str">
        <f t="shared" si="73"/>
        <v/>
      </c>
      <c r="BA313" s="4" t="str">
        <f t="shared" si="73"/>
        <v/>
      </c>
      <c r="BB313" s="4" t="str">
        <f t="shared" si="74"/>
        <v/>
      </c>
      <c r="BC313" s="4" t="str">
        <f t="shared" si="68"/>
        <v/>
      </c>
      <c r="BD313" s="4" t="str">
        <f t="shared" si="68"/>
        <v/>
      </c>
      <c r="BE313" s="4" t="str">
        <f t="shared" si="68"/>
        <v/>
      </c>
      <c r="BF313" s="4" t="str">
        <f t="shared" si="68"/>
        <v/>
      </c>
      <c r="BG313" s="4" t="str">
        <f t="shared" si="68"/>
        <v/>
      </c>
      <c r="BH313" s="4" t="str">
        <f t="shared" si="68"/>
        <v/>
      </c>
      <c r="BI313" s="5" t="str">
        <f t="shared" si="68"/>
        <v/>
      </c>
    </row>
    <row r="314" spans="1:61" x14ac:dyDescent="0.25">
      <c r="A314">
        <v>582342</v>
      </c>
      <c r="B314" t="s">
        <v>14</v>
      </c>
      <c r="C314" t="s">
        <v>16</v>
      </c>
      <c r="D314">
        <v>60505</v>
      </c>
      <c r="E314">
        <v>253</v>
      </c>
      <c r="F314">
        <v>3</v>
      </c>
      <c r="G314">
        <v>20134</v>
      </c>
      <c r="H314" t="s">
        <v>0</v>
      </c>
      <c r="I314">
        <v>25792</v>
      </c>
      <c r="J314">
        <v>797</v>
      </c>
      <c r="K314">
        <v>10252.26</v>
      </c>
      <c r="L314">
        <v>9709.06</v>
      </c>
      <c r="M314">
        <v>543.20000000000005</v>
      </c>
      <c r="N314" s="3" t="str">
        <f t="shared" si="69"/>
        <v/>
      </c>
      <c r="O314" s="4" t="str">
        <f t="shared" si="69"/>
        <v/>
      </c>
      <c r="P314" s="4" t="str">
        <f t="shared" si="69"/>
        <v/>
      </c>
      <c r="Q314" s="4" t="str">
        <f t="shared" si="69"/>
        <v/>
      </c>
      <c r="R314" s="4" t="str">
        <f t="shared" si="69"/>
        <v/>
      </c>
      <c r="S314" s="4" t="str">
        <f t="shared" si="69"/>
        <v/>
      </c>
      <c r="T314" s="4" t="str">
        <f t="shared" si="69"/>
        <v/>
      </c>
      <c r="U314" s="4" t="str">
        <f t="shared" si="69"/>
        <v/>
      </c>
      <c r="V314" s="4" t="str">
        <f t="shared" si="70"/>
        <v/>
      </c>
      <c r="W314" s="4" t="str">
        <f t="shared" si="66"/>
        <v/>
      </c>
      <c r="X314" s="4" t="str">
        <f t="shared" si="66"/>
        <v/>
      </c>
      <c r="Y314" s="4" t="str">
        <f t="shared" si="66"/>
        <v/>
      </c>
      <c r="Z314" s="4" t="str">
        <f t="shared" si="66"/>
        <v/>
      </c>
      <c r="AA314" s="4" t="str">
        <f t="shared" si="66"/>
        <v/>
      </c>
      <c r="AB314" s="4" t="str">
        <f t="shared" si="66"/>
        <v/>
      </c>
      <c r="AC314" s="5" t="str">
        <f t="shared" si="66"/>
        <v/>
      </c>
      <c r="AD314" s="3" t="str">
        <f t="shared" si="71"/>
        <v/>
      </c>
      <c r="AE314" s="4" t="str">
        <f t="shared" si="71"/>
        <v/>
      </c>
      <c r="AF314" s="4" t="str">
        <f t="shared" si="71"/>
        <v/>
      </c>
      <c r="AG314" s="4" t="str">
        <f t="shared" si="71"/>
        <v/>
      </c>
      <c r="AH314" s="4" t="str">
        <f t="shared" si="71"/>
        <v/>
      </c>
      <c r="AI314" s="4" t="str">
        <f t="shared" si="71"/>
        <v/>
      </c>
      <c r="AJ314" s="4" t="str">
        <f t="shared" si="71"/>
        <v/>
      </c>
      <c r="AK314" s="4" t="str">
        <f t="shared" si="71"/>
        <v/>
      </c>
      <c r="AL314" s="4" t="str">
        <f t="shared" si="72"/>
        <v/>
      </c>
      <c r="AM314" s="4" t="str">
        <f t="shared" si="67"/>
        <v/>
      </c>
      <c r="AN314" s="4" t="str">
        <f t="shared" si="67"/>
        <v/>
      </c>
      <c r="AO314" s="4" t="str">
        <f t="shared" si="67"/>
        <v/>
      </c>
      <c r="AP314" s="4" t="str">
        <f t="shared" si="67"/>
        <v/>
      </c>
      <c r="AQ314" s="4" t="str">
        <f t="shared" si="67"/>
        <v/>
      </c>
      <c r="AR314" s="4" t="str">
        <f t="shared" si="67"/>
        <v/>
      </c>
      <c r="AS314" s="5" t="str">
        <f t="shared" si="67"/>
        <v/>
      </c>
      <c r="AT314" s="3" t="str">
        <f t="shared" si="73"/>
        <v/>
      </c>
      <c r="AU314" s="4" t="str">
        <f t="shared" si="73"/>
        <v/>
      </c>
      <c r="AV314" s="4" t="str">
        <f t="shared" si="73"/>
        <v/>
      </c>
      <c r="AW314" s="4">
        <f t="shared" si="73"/>
        <v>1</v>
      </c>
      <c r="AX314" s="4" t="str">
        <f t="shared" si="73"/>
        <v/>
      </c>
      <c r="AY314" s="4" t="str">
        <f t="shared" si="73"/>
        <v/>
      </c>
      <c r="AZ314" s="4" t="str">
        <f t="shared" si="73"/>
        <v/>
      </c>
      <c r="BA314" s="4" t="str">
        <f t="shared" si="73"/>
        <v/>
      </c>
      <c r="BB314" s="4" t="str">
        <f t="shared" si="74"/>
        <v/>
      </c>
      <c r="BC314" s="4" t="str">
        <f t="shared" si="68"/>
        <v/>
      </c>
      <c r="BD314" s="4" t="str">
        <f t="shared" si="68"/>
        <v/>
      </c>
      <c r="BE314" s="4" t="str">
        <f t="shared" si="68"/>
        <v/>
      </c>
      <c r="BF314" s="4" t="str">
        <f t="shared" si="68"/>
        <v/>
      </c>
      <c r="BG314" s="4" t="str">
        <f t="shared" si="68"/>
        <v/>
      </c>
      <c r="BH314" s="4" t="str">
        <f t="shared" si="68"/>
        <v/>
      </c>
      <c r="BI314" s="5" t="str">
        <f t="shared" si="68"/>
        <v/>
      </c>
    </row>
    <row r="315" spans="1:61" x14ac:dyDescent="0.25">
      <c r="A315">
        <v>582343</v>
      </c>
      <c r="B315" t="s">
        <v>14</v>
      </c>
      <c r="C315" t="s">
        <v>16</v>
      </c>
      <c r="D315">
        <v>60505</v>
      </c>
      <c r="E315">
        <v>253</v>
      </c>
      <c r="F315">
        <v>4</v>
      </c>
      <c r="G315">
        <v>20133</v>
      </c>
      <c r="H315" t="s">
        <v>0</v>
      </c>
      <c r="I315">
        <v>16</v>
      </c>
      <c r="J315">
        <v>2</v>
      </c>
      <c r="K315">
        <v>136.61000000000001</v>
      </c>
      <c r="L315">
        <v>136.61000000000001</v>
      </c>
      <c r="M315">
        <v>0</v>
      </c>
      <c r="N315" s="3" t="str">
        <f t="shared" si="69"/>
        <v/>
      </c>
      <c r="O315" s="4" t="str">
        <f t="shared" si="69"/>
        <v/>
      </c>
      <c r="P315" s="4" t="str">
        <f t="shared" si="69"/>
        <v/>
      </c>
      <c r="Q315" s="4" t="str">
        <f t="shared" si="69"/>
        <v/>
      </c>
      <c r="R315" s="4" t="str">
        <f t="shared" si="69"/>
        <v/>
      </c>
      <c r="S315" s="4" t="str">
        <f t="shared" si="69"/>
        <v/>
      </c>
      <c r="T315" s="4" t="str">
        <f t="shared" si="69"/>
        <v/>
      </c>
      <c r="U315" s="4" t="str">
        <f t="shared" si="69"/>
        <v/>
      </c>
      <c r="V315" s="4" t="str">
        <f t="shared" si="70"/>
        <v/>
      </c>
      <c r="W315" s="4" t="str">
        <f t="shared" si="66"/>
        <v/>
      </c>
      <c r="X315" s="4" t="str">
        <f t="shared" si="66"/>
        <v/>
      </c>
      <c r="Y315" s="4" t="str">
        <f t="shared" si="66"/>
        <v/>
      </c>
      <c r="Z315" s="4" t="str">
        <f t="shared" si="66"/>
        <v/>
      </c>
      <c r="AA315" s="4" t="str">
        <f t="shared" si="66"/>
        <v/>
      </c>
      <c r="AB315" s="4" t="str">
        <f t="shared" si="66"/>
        <v/>
      </c>
      <c r="AC315" s="5" t="str">
        <f t="shared" si="66"/>
        <v/>
      </c>
      <c r="AD315" s="3" t="str">
        <f t="shared" si="71"/>
        <v/>
      </c>
      <c r="AE315" s="4" t="str">
        <f t="shared" si="71"/>
        <v/>
      </c>
      <c r="AF315" s="4" t="str">
        <f t="shared" si="71"/>
        <v/>
      </c>
      <c r="AG315" s="4" t="str">
        <f t="shared" si="71"/>
        <v/>
      </c>
      <c r="AH315" s="4" t="str">
        <f t="shared" si="71"/>
        <v/>
      </c>
      <c r="AI315" s="4" t="str">
        <f t="shared" si="71"/>
        <v/>
      </c>
      <c r="AJ315" s="4" t="str">
        <f t="shared" si="71"/>
        <v/>
      </c>
      <c r="AK315" s="4" t="str">
        <f t="shared" si="71"/>
        <v/>
      </c>
      <c r="AL315" s="4" t="str">
        <f t="shared" si="72"/>
        <v/>
      </c>
      <c r="AM315" s="4" t="str">
        <f t="shared" si="67"/>
        <v/>
      </c>
      <c r="AN315" s="4" t="str">
        <f t="shared" si="67"/>
        <v/>
      </c>
      <c r="AO315" s="4" t="str">
        <f t="shared" si="67"/>
        <v/>
      </c>
      <c r="AP315" s="4" t="str">
        <f t="shared" si="67"/>
        <v/>
      </c>
      <c r="AQ315" s="4" t="str">
        <f t="shared" si="67"/>
        <v/>
      </c>
      <c r="AR315" s="4" t="str">
        <f t="shared" si="67"/>
        <v/>
      </c>
      <c r="AS315" s="5" t="str">
        <f t="shared" si="67"/>
        <v/>
      </c>
      <c r="AT315" s="3" t="str">
        <f t="shared" si="73"/>
        <v/>
      </c>
      <c r="AU315" s="4" t="str">
        <f t="shared" si="73"/>
        <v/>
      </c>
      <c r="AV315" s="4">
        <f t="shared" si="73"/>
        <v>1</v>
      </c>
      <c r="AW315" s="4" t="str">
        <f t="shared" si="73"/>
        <v/>
      </c>
      <c r="AX315" s="4" t="str">
        <f t="shared" si="73"/>
        <v/>
      </c>
      <c r="AY315" s="4" t="str">
        <f t="shared" si="73"/>
        <v/>
      </c>
      <c r="AZ315" s="4" t="str">
        <f t="shared" si="73"/>
        <v/>
      </c>
      <c r="BA315" s="4" t="str">
        <f t="shared" si="73"/>
        <v/>
      </c>
      <c r="BB315" s="4" t="str">
        <f t="shared" si="74"/>
        <v/>
      </c>
      <c r="BC315" s="4" t="str">
        <f t="shared" si="68"/>
        <v/>
      </c>
      <c r="BD315" s="4" t="str">
        <f t="shared" si="68"/>
        <v/>
      </c>
      <c r="BE315" s="4" t="str">
        <f t="shared" si="68"/>
        <v/>
      </c>
      <c r="BF315" s="4" t="str">
        <f t="shared" si="68"/>
        <v/>
      </c>
      <c r="BG315" s="4" t="str">
        <f t="shared" si="68"/>
        <v/>
      </c>
      <c r="BH315" s="4" t="str">
        <f t="shared" si="68"/>
        <v/>
      </c>
      <c r="BI315" s="5" t="str">
        <f t="shared" si="68"/>
        <v/>
      </c>
    </row>
    <row r="316" spans="1:61" x14ac:dyDescent="0.25">
      <c r="A316">
        <v>709196</v>
      </c>
      <c r="B316" t="s">
        <v>15</v>
      </c>
      <c r="C316" t="s">
        <v>16</v>
      </c>
      <c r="D316">
        <v>60505</v>
      </c>
      <c r="E316">
        <v>253</v>
      </c>
      <c r="F316">
        <v>1</v>
      </c>
      <c r="G316">
        <v>20131</v>
      </c>
      <c r="H316" t="s">
        <v>0</v>
      </c>
      <c r="I316">
        <v>72319.06</v>
      </c>
      <c r="J316">
        <v>2424</v>
      </c>
      <c r="K316">
        <v>120435.18</v>
      </c>
      <c r="L316">
        <v>117110.78</v>
      </c>
      <c r="M316">
        <v>3324.4</v>
      </c>
      <c r="N316" s="3" t="str">
        <f t="shared" si="69"/>
        <v/>
      </c>
      <c r="O316" s="4" t="str">
        <f t="shared" si="69"/>
        <v/>
      </c>
      <c r="P316" s="4" t="str">
        <f t="shared" si="69"/>
        <v/>
      </c>
      <c r="Q316" s="4" t="str">
        <f t="shared" si="69"/>
        <v/>
      </c>
      <c r="R316" s="4" t="str">
        <f t="shared" si="69"/>
        <v/>
      </c>
      <c r="S316" s="4" t="str">
        <f t="shared" si="69"/>
        <v/>
      </c>
      <c r="T316" s="4" t="str">
        <f t="shared" si="69"/>
        <v/>
      </c>
      <c r="U316" s="4" t="str">
        <f t="shared" si="69"/>
        <v/>
      </c>
      <c r="V316" s="4" t="str">
        <f t="shared" si="70"/>
        <v/>
      </c>
      <c r="W316" s="4" t="str">
        <f t="shared" si="66"/>
        <v/>
      </c>
      <c r="X316" s="4" t="str">
        <f t="shared" si="66"/>
        <v/>
      </c>
      <c r="Y316" s="4" t="str">
        <f t="shared" si="66"/>
        <v/>
      </c>
      <c r="Z316" s="4" t="str">
        <f t="shared" si="66"/>
        <v/>
      </c>
      <c r="AA316" s="4" t="str">
        <f t="shared" si="66"/>
        <v/>
      </c>
      <c r="AB316" s="4" t="str">
        <f t="shared" si="66"/>
        <v/>
      </c>
      <c r="AC316" s="5" t="str">
        <f t="shared" si="66"/>
        <v/>
      </c>
      <c r="AD316" s="3" t="str">
        <f t="shared" si="71"/>
        <v/>
      </c>
      <c r="AE316" s="4" t="str">
        <f t="shared" si="71"/>
        <v/>
      </c>
      <c r="AF316" s="4" t="str">
        <f t="shared" si="71"/>
        <v/>
      </c>
      <c r="AG316" s="4" t="str">
        <f t="shared" si="71"/>
        <v/>
      </c>
      <c r="AH316" s="4" t="str">
        <f t="shared" si="71"/>
        <v/>
      </c>
      <c r="AI316" s="4" t="str">
        <f t="shared" si="71"/>
        <v/>
      </c>
      <c r="AJ316" s="4" t="str">
        <f t="shared" si="71"/>
        <v/>
      </c>
      <c r="AK316" s="4" t="str">
        <f t="shared" si="71"/>
        <v/>
      </c>
      <c r="AL316" s="4" t="str">
        <f t="shared" si="72"/>
        <v/>
      </c>
      <c r="AM316" s="4" t="str">
        <f t="shared" si="67"/>
        <v/>
      </c>
      <c r="AN316" s="4" t="str">
        <f t="shared" si="67"/>
        <v/>
      </c>
      <c r="AO316" s="4" t="str">
        <f t="shared" si="67"/>
        <v/>
      </c>
      <c r="AP316" s="4" t="str">
        <f t="shared" si="67"/>
        <v/>
      </c>
      <c r="AQ316" s="4" t="str">
        <f t="shared" si="67"/>
        <v/>
      </c>
      <c r="AR316" s="4" t="str">
        <f t="shared" si="67"/>
        <v/>
      </c>
      <c r="AS316" s="5" t="str">
        <f t="shared" si="67"/>
        <v/>
      </c>
      <c r="AT316" s="3" t="str">
        <f t="shared" si="73"/>
        <v/>
      </c>
      <c r="AU316" s="4" t="str">
        <f t="shared" si="73"/>
        <v/>
      </c>
      <c r="AV316" s="4" t="str">
        <f t="shared" si="73"/>
        <v/>
      </c>
      <c r="AW316" s="4" t="str">
        <f t="shared" si="73"/>
        <v/>
      </c>
      <c r="AX316" s="4">
        <f t="shared" si="73"/>
        <v>1</v>
      </c>
      <c r="AY316" s="4" t="str">
        <f t="shared" si="73"/>
        <v/>
      </c>
      <c r="AZ316" s="4" t="str">
        <f t="shared" si="73"/>
        <v/>
      </c>
      <c r="BA316" s="4" t="str">
        <f t="shared" si="73"/>
        <v/>
      </c>
      <c r="BB316" s="4" t="str">
        <f t="shared" si="74"/>
        <v/>
      </c>
      <c r="BC316" s="4" t="str">
        <f t="shared" si="68"/>
        <v/>
      </c>
      <c r="BD316" s="4" t="str">
        <f t="shared" si="68"/>
        <v/>
      </c>
      <c r="BE316" s="4" t="str">
        <f t="shared" si="68"/>
        <v/>
      </c>
      <c r="BF316" s="4" t="str">
        <f t="shared" si="68"/>
        <v/>
      </c>
      <c r="BG316" s="4" t="str">
        <f t="shared" si="68"/>
        <v/>
      </c>
      <c r="BH316" s="4" t="str">
        <f t="shared" si="68"/>
        <v/>
      </c>
      <c r="BI316" s="5" t="str">
        <f t="shared" si="68"/>
        <v/>
      </c>
    </row>
    <row r="317" spans="1:61" x14ac:dyDescent="0.25">
      <c r="A317">
        <v>709197</v>
      </c>
      <c r="B317" t="s">
        <v>15</v>
      </c>
      <c r="C317" t="s">
        <v>16</v>
      </c>
      <c r="D317">
        <v>60505</v>
      </c>
      <c r="E317">
        <v>253</v>
      </c>
      <c r="F317">
        <v>1</v>
      </c>
      <c r="G317">
        <v>20132</v>
      </c>
      <c r="H317" t="s">
        <v>0</v>
      </c>
      <c r="I317">
        <v>65217</v>
      </c>
      <c r="J317">
        <v>2165</v>
      </c>
      <c r="K317">
        <v>62634.54</v>
      </c>
      <c r="L317">
        <v>62147.78</v>
      </c>
      <c r="M317">
        <v>486.76</v>
      </c>
      <c r="N317" s="3" t="str">
        <f t="shared" si="69"/>
        <v/>
      </c>
      <c r="O317" s="4" t="str">
        <f t="shared" si="69"/>
        <v/>
      </c>
      <c r="P317" s="4" t="str">
        <f t="shared" si="69"/>
        <v/>
      </c>
      <c r="Q317" s="4" t="str">
        <f t="shared" si="69"/>
        <v/>
      </c>
      <c r="R317" s="4" t="str">
        <f t="shared" si="69"/>
        <v/>
      </c>
      <c r="S317" s="4" t="str">
        <f t="shared" si="69"/>
        <v/>
      </c>
      <c r="T317" s="4" t="str">
        <f t="shared" si="69"/>
        <v/>
      </c>
      <c r="U317" s="4" t="str">
        <f t="shared" si="69"/>
        <v/>
      </c>
      <c r="V317" s="4" t="str">
        <f t="shared" si="70"/>
        <v/>
      </c>
      <c r="W317" s="4" t="str">
        <f t="shared" si="66"/>
        <v/>
      </c>
      <c r="X317" s="4" t="str">
        <f t="shared" si="66"/>
        <v/>
      </c>
      <c r="Y317" s="4" t="str">
        <f t="shared" si="66"/>
        <v/>
      </c>
      <c r="Z317" s="4" t="str">
        <f t="shared" si="66"/>
        <v/>
      </c>
      <c r="AA317" s="4" t="str">
        <f t="shared" si="66"/>
        <v/>
      </c>
      <c r="AB317" s="4" t="str">
        <f t="shared" si="66"/>
        <v/>
      </c>
      <c r="AC317" s="5" t="str">
        <f t="shared" si="66"/>
        <v/>
      </c>
      <c r="AD317" s="3" t="str">
        <f t="shared" si="71"/>
        <v/>
      </c>
      <c r="AE317" s="4" t="str">
        <f t="shared" si="71"/>
        <v/>
      </c>
      <c r="AF317" s="4" t="str">
        <f t="shared" si="71"/>
        <v/>
      </c>
      <c r="AG317" s="4" t="str">
        <f t="shared" si="71"/>
        <v/>
      </c>
      <c r="AH317" s="4" t="str">
        <f t="shared" si="71"/>
        <v/>
      </c>
      <c r="AI317" s="4" t="str">
        <f t="shared" si="71"/>
        <v/>
      </c>
      <c r="AJ317" s="4" t="str">
        <f t="shared" si="71"/>
        <v/>
      </c>
      <c r="AK317" s="4" t="str">
        <f t="shared" si="71"/>
        <v/>
      </c>
      <c r="AL317" s="4" t="str">
        <f t="shared" si="72"/>
        <v/>
      </c>
      <c r="AM317" s="4" t="str">
        <f t="shared" si="67"/>
        <v/>
      </c>
      <c r="AN317" s="4" t="str">
        <f t="shared" si="67"/>
        <v/>
      </c>
      <c r="AO317" s="4" t="str">
        <f t="shared" si="67"/>
        <v/>
      </c>
      <c r="AP317" s="4" t="str">
        <f t="shared" si="67"/>
        <v/>
      </c>
      <c r="AQ317" s="4" t="str">
        <f t="shared" si="67"/>
        <v/>
      </c>
      <c r="AR317" s="4" t="str">
        <f t="shared" si="67"/>
        <v/>
      </c>
      <c r="AS317" s="5" t="str">
        <f t="shared" si="67"/>
        <v/>
      </c>
      <c r="AT317" s="3" t="str">
        <f t="shared" si="73"/>
        <v/>
      </c>
      <c r="AU317" s="4" t="str">
        <f t="shared" si="73"/>
        <v/>
      </c>
      <c r="AV317" s="4" t="str">
        <f t="shared" si="73"/>
        <v/>
      </c>
      <c r="AW317" s="4" t="str">
        <f t="shared" si="73"/>
        <v/>
      </c>
      <c r="AX317" s="4" t="str">
        <f t="shared" si="73"/>
        <v/>
      </c>
      <c r="AY317" s="4">
        <f t="shared" si="73"/>
        <v>1</v>
      </c>
      <c r="AZ317" s="4" t="str">
        <f t="shared" si="73"/>
        <v/>
      </c>
      <c r="BA317" s="4" t="str">
        <f t="shared" si="73"/>
        <v/>
      </c>
      <c r="BB317" s="4" t="str">
        <f t="shared" si="74"/>
        <v/>
      </c>
      <c r="BC317" s="4" t="str">
        <f t="shared" si="68"/>
        <v/>
      </c>
      <c r="BD317" s="4" t="str">
        <f t="shared" si="68"/>
        <v/>
      </c>
      <c r="BE317" s="4" t="str">
        <f t="shared" si="68"/>
        <v/>
      </c>
      <c r="BF317" s="4" t="str">
        <f t="shared" si="68"/>
        <v/>
      </c>
      <c r="BG317" s="4" t="str">
        <f t="shared" si="68"/>
        <v/>
      </c>
      <c r="BH317" s="4" t="str">
        <f t="shared" si="68"/>
        <v/>
      </c>
      <c r="BI317" s="5" t="str">
        <f t="shared" si="68"/>
        <v/>
      </c>
    </row>
    <row r="318" spans="1:61" x14ac:dyDescent="0.25">
      <c r="A318">
        <v>709198</v>
      </c>
      <c r="B318" t="s">
        <v>15</v>
      </c>
      <c r="C318" t="s">
        <v>16</v>
      </c>
      <c r="D318">
        <v>60505</v>
      </c>
      <c r="E318">
        <v>253</v>
      </c>
      <c r="F318">
        <v>1</v>
      </c>
      <c r="G318">
        <v>20133</v>
      </c>
      <c r="H318" t="s">
        <v>0</v>
      </c>
      <c r="I318">
        <v>61473</v>
      </c>
      <c r="J318">
        <v>2043</v>
      </c>
      <c r="K318">
        <v>47392.17</v>
      </c>
      <c r="L318">
        <v>47282.17</v>
      </c>
      <c r="M318">
        <v>110</v>
      </c>
      <c r="N318" s="3" t="str">
        <f t="shared" si="69"/>
        <v/>
      </c>
      <c r="O318" s="4" t="str">
        <f t="shared" si="69"/>
        <v/>
      </c>
      <c r="P318" s="4" t="str">
        <f t="shared" si="69"/>
        <v/>
      </c>
      <c r="Q318" s="4" t="str">
        <f t="shared" si="69"/>
        <v/>
      </c>
      <c r="R318" s="4" t="str">
        <f t="shared" si="69"/>
        <v/>
      </c>
      <c r="S318" s="4" t="str">
        <f t="shared" si="69"/>
        <v/>
      </c>
      <c r="T318" s="4" t="str">
        <f t="shared" si="69"/>
        <v/>
      </c>
      <c r="U318" s="4" t="str">
        <f t="shared" si="69"/>
        <v/>
      </c>
      <c r="V318" s="4" t="str">
        <f t="shared" si="70"/>
        <v/>
      </c>
      <c r="W318" s="4" t="str">
        <f t="shared" si="66"/>
        <v/>
      </c>
      <c r="X318" s="4" t="str">
        <f t="shared" si="66"/>
        <v/>
      </c>
      <c r="Y318" s="4" t="str">
        <f t="shared" si="66"/>
        <v/>
      </c>
      <c r="Z318" s="4" t="str">
        <f t="shared" si="66"/>
        <v/>
      </c>
      <c r="AA318" s="4" t="str">
        <f t="shared" si="66"/>
        <v/>
      </c>
      <c r="AB318" s="4" t="str">
        <f t="shared" si="66"/>
        <v/>
      </c>
      <c r="AC318" s="5" t="str">
        <f t="shared" si="66"/>
        <v/>
      </c>
      <c r="AD318" s="3" t="str">
        <f t="shared" si="71"/>
        <v/>
      </c>
      <c r="AE318" s="4" t="str">
        <f t="shared" si="71"/>
        <v/>
      </c>
      <c r="AF318" s="4" t="str">
        <f t="shared" si="71"/>
        <v/>
      </c>
      <c r="AG318" s="4" t="str">
        <f t="shared" si="71"/>
        <v/>
      </c>
      <c r="AH318" s="4" t="str">
        <f t="shared" si="71"/>
        <v/>
      </c>
      <c r="AI318" s="4" t="str">
        <f t="shared" si="71"/>
        <v/>
      </c>
      <c r="AJ318" s="4" t="str">
        <f t="shared" si="71"/>
        <v/>
      </c>
      <c r="AK318" s="4" t="str">
        <f t="shared" si="71"/>
        <v/>
      </c>
      <c r="AL318" s="4" t="str">
        <f t="shared" si="72"/>
        <v/>
      </c>
      <c r="AM318" s="4" t="str">
        <f t="shared" si="67"/>
        <v/>
      </c>
      <c r="AN318" s="4" t="str">
        <f t="shared" si="67"/>
        <v/>
      </c>
      <c r="AO318" s="4" t="str">
        <f t="shared" si="67"/>
        <v/>
      </c>
      <c r="AP318" s="4" t="str">
        <f t="shared" si="67"/>
        <v/>
      </c>
      <c r="AQ318" s="4" t="str">
        <f t="shared" si="67"/>
        <v/>
      </c>
      <c r="AR318" s="4" t="str">
        <f t="shared" si="67"/>
        <v/>
      </c>
      <c r="AS318" s="5" t="str">
        <f t="shared" si="67"/>
        <v/>
      </c>
      <c r="AT318" s="3" t="str">
        <f t="shared" si="73"/>
        <v/>
      </c>
      <c r="AU318" s="4" t="str">
        <f t="shared" si="73"/>
        <v/>
      </c>
      <c r="AV318" s="4" t="str">
        <f t="shared" si="73"/>
        <v/>
      </c>
      <c r="AW318" s="4" t="str">
        <f t="shared" si="73"/>
        <v/>
      </c>
      <c r="AX318" s="4" t="str">
        <f t="shared" si="73"/>
        <v/>
      </c>
      <c r="AY318" s="4" t="str">
        <f t="shared" si="73"/>
        <v/>
      </c>
      <c r="AZ318" s="4">
        <f t="shared" si="73"/>
        <v>1</v>
      </c>
      <c r="BA318" s="4" t="str">
        <f t="shared" si="73"/>
        <v/>
      </c>
      <c r="BB318" s="4" t="str">
        <f t="shared" si="74"/>
        <v/>
      </c>
      <c r="BC318" s="4" t="str">
        <f t="shared" si="68"/>
        <v/>
      </c>
      <c r="BD318" s="4" t="str">
        <f t="shared" si="68"/>
        <v/>
      </c>
      <c r="BE318" s="4" t="str">
        <f t="shared" si="68"/>
        <v/>
      </c>
      <c r="BF318" s="4" t="str">
        <f t="shared" si="68"/>
        <v/>
      </c>
      <c r="BG318" s="4" t="str">
        <f t="shared" si="68"/>
        <v/>
      </c>
      <c r="BH318" s="4" t="str">
        <f t="shared" si="68"/>
        <v/>
      </c>
      <c r="BI318" s="5" t="str">
        <f t="shared" si="68"/>
        <v/>
      </c>
    </row>
    <row r="319" spans="1:61" x14ac:dyDescent="0.25">
      <c r="A319">
        <v>709199</v>
      </c>
      <c r="B319" t="s">
        <v>15</v>
      </c>
      <c r="C319" t="s">
        <v>16</v>
      </c>
      <c r="D319">
        <v>60505</v>
      </c>
      <c r="E319">
        <v>253</v>
      </c>
      <c r="F319">
        <v>1</v>
      </c>
      <c r="G319">
        <v>20134</v>
      </c>
      <c r="H319" t="s">
        <v>0</v>
      </c>
      <c r="I319">
        <v>57317</v>
      </c>
      <c r="J319">
        <v>1918</v>
      </c>
      <c r="K319">
        <v>43084.5</v>
      </c>
      <c r="L319">
        <v>43036.5</v>
      </c>
      <c r="M319">
        <v>48</v>
      </c>
      <c r="N319" s="3" t="str">
        <f t="shared" si="69"/>
        <v/>
      </c>
      <c r="O319" s="4" t="str">
        <f t="shared" si="69"/>
        <v/>
      </c>
      <c r="P319" s="4" t="str">
        <f t="shared" si="69"/>
        <v/>
      </c>
      <c r="Q319" s="4" t="str">
        <f t="shared" si="69"/>
        <v/>
      </c>
      <c r="R319" s="4" t="str">
        <f t="shared" si="69"/>
        <v/>
      </c>
      <c r="S319" s="4" t="str">
        <f t="shared" si="69"/>
        <v/>
      </c>
      <c r="T319" s="4" t="str">
        <f t="shared" si="69"/>
        <v/>
      </c>
      <c r="U319" s="4" t="str">
        <f t="shared" si="69"/>
        <v/>
      </c>
      <c r="V319" s="4" t="str">
        <f t="shared" si="70"/>
        <v/>
      </c>
      <c r="W319" s="4" t="str">
        <f t="shared" si="66"/>
        <v/>
      </c>
      <c r="X319" s="4" t="str">
        <f t="shared" si="66"/>
        <v/>
      </c>
      <c r="Y319" s="4" t="str">
        <f t="shared" si="66"/>
        <v/>
      </c>
      <c r="Z319" s="4" t="str">
        <f t="shared" si="66"/>
        <v/>
      </c>
      <c r="AA319" s="4" t="str">
        <f t="shared" si="66"/>
        <v/>
      </c>
      <c r="AB319" s="4" t="str">
        <f t="shared" si="66"/>
        <v/>
      </c>
      <c r="AC319" s="5" t="str">
        <f t="shared" si="66"/>
        <v/>
      </c>
      <c r="AD319" s="3" t="str">
        <f t="shared" si="71"/>
        <v/>
      </c>
      <c r="AE319" s="4" t="str">
        <f t="shared" si="71"/>
        <v/>
      </c>
      <c r="AF319" s="4" t="str">
        <f t="shared" si="71"/>
        <v/>
      </c>
      <c r="AG319" s="4" t="str">
        <f t="shared" si="71"/>
        <v/>
      </c>
      <c r="AH319" s="4" t="str">
        <f t="shared" si="71"/>
        <v/>
      </c>
      <c r="AI319" s="4" t="str">
        <f t="shared" si="71"/>
        <v/>
      </c>
      <c r="AJ319" s="4" t="str">
        <f t="shared" si="71"/>
        <v/>
      </c>
      <c r="AK319" s="4" t="str">
        <f t="shared" si="71"/>
        <v/>
      </c>
      <c r="AL319" s="4" t="str">
        <f t="shared" si="72"/>
        <v/>
      </c>
      <c r="AM319" s="4" t="str">
        <f t="shared" si="67"/>
        <v/>
      </c>
      <c r="AN319" s="4" t="str">
        <f t="shared" si="67"/>
        <v/>
      </c>
      <c r="AO319" s="4" t="str">
        <f t="shared" si="67"/>
        <v/>
      </c>
      <c r="AP319" s="4" t="str">
        <f t="shared" si="67"/>
        <v/>
      </c>
      <c r="AQ319" s="4" t="str">
        <f t="shared" si="67"/>
        <v/>
      </c>
      <c r="AR319" s="4" t="str">
        <f t="shared" si="67"/>
        <v/>
      </c>
      <c r="AS319" s="5" t="str">
        <f t="shared" si="67"/>
        <v/>
      </c>
      <c r="AT319" s="3" t="str">
        <f t="shared" si="73"/>
        <v/>
      </c>
      <c r="AU319" s="4" t="str">
        <f t="shared" si="73"/>
        <v/>
      </c>
      <c r="AV319" s="4" t="str">
        <f t="shared" si="73"/>
        <v/>
      </c>
      <c r="AW319" s="4" t="str">
        <f t="shared" si="73"/>
        <v/>
      </c>
      <c r="AX319" s="4" t="str">
        <f t="shared" si="73"/>
        <v/>
      </c>
      <c r="AY319" s="4" t="str">
        <f t="shared" si="73"/>
        <v/>
      </c>
      <c r="AZ319" s="4" t="str">
        <f t="shared" si="73"/>
        <v/>
      </c>
      <c r="BA319" s="4">
        <f t="shared" si="73"/>
        <v>1</v>
      </c>
      <c r="BB319" s="4" t="str">
        <f t="shared" si="74"/>
        <v/>
      </c>
      <c r="BC319" s="4" t="str">
        <f t="shared" si="68"/>
        <v/>
      </c>
      <c r="BD319" s="4" t="str">
        <f t="shared" si="68"/>
        <v/>
      </c>
      <c r="BE319" s="4" t="str">
        <f t="shared" si="68"/>
        <v/>
      </c>
      <c r="BF319" s="4" t="str">
        <f t="shared" si="68"/>
        <v/>
      </c>
      <c r="BG319" s="4" t="str">
        <f t="shared" si="68"/>
        <v/>
      </c>
      <c r="BH319" s="4" t="str">
        <f t="shared" si="68"/>
        <v/>
      </c>
      <c r="BI319" s="5" t="str">
        <f t="shared" si="68"/>
        <v/>
      </c>
    </row>
    <row r="320" spans="1:61" x14ac:dyDescent="0.25">
      <c r="A320">
        <v>709200</v>
      </c>
      <c r="B320" t="s">
        <v>15</v>
      </c>
      <c r="C320" t="s">
        <v>16</v>
      </c>
      <c r="D320">
        <v>60505</v>
      </c>
      <c r="E320">
        <v>253</v>
      </c>
      <c r="F320">
        <v>2</v>
      </c>
      <c r="G320">
        <v>20131</v>
      </c>
      <c r="H320" t="s">
        <v>0</v>
      </c>
      <c r="I320">
        <v>61270.031000000003</v>
      </c>
      <c r="J320">
        <v>2070</v>
      </c>
      <c r="K320">
        <v>94597.55</v>
      </c>
      <c r="L320">
        <v>91861.88</v>
      </c>
      <c r="M320">
        <v>2735.67</v>
      </c>
      <c r="N320" s="3" t="str">
        <f t="shared" si="69"/>
        <v/>
      </c>
      <c r="O320" s="4" t="str">
        <f t="shared" si="69"/>
        <v/>
      </c>
      <c r="P320" s="4" t="str">
        <f t="shared" si="69"/>
        <v/>
      </c>
      <c r="Q320" s="4" t="str">
        <f t="shared" si="69"/>
        <v/>
      </c>
      <c r="R320" s="4" t="str">
        <f t="shared" si="69"/>
        <v/>
      </c>
      <c r="S320" s="4" t="str">
        <f t="shared" si="69"/>
        <v/>
      </c>
      <c r="T320" s="4" t="str">
        <f t="shared" si="69"/>
        <v/>
      </c>
      <c r="U320" s="4" t="str">
        <f t="shared" si="69"/>
        <v/>
      </c>
      <c r="V320" s="4" t="str">
        <f t="shared" si="70"/>
        <v/>
      </c>
      <c r="W320" s="4" t="str">
        <f t="shared" si="66"/>
        <v/>
      </c>
      <c r="X320" s="4" t="str">
        <f t="shared" si="66"/>
        <v/>
      </c>
      <c r="Y320" s="4" t="str">
        <f t="shared" si="66"/>
        <v/>
      </c>
      <c r="Z320" s="4" t="str">
        <f t="shared" si="66"/>
        <v/>
      </c>
      <c r="AA320" s="4" t="str">
        <f t="shared" si="66"/>
        <v/>
      </c>
      <c r="AB320" s="4" t="str">
        <f t="shared" si="66"/>
        <v/>
      </c>
      <c r="AC320" s="5" t="str">
        <f t="shared" si="66"/>
        <v/>
      </c>
      <c r="AD320" s="3" t="str">
        <f t="shared" si="71"/>
        <v/>
      </c>
      <c r="AE320" s="4" t="str">
        <f t="shared" si="71"/>
        <v/>
      </c>
      <c r="AF320" s="4" t="str">
        <f t="shared" si="71"/>
        <v/>
      </c>
      <c r="AG320" s="4" t="str">
        <f t="shared" si="71"/>
        <v/>
      </c>
      <c r="AH320" s="4" t="str">
        <f t="shared" si="71"/>
        <v/>
      </c>
      <c r="AI320" s="4" t="str">
        <f t="shared" si="71"/>
        <v/>
      </c>
      <c r="AJ320" s="4" t="str">
        <f t="shared" si="71"/>
        <v/>
      </c>
      <c r="AK320" s="4" t="str">
        <f t="shared" si="71"/>
        <v/>
      </c>
      <c r="AL320" s="4" t="str">
        <f t="shared" si="72"/>
        <v/>
      </c>
      <c r="AM320" s="4" t="str">
        <f t="shared" si="67"/>
        <v/>
      </c>
      <c r="AN320" s="4" t="str">
        <f t="shared" si="67"/>
        <v/>
      </c>
      <c r="AO320" s="4" t="str">
        <f t="shared" si="67"/>
        <v/>
      </c>
      <c r="AP320" s="4" t="str">
        <f t="shared" si="67"/>
        <v/>
      </c>
      <c r="AQ320" s="4" t="str">
        <f t="shared" si="67"/>
        <v/>
      </c>
      <c r="AR320" s="4" t="str">
        <f t="shared" si="67"/>
        <v/>
      </c>
      <c r="AS320" s="5" t="str">
        <f t="shared" si="67"/>
        <v/>
      </c>
      <c r="AT320" s="3" t="str">
        <f t="shared" si="73"/>
        <v/>
      </c>
      <c r="AU320" s="4" t="str">
        <f t="shared" si="73"/>
        <v/>
      </c>
      <c r="AV320" s="4" t="str">
        <f t="shared" si="73"/>
        <v/>
      </c>
      <c r="AW320" s="4" t="str">
        <f t="shared" si="73"/>
        <v/>
      </c>
      <c r="AX320" s="4">
        <f t="shared" si="73"/>
        <v>1</v>
      </c>
      <c r="AY320" s="4" t="str">
        <f t="shared" si="73"/>
        <v/>
      </c>
      <c r="AZ320" s="4" t="str">
        <f t="shared" si="73"/>
        <v/>
      </c>
      <c r="BA320" s="4" t="str">
        <f t="shared" si="73"/>
        <v/>
      </c>
      <c r="BB320" s="4" t="str">
        <f t="shared" si="74"/>
        <v/>
      </c>
      <c r="BC320" s="4" t="str">
        <f t="shared" si="68"/>
        <v/>
      </c>
      <c r="BD320" s="4" t="str">
        <f t="shared" si="68"/>
        <v/>
      </c>
      <c r="BE320" s="4" t="str">
        <f t="shared" si="68"/>
        <v/>
      </c>
      <c r="BF320" s="4" t="str">
        <f t="shared" si="68"/>
        <v/>
      </c>
      <c r="BG320" s="4" t="str">
        <f t="shared" si="68"/>
        <v/>
      </c>
      <c r="BH320" s="4" t="str">
        <f t="shared" si="68"/>
        <v/>
      </c>
      <c r="BI320" s="5" t="str">
        <f t="shared" si="68"/>
        <v/>
      </c>
    </row>
    <row r="321" spans="1:61" x14ac:dyDescent="0.25">
      <c r="A321">
        <v>709201</v>
      </c>
      <c r="B321" t="s">
        <v>15</v>
      </c>
      <c r="C321" t="s">
        <v>16</v>
      </c>
      <c r="D321">
        <v>60505</v>
      </c>
      <c r="E321">
        <v>253</v>
      </c>
      <c r="F321">
        <v>2</v>
      </c>
      <c r="G321">
        <v>20132</v>
      </c>
      <c r="H321" t="s">
        <v>17</v>
      </c>
      <c r="I321">
        <v>61396</v>
      </c>
      <c r="J321">
        <v>2028</v>
      </c>
      <c r="K321">
        <v>66382.66</v>
      </c>
      <c r="L321">
        <v>65495.59</v>
      </c>
      <c r="M321">
        <v>887.07</v>
      </c>
      <c r="N321" s="3" t="str">
        <f t="shared" si="69"/>
        <v/>
      </c>
      <c r="O321" s="4" t="str">
        <f t="shared" si="69"/>
        <v/>
      </c>
      <c r="P321" s="4" t="str">
        <f t="shared" si="69"/>
        <v/>
      </c>
      <c r="Q321" s="4" t="str">
        <f t="shared" si="69"/>
        <v/>
      </c>
      <c r="R321" s="4" t="str">
        <f t="shared" si="69"/>
        <v/>
      </c>
      <c r="S321" s="4" t="str">
        <f t="shared" si="69"/>
        <v/>
      </c>
      <c r="T321" s="4" t="str">
        <f t="shared" si="69"/>
        <v/>
      </c>
      <c r="U321" s="4" t="str">
        <f t="shared" si="69"/>
        <v/>
      </c>
      <c r="V321" s="4" t="str">
        <f t="shared" si="70"/>
        <v/>
      </c>
      <c r="W321" s="4" t="str">
        <f t="shared" si="66"/>
        <v/>
      </c>
      <c r="X321" s="4" t="str">
        <f t="shared" si="66"/>
        <v/>
      </c>
      <c r="Y321" s="4" t="str">
        <f t="shared" si="66"/>
        <v/>
      </c>
      <c r="Z321" s="4" t="str">
        <f t="shared" si="66"/>
        <v/>
      </c>
      <c r="AA321" s="4" t="str">
        <f t="shared" si="66"/>
        <v/>
      </c>
      <c r="AB321" s="4" t="str">
        <f t="shared" si="66"/>
        <v/>
      </c>
      <c r="AC321" s="5" t="str">
        <f t="shared" si="66"/>
        <v/>
      </c>
      <c r="AD321" s="3" t="str">
        <f t="shared" si="71"/>
        <v/>
      </c>
      <c r="AE321" s="4" t="str">
        <f t="shared" si="71"/>
        <v/>
      </c>
      <c r="AF321" s="4" t="str">
        <f t="shared" si="71"/>
        <v/>
      </c>
      <c r="AG321" s="4" t="str">
        <f t="shared" si="71"/>
        <v/>
      </c>
      <c r="AH321" s="4" t="str">
        <f t="shared" si="71"/>
        <v/>
      </c>
      <c r="AI321" s="4" t="str">
        <f t="shared" si="71"/>
        <v/>
      </c>
      <c r="AJ321" s="4" t="str">
        <f t="shared" si="71"/>
        <v/>
      </c>
      <c r="AK321" s="4" t="str">
        <f t="shared" si="71"/>
        <v/>
      </c>
      <c r="AL321" s="4" t="str">
        <f t="shared" si="72"/>
        <v/>
      </c>
      <c r="AM321" s="4" t="str">
        <f t="shared" si="67"/>
        <v/>
      </c>
      <c r="AN321" s="4" t="str">
        <f t="shared" si="67"/>
        <v/>
      </c>
      <c r="AO321" s="4" t="str">
        <f t="shared" si="67"/>
        <v/>
      </c>
      <c r="AP321" s="4" t="str">
        <f t="shared" si="67"/>
        <v/>
      </c>
      <c r="AQ321" s="4" t="str">
        <f t="shared" si="67"/>
        <v/>
      </c>
      <c r="AR321" s="4" t="str">
        <f t="shared" si="67"/>
        <v/>
      </c>
      <c r="AS321" s="5" t="str">
        <f t="shared" si="67"/>
        <v/>
      </c>
      <c r="AT321" s="3" t="str">
        <f t="shared" si="73"/>
        <v/>
      </c>
      <c r="AU321" s="4" t="str">
        <f t="shared" si="73"/>
        <v/>
      </c>
      <c r="AV321" s="4" t="str">
        <f t="shared" si="73"/>
        <v/>
      </c>
      <c r="AW321" s="4" t="str">
        <f t="shared" si="73"/>
        <v/>
      </c>
      <c r="AX321" s="4" t="str">
        <f t="shared" si="73"/>
        <v/>
      </c>
      <c r="AY321" s="4" t="str">
        <f t="shared" si="73"/>
        <v/>
      </c>
      <c r="AZ321" s="4" t="str">
        <f t="shared" si="73"/>
        <v/>
      </c>
      <c r="BA321" s="4" t="str">
        <f t="shared" si="73"/>
        <v/>
      </c>
      <c r="BB321" s="4" t="str">
        <f t="shared" si="74"/>
        <v/>
      </c>
      <c r="BC321" s="4" t="str">
        <f t="shared" si="68"/>
        <v/>
      </c>
      <c r="BD321" s="4" t="str">
        <f t="shared" si="68"/>
        <v/>
      </c>
      <c r="BE321" s="4" t="str">
        <f t="shared" si="68"/>
        <v/>
      </c>
      <c r="BF321" s="4" t="str">
        <f t="shared" si="68"/>
        <v/>
      </c>
      <c r="BG321" s="4" t="str">
        <f t="shared" si="68"/>
        <v/>
      </c>
      <c r="BH321" s="4" t="str">
        <f t="shared" si="68"/>
        <v/>
      </c>
      <c r="BI321" s="5" t="str">
        <f t="shared" si="68"/>
        <v/>
      </c>
    </row>
    <row r="322" spans="1:61" x14ac:dyDescent="0.25">
      <c r="A322">
        <v>709202</v>
      </c>
      <c r="B322" t="s">
        <v>15</v>
      </c>
      <c r="C322" t="s">
        <v>16</v>
      </c>
      <c r="D322">
        <v>60505</v>
      </c>
      <c r="E322">
        <v>253</v>
      </c>
      <c r="F322">
        <v>2</v>
      </c>
      <c r="G322">
        <v>20133</v>
      </c>
      <c r="H322" t="s">
        <v>0</v>
      </c>
      <c r="I322">
        <v>100739</v>
      </c>
      <c r="J322">
        <v>3293</v>
      </c>
      <c r="K322">
        <v>75698.31</v>
      </c>
      <c r="L322">
        <v>75421.31</v>
      </c>
      <c r="M322">
        <v>277</v>
      </c>
      <c r="N322" s="3" t="str">
        <f t="shared" si="69"/>
        <v/>
      </c>
      <c r="O322" s="4" t="str">
        <f t="shared" si="69"/>
        <v/>
      </c>
      <c r="P322" s="4" t="str">
        <f t="shared" si="69"/>
        <v/>
      </c>
      <c r="Q322" s="4" t="str">
        <f t="shared" si="69"/>
        <v/>
      </c>
      <c r="R322" s="4" t="str">
        <f t="shared" si="69"/>
        <v/>
      </c>
      <c r="S322" s="4" t="str">
        <f t="shared" si="69"/>
        <v/>
      </c>
      <c r="T322" s="4" t="str">
        <f t="shared" si="69"/>
        <v/>
      </c>
      <c r="U322" s="4" t="str">
        <f t="shared" si="69"/>
        <v/>
      </c>
      <c r="V322" s="4" t="str">
        <f t="shared" si="70"/>
        <v/>
      </c>
      <c r="W322" s="4" t="str">
        <f t="shared" si="66"/>
        <v/>
      </c>
      <c r="X322" s="4" t="str">
        <f t="shared" si="66"/>
        <v/>
      </c>
      <c r="Y322" s="4" t="str">
        <f t="shared" si="66"/>
        <v/>
      </c>
      <c r="Z322" s="4" t="str">
        <f t="shared" si="66"/>
        <v/>
      </c>
      <c r="AA322" s="4" t="str">
        <f t="shared" si="66"/>
        <v/>
      </c>
      <c r="AB322" s="4" t="str">
        <f t="shared" si="66"/>
        <v/>
      </c>
      <c r="AC322" s="5" t="str">
        <f t="shared" si="66"/>
        <v/>
      </c>
      <c r="AD322" s="3" t="str">
        <f t="shared" si="71"/>
        <v/>
      </c>
      <c r="AE322" s="4" t="str">
        <f t="shared" si="71"/>
        <v/>
      </c>
      <c r="AF322" s="4" t="str">
        <f t="shared" si="71"/>
        <v/>
      </c>
      <c r="AG322" s="4" t="str">
        <f t="shared" si="71"/>
        <v/>
      </c>
      <c r="AH322" s="4" t="str">
        <f t="shared" si="71"/>
        <v/>
      </c>
      <c r="AI322" s="4" t="str">
        <f t="shared" si="71"/>
        <v/>
      </c>
      <c r="AJ322" s="4" t="str">
        <f t="shared" si="71"/>
        <v/>
      </c>
      <c r="AK322" s="4" t="str">
        <f t="shared" si="71"/>
        <v/>
      </c>
      <c r="AL322" s="4" t="str">
        <f t="shared" si="72"/>
        <v/>
      </c>
      <c r="AM322" s="4" t="str">
        <f t="shared" si="67"/>
        <v/>
      </c>
      <c r="AN322" s="4" t="str">
        <f t="shared" si="67"/>
        <v/>
      </c>
      <c r="AO322" s="4" t="str">
        <f t="shared" si="67"/>
        <v/>
      </c>
      <c r="AP322" s="4" t="str">
        <f t="shared" si="67"/>
        <v/>
      </c>
      <c r="AQ322" s="4" t="str">
        <f t="shared" si="67"/>
        <v/>
      </c>
      <c r="AR322" s="4" t="str">
        <f t="shared" si="67"/>
        <v/>
      </c>
      <c r="AS322" s="5" t="str">
        <f t="shared" si="67"/>
        <v/>
      </c>
      <c r="AT322" s="3" t="str">
        <f t="shared" si="73"/>
        <v/>
      </c>
      <c r="AU322" s="4" t="str">
        <f t="shared" si="73"/>
        <v/>
      </c>
      <c r="AV322" s="4" t="str">
        <f t="shared" si="73"/>
        <v/>
      </c>
      <c r="AW322" s="4" t="str">
        <f t="shared" si="73"/>
        <v/>
      </c>
      <c r="AX322" s="4" t="str">
        <f t="shared" si="73"/>
        <v/>
      </c>
      <c r="AY322" s="4" t="str">
        <f t="shared" si="73"/>
        <v/>
      </c>
      <c r="AZ322" s="4">
        <f t="shared" si="73"/>
        <v>1</v>
      </c>
      <c r="BA322" s="4" t="str">
        <f t="shared" si="73"/>
        <v/>
      </c>
      <c r="BB322" s="4" t="str">
        <f t="shared" si="74"/>
        <v/>
      </c>
      <c r="BC322" s="4" t="str">
        <f t="shared" si="68"/>
        <v/>
      </c>
      <c r="BD322" s="4" t="str">
        <f t="shared" si="68"/>
        <v/>
      </c>
      <c r="BE322" s="4" t="str">
        <f t="shared" si="68"/>
        <v/>
      </c>
      <c r="BF322" s="4" t="str">
        <f t="shared" si="68"/>
        <v/>
      </c>
      <c r="BG322" s="4" t="str">
        <f t="shared" si="68"/>
        <v/>
      </c>
      <c r="BH322" s="4" t="str">
        <f t="shared" si="68"/>
        <v/>
      </c>
      <c r="BI322" s="5" t="str">
        <f t="shared" si="68"/>
        <v/>
      </c>
    </row>
    <row r="323" spans="1:61" x14ac:dyDescent="0.25">
      <c r="A323">
        <v>709203</v>
      </c>
      <c r="B323" t="s">
        <v>15</v>
      </c>
      <c r="C323" t="s">
        <v>16</v>
      </c>
      <c r="D323">
        <v>60505</v>
      </c>
      <c r="E323">
        <v>253</v>
      </c>
      <c r="F323">
        <v>2</v>
      </c>
      <c r="G323">
        <v>20134</v>
      </c>
      <c r="H323" t="s">
        <v>0</v>
      </c>
      <c r="I323">
        <v>498146</v>
      </c>
      <c r="J323">
        <v>16347</v>
      </c>
      <c r="K323">
        <v>384593.73</v>
      </c>
      <c r="L323">
        <v>383321.39</v>
      </c>
      <c r="M323">
        <v>1272.3399999999999</v>
      </c>
      <c r="N323" s="3" t="str">
        <f t="shared" si="69"/>
        <v/>
      </c>
      <c r="O323" s="4" t="str">
        <f t="shared" si="69"/>
        <v/>
      </c>
      <c r="P323" s="4" t="str">
        <f t="shared" si="69"/>
        <v/>
      </c>
      <c r="Q323" s="4" t="str">
        <f t="shared" si="69"/>
        <v/>
      </c>
      <c r="R323" s="4" t="str">
        <f t="shared" si="69"/>
        <v/>
      </c>
      <c r="S323" s="4" t="str">
        <f t="shared" si="69"/>
        <v/>
      </c>
      <c r="T323" s="4" t="str">
        <f t="shared" si="69"/>
        <v/>
      </c>
      <c r="U323" s="4" t="str">
        <f t="shared" si="69"/>
        <v/>
      </c>
      <c r="V323" s="4" t="str">
        <f t="shared" si="70"/>
        <v/>
      </c>
      <c r="W323" s="4" t="str">
        <f t="shared" si="66"/>
        <v/>
      </c>
      <c r="X323" s="4" t="str">
        <f t="shared" si="66"/>
        <v/>
      </c>
      <c r="Y323" s="4" t="str">
        <f t="shared" si="66"/>
        <v/>
      </c>
      <c r="Z323" s="4" t="str">
        <f t="shared" si="66"/>
        <v/>
      </c>
      <c r="AA323" s="4" t="str">
        <f t="shared" si="66"/>
        <v/>
      </c>
      <c r="AB323" s="4" t="str">
        <f t="shared" si="66"/>
        <v/>
      </c>
      <c r="AC323" s="5" t="str">
        <f t="shared" si="66"/>
        <v/>
      </c>
      <c r="AD323" s="3" t="str">
        <f t="shared" si="71"/>
        <v/>
      </c>
      <c r="AE323" s="4" t="str">
        <f t="shared" si="71"/>
        <v/>
      </c>
      <c r="AF323" s="4" t="str">
        <f t="shared" si="71"/>
        <v/>
      </c>
      <c r="AG323" s="4" t="str">
        <f t="shared" si="71"/>
        <v/>
      </c>
      <c r="AH323" s="4" t="str">
        <f t="shared" si="71"/>
        <v/>
      </c>
      <c r="AI323" s="4" t="str">
        <f t="shared" si="71"/>
        <v/>
      </c>
      <c r="AJ323" s="4" t="str">
        <f t="shared" si="71"/>
        <v/>
      </c>
      <c r="AK323" s="4" t="str">
        <f t="shared" si="71"/>
        <v/>
      </c>
      <c r="AL323" s="4" t="str">
        <f t="shared" si="72"/>
        <v/>
      </c>
      <c r="AM323" s="4" t="str">
        <f t="shared" si="67"/>
        <v/>
      </c>
      <c r="AN323" s="4" t="str">
        <f t="shared" si="67"/>
        <v/>
      </c>
      <c r="AO323" s="4" t="str">
        <f t="shared" si="67"/>
        <v/>
      </c>
      <c r="AP323" s="4" t="str">
        <f t="shared" si="67"/>
        <v/>
      </c>
      <c r="AQ323" s="4" t="str">
        <f t="shared" si="67"/>
        <v/>
      </c>
      <c r="AR323" s="4" t="str">
        <f t="shared" si="67"/>
        <v/>
      </c>
      <c r="AS323" s="5" t="str">
        <f t="shared" si="67"/>
        <v/>
      </c>
      <c r="AT323" s="3" t="str">
        <f t="shared" si="73"/>
        <v/>
      </c>
      <c r="AU323" s="4" t="str">
        <f t="shared" si="73"/>
        <v/>
      </c>
      <c r="AV323" s="4" t="str">
        <f t="shared" si="73"/>
        <v/>
      </c>
      <c r="AW323" s="4" t="str">
        <f t="shared" si="73"/>
        <v/>
      </c>
      <c r="AX323" s="4" t="str">
        <f t="shared" si="73"/>
        <v/>
      </c>
      <c r="AY323" s="4" t="str">
        <f t="shared" si="73"/>
        <v/>
      </c>
      <c r="AZ323" s="4" t="str">
        <f t="shared" si="73"/>
        <v/>
      </c>
      <c r="BA323" s="4">
        <f t="shared" si="73"/>
        <v>1</v>
      </c>
      <c r="BB323" s="4" t="str">
        <f t="shared" si="74"/>
        <v/>
      </c>
      <c r="BC323" s="4" t="str">
        <f t="shared" si="68"/>
        <v/>
      </c>
      <c r="BD323" s="4" t="str">
        <f t="shared" si="68"/>
        <v/>
      </c>
      <c r="BE323" s="4" t="str">
        <f t="shared" si="68"/>
        <v/>
      </c>
      <c r="BF323" s="4" t="str">
        <f t="shared" si="68"/>
        <v/>
      </c>
      <c r="BG323" s="4" t="str">
        <f t="shared" si="68"/>
        <v/>
      </c>
      <c r="BH323" s="4" t="str">
        <f t="shared" si="68"/>
        <v/>
      </c>
      <c r="BI323" s="5" t="str">
        <f t="shared" si="68"/>
        <v/>
      </c>
    </row>
    <row r="324" spans="1:61" x14ac:dyDescent="0.25">
      <c r="A324">
        <v>709204</v>
      </c>
      <c r="B324" t="s">
        <v>15</v>
      </c>
      <c r="C324" t="s">
        <v>16</v>
      </c>
      <c r="D324">
        <v>60505</v>
      </c>
      <c r="E324">
        <v>253</v>
      </c>
      <c r="F324">
        <v>3</v>
      </c>
      <c r="G324">
        <v>20131</v>
      </c>
      <c r="H324" t="s">
        <v>0</v>
      </c>
      <c r="I324">
        <v>52651</v>
      </c>
      <c r="J324">
        <v>1762</v>
      </c>
      <c r="K324">
        <v>74572.350000000006</v>
      </c>
      <c r="L324">
        <v>73728.759999999995</v>
      </c>
      <c r="M324">
        <v>843.59</v>
      </c>
      <c r="N324" s="3" t="str">
        <f t="shared" si="69"/>
        <v/>
      </c>
      <c r="O324" s="4" t="str">
        <f t="shared" si="69"/>
        <v/>
      </c>
      <c r="P324" s="4" t="str">
        <f t="shared" si="69"/>
        <v/>
      </c>
      <c r="Q324" s="4" t="str">
        <f t="shared" si="69"/>
        <v/>
      </c>
      <c r="R324" s="4" t="str">
        <f t="shared" si="69"/>
        <v/>
      </c>
      <c r="S324" s="4" t="str">
        <f t="shared" si="69"/>
        <v/>
      </c>
      <c r="T324" s="4" t="str">
        <f t="shared" si="69"/>
        <v/>
      </c>
      <c r="U324" s="4" t="str">
        <f t="shared" si="69"/>
        <v/>
      </c>
      <c r="V324" s="4" t="str">
        <f t="shared" si="70"/>
        <v/>
      </c>
      <c r="W324" s="4" t="str">
        <f t="shared" si="66"/>
        <v/>
      </c>
      <c r="X324" s="4" t="str">
        <f t="shared" si="66"/>
        <v/>
      </c>
      <c r="Y324" s="4" t="str">
        <f t="shared" si="66"/>
        <v/>
      </c>
      <c r="Z324" s="4" t="str">
        <f t="shared" si="66"/>
        <v/>
      </c>
      <c r="AA324" s="4" t="str">
        <f t="shared" si="66"/>
        <v/>
      </c>
      <c r="AB324" s="4" t="str">
        <f t="shared" si="66"/>
        <v/>
      </c>
      <c r="AC324" s="5" t="str">
        <f t="shared" si="66"/>
        <v/>
      </c>
      <c r="AD324" s="3" t="str">
        <f t="shared" si="71"/>
        <v/>
      </c>
      <c r="AE324" s="4" t="str">
        <f t="shared" si="71"/>
        <v/>
      </c>
      <c r="AF324" s="4" t="str">
        <f t="shared" si="71"/>
        <v/>
      </c>
      <c r="AG324" s="4" t="str">
        <f t="shared" si="71"/>
        <v/>
      </c>
      <c r="AH324" s="4" t="str">
        <f t="shared" si="71"/>
        <v/>
      </c>
      <c r="AI324" s="4" t="str">
        <f t="shared" si="71"/>
        <v/>
      </c>
      <c r="AJ324" s="4" t="str">
        <f t="shared" si="71"/>
        <v/>
      </c>
      <c r="AK324" s="4" t="str">
        <f t="shared" si="71"/>
        <v/>
      </c>
      <c r="AL324" s="4" t="str">
        <f t="shared" si="72"/>
        <v/>
      </c>
      <c r="AM324" s="4" t="str">
        <f t="shared" si="67"/>
        <v/>
      </c>
      <c r="AN324" s="4" t="str">
        <f t="shared" si="67"/>
        <v/>
      </c>
      <c r="AO324" s="4" t="str">
        <f t="shared" si="67"/>
        <v/>
      </c>
      <c r="AP324" s="4" t="str">
        <f t="shared" si="67"/>
        <v/>
      </c>
      <c r="AQ324" s="4" t="str">
        <f t="shared" si="67"/>
        <v/>
      </c>
      <c r="AR324" s="4" t="str">
        <f t="shared" si="67"/>
        <v/>
      </c>
      <c r="AS324" s="5" t="str">
        <f t="shared" si="67"/>
        <v/>
      </c>
      <c r="AT324" s="3" t="str">
        <f t="shared" si="73"/>
        <v/>
      </c>
      <c r="AU324" s="4" t="str">
        <f t="shared" si="73"/>
        <v/>
      </c>
      <c r="AV324" s="4" t="str">
        <f t="shared" si="73"/>
        <v/>
      </c>
      <c r="AW324" s="4" t="str">
        <f t="shared" si="73"/>
        <v/>
      </c>
      <c r="AX324" s="4">
        <f t="shared" si="73"/>
        <v>1</v>
      </c>
      <c r="AY324" s="4" t="str">
        <f t="shared" si="73"/>
        <v/>
      </c>
      <c r="AZ324" s="4" t="str">
        <f t="shared" si="73"/>
        <v/>
      </c>
      <c r="BA324" s="4" t="str">
        <f t="shared" si="73"/>
        <v/>
      </c>
      <c r="BB324" s="4" t="str">
        <f t="shared" si="74"/>
        <v/>
      </c>
      <c r="BC324" s="4" t="str">
        <f t="shared" si="68"/>
        <v/>
      </c>
      <c r="BD324" s="4" t="str">
        <f t="shared" si="68"/>
        <v/>
      </c>
      <c r="BE324" s="4" t="str">
        <f t="shared" si="68"/>
        <v/>
      </c>
      <c r="BF324" s="4" t="str">
        <f t="shared" si="68"/>
        <v/>
      </c>
      <c r="BG324" s="4" t="str">
        <f t="shared" si="68"/>
        <v/>
      </c>
      <c r="BH324" s="4" t="str">
        <f t="shared" si="68"/>
        <v/>
      </c>
      <c r="BI324" s="5" t="str">
        <f t="shared" si="68"/>
        <v/>
      </c>
    </row>
    <row r="325" spans="1:61" x14ac:dyDescent="0.25">
      <c r="A325">
        <v>709205</v>
      </c>
      <c r="B325" t="s">
        <v>15</v>
      </c>
      <c r="C325" t="s">
        <v>16</v>
      </c>
      <c r="D325">
        <v>60505</v>
      </c>
      <c r="E325">
        <v>253</v>
      </c>
      <c r="F325">
        <v>3</v>
      </c>
      <c r="G325">
        <v>20132</v>
      </c>
      <c r="H325" t="s">
        <v>0</v>
      </c>
      <c r="I325">
        <v>52726</v>
      </c>
      <c r="J325">
        <v>1763</v>
      </c>
      <c r="K325">
        <v>54088.21</v>
      </c>
      <c r="L325">
        <v>53980.21</v>
      </c>
      <c r="M325">
        <v>108</v>
      </c>
      <c r="N325" s="3" t="str">
        <f t="shared" si="69"/>
        <v/>
      </c>
      <c r="O325" s="4" t="str">
        <f t="shared" si="69"/>
        <v/>
      </c>
      <c r="P325" s="4" t="str">
        <f t="shared" si="69"/>
        <v/>
      </c>
      <c r="Q325" s="4" t="str">
        <f t="shared" si="69"/>
        <v/>
      </c>
      <c r="R325" s="4" t="str">
        <f t="shared" si="69"/>
        <v/>
      </c>
      <c r="S325" s="4" t="str">
        <f t="shared" si="69"/>
        <v/>
      </c>
      <c r="T325" s="4" t="str">
        <f t="shared" si="69"/>
        <v/>
      </c>
      <c r="U325" s="4" t="str">
        <f t="shared" si="69"/>
        <v/>
      </c>
      <c r="V325" s="4" t="str">
        <f t="shared" si="70"/>
        <v/>
      </c>
      <c r="W325" s="4" t="str">
        <f t="shared" si="66"/>
        <v/>
      </c>
      <c r="X325" s="4" t="str">
        <f t="shared" si="66"/>
        <v/>
      </c>
      <c r="Y325" s="4" t="str">
        <f t="shared" si="66"/>
        <v/>
      </c>
      <c r="Z325" s="4" t="str">
        <f t="shared" si="66"/>
        <v/>
      </c>
      <c r="AA325" s="4" t="str">
        <f t="shared" si="66"/>
        <v/>
      </c>
      <c r="AB325" s="4" t="str">
        <f t="shared" si="66"/>
        <v/>
      </c>
      <c r="AC325" s="5" t="str">
        <f t="shared" si="66"/>
        <v/>
      </c>
      <c r="AD325" s="3" t="str">
        <f t="shared" si="71"/>
        <v/>
      </c>
      <c r="AE325" s="4" t="str">
        <f t="shared" si="71"/>
        <v/>
      </c>
      <c r="AF325" s="4" t="str">
        <f t="shared" si="71"/>
        <v/>
      </c>
      <c r="AG325" s="4" t="str">
        <f t="shared" si="71"/>
        <v/>
      </c>
      <c r="AH325" s="4" t="str">
        <f t="shared" si="71"/>
        <v/>
      </c>
      <c r="AI325" s="4" t="str">
        <f t="shared" si="71"/>
        <v/>
      </c>
      <c r="AJ325" s="4" t="str">
        <f t="shared" si="71"/>
        <v/>
      </c>
      <c r="AK325" s="4" t="str">
        <f t="shared" si="71"/>
        <v/>
      </c>
      <c r="AL325" s="4" t="str">
        <f t="shared" si="72"/>
        <v/>
      </c>
      <c r="AM325" s="4" t="str">
        <f t="shared" si="67"/>
        <v/>
      </c>
      <c r="AN325" s="4" t="str">
        <f t="shared" si="67"/>
        <v/>
      </c>
      <c r="AO325" s="4" t="str">
        <f t="shared" si="67"/>
        <v/>
      </c>
      <c r="AP325" s="4" t="str">
        <f t="shared" si="67"/>
        <v/>
      </c>
      <c r="AQ325" s="4" t="str">
        <f t="shared" si="67"/>
        <v/>
      </c>
      <c r="AR325" s="4" t="str">
        <f t="shared" si="67"/>
        <v/>
      </c>
      <c r="AS325" s="5" t="str">
        <f t="shared" si="67"/>
        <v/>
      </c>
      <c r="AT325" s="3" t="str">
        <f t="shared" si="73"/>
        <v/>
      </c>
      <c r="AU325" s="4" t="str">
        <f t="shared" si="73"/>
        <v/>
      </c>
      <c r="AV325" s="4" t="str">
        <f t="shared" si="73"/>
        <v/>
      </c>
      <c r="AW325" s="4" t="str">
        <f t="shared" si="73"/>
        <v/>
      </c>
      <c r="AX325" s="4" t="str">
        <f t="shared" si="73"/>
        <v/>
      </c>
      <c r="AY325" s="4">
        <f t="shared" si="73"/>
        <v>1</v>
      </c>
      <c r="AZ325" s="4" t="str">
        <f t="shared" si="73"/>
        <v/>
      </c>
      <c r="BA325" s="4" t="str">
        <f t="shared" si="73"/>
        <v/>
      </c>
      <c r="BB325" s="4" t="str">
        <f t="shared" si="74"/>
        <v/>
      </c>
      <c r="BC325" s="4" t="str">
        <f t="shared" si="68"/>
        <v/>
      </c>
      <c r="BD325" s="4" t="str">
        <f t="shared" si="68"/>
        <v/>
      </c>
      <c r="BE325" s="4" t="str">
        <f t="shared" si="68"/>
        <v/>
      </c>
      <c r="BF325" s="4" t="str">
        <f t="shared" si="68"/>
        <v/>
      </c>
      <c r="BG325" s="4" t="str">
        <f t="shared" si="68"/>
        <v/>
      </c>
      <c r="BH325" s="4" t="str">
        <f t="shared" si="68"/>
        <v/>
      </c>
      <c r="BI325" s="5" t="str">
        <f t="shared" si="68"/>
        <v/>
      </c>
    </row>
    <row r="326" spans="1:61" x14ac:dyDescent="0.25">
      <c r="A326">
        <v>709206</v>
      </c>
      <c r="B326" t="s">
        <v>15</v>
      </c>
      <c r="C326" t="s">
        <v>16</v>
      </c>
      <c r="D326">
        <v>60505</v>
      </c>
      <c r="E326">
        <v>253</v>
      </c>
      <c r="F326">
        <v>3</v>
      </c>
      <c r="G326">
        <v>20133</v>
      </c>
      <c r="H326" t="s">
        <v>0</v>
      </c>
      <c r="I326">
        <v>48471.6</v>
      </c>
      <c r="J326">
        <v>1628</v>
      </c>
      <c r="K326">
        <v>39313.61</v>
      </c>
      <c r="L326">
        <v>39178.61</v>
      </c>
      <c r="M326">
        <v>135</v>
      </c>
      <c r="N326" s="3" t="str">
        <f t="shared" si="69"/>
        <v/>
      </c>
      <c r="O326" s="4" t="str">
        <f t="shared" si="69"/>
        <v/>
      </c>
      <c r="P326" s="4" t="str">
        <f t="shared" si="69"/>
        <v/>
      </c>
      <c r="Q326" s="4" t="str">
        <f t="shared" si="69"/>
        <v/>
      </c>
      <c r="R326" s="4" t="str">
        <f t="shared" si="69"/>
        <v/>
      </c>
      <c r="S326" s="4" t="str">
        <f t="shared" si="69"/>
        <v/>
      </c>
      <c r="T326" s="4" t="str">
        <f t="shared" si="69"/>
        <v/>
      </c>
      <c r="U326" s="4" t="str">
        <f t="shared" si="69"/>
        <v/>
      </c>
      <c r="V326" s="4" t="str">
        <f t="shared" si="70"/>
        <v/>
      </c>
      <c r="W326" s="4" t="str">
        <f t="shared" si="66"/>
        <v/>
      </c>
      <c r="X326" s="4" t="str">
        <f t="shared" si="66"/>
        <v/>
      </c>
      <c r="Y326" s="4" t="str">
        <f t="shared" si="66"/>
        <v/>
      </c>
      <c r="Z326" s="4" t="str">
        <f t="shared" si="66"/>
        <v/>
      </c>
      <c r="AA326" s="4" t="str">
        <f t="shared" si="66"/>
        <v/>
      </c>
      <c r="AB326" s="4" t="str">
        <f t="shared" si="66"/>
        <v/>
      </c>
      <c r="AC326" s="5" t="str">
        <f t="shared" si="66"/>
        <v/>
      </c>
      <c r="AD326" s="3" t="str">
        <f t="shared" si="71"/>
        <v/>
      </c>
      <c r="AE326" s="4" t="str">
        <f t="shared" si="71"/>
        <v/>
      </c>
      <c r="AF326" s="4" t="str">
        <f t="shared" si="71"/>
        <v/>
      </c>
      <c r="AG326" s="4" t="str">
        <f t="shared" si="71"/>
        <v/>
      </c>
      <c r="AH326" s="4" t="str">
        <f t="shared" si="71"/>
        <v/>
      </c>
      <c r="AI326" s="4" t="str">
        <f t="shared" si="71"/>
        <v/>
      </c>
      <c r="AJ326" s="4" t="str">
        <f t="shared" si="71"/>
        <v/>
      </c>
      <c r="AK326" s="4" t="str">
        <f t="shared" si="71"/>
        <v/>
      </c>
      <c r="AL326" s="4" t="str">
        <f t="shared" si="72"/>
        <v/>
      </c>
      <c r="AM326" s="4" t="str">
        <f t="shared" si="67"/>
        <v/>
      </c>
      <c r="AN326" s="4" t="str">
        <f t="shared" si="67"/>
        <v/>
      </c>
      <c r="AO326" s="4" t="str">
        <f t="shared" si="67"/>
        <v/>
      </c>
      <c r="AP326" s="4" t="str">
        <f t="shared" si="67"/>
        <v/>
      </c>
      <c r="AQ326" s="4" t="str">
        <f t="shared" si="67"/>
        <v/>
      </c>
      <c r="AR326" s="4" t="str">
        <f t="shared" si="67"/>
        <v/>
      </c>
      <c r="AS326" s="5" t="str">
        <f t="shared" si="67"/>
        <v/>
      </c>
      <c r="AT326" s="3" t="str">
        <f t="shared" si="73"/>
        <v/>
      </c>
      <c r="AU326" s="4" t="str">
        <f t="shared" si="73"/>
        <v/>
      </c>
      <c r="AV326" s="4" t="str">
        <f t="shared" si="73"/>
        <v/>
      </c>
      <c r="AW326" s="4" t="str">
        <f t="shared" si="73"/>
        <v/>
      </c>
      <c r="AX326" s="4" t="str">
        <f t="shared" si="73"/>
        <v/>
      </c>
      <c r="AY326" s="4" t="str">
        <f t="shared" si="73"/>
        <v/>
      </c>
      <c r="AZ326" s="4">
        <f t="shared" si="73"/>
        <v>1</v>
      </c>
      <c r="BA326" s="4" t="str">
        <f t="shared" si="73"/>
        <v/>
      </c>
      <c r="BB326" s="4" t="str">
        <f t="shared" si="74"/>
        <v/>
      </c>
      <c r="BC326" s="4" t="str">
        <f t="shared" si="68"/>
        <v/>
      </c>
      <c r="BD326" s="4" t="str">
        <f t="shared" si="68"/>
        <v/>
      </c>
      <c r="BE326" s="4" t="str">
        <f t="shared" si="68"/>
        <v/>
      </c>
      <c r="BF326" s="4" t="str">
        <f t="shared" si="68"/>
        <v/>
      </c>
      <c r="BG326" s="4" t="str">
        <f t="shared" si="68"/>
        <v/>
      </c>
      <c r="BH326" s="4" t="str">
        <f t="shared" si="68"/>
        <v/>
      </c>
      <c r="BI326" s="5" t="str">
        <f t="shared" si="68"/>
        <v/>
      </c>
    </row>
    <row r="327" spans="1:61" x14ac:dyDescent="0.25">
      <c r="A327">
        <v>709207</v>
      </c>
      <c r="B327" t="s">
        <v>15</v>
      </c>
      <c r="C327" t="s">
        <v>16</v>
      </c>
      <c r="D327">
        <v>60505</v>
      </c>
      <c r="E327">
        <v>253</v>
      </c>
      <c r="F327">
        <v>3</v>
      </c>
      <c r="G327">
        <v>20134</v>
      </c>
      <c r="H327" t="s">
        <v>0</v>
      </c>
      <c r="I327">
        <v>57144.4</v>
      </c>
      <c r="J327">
        <v>1922</v>
      </c>
      <c r="K327">
        <v>44412.36</v>
      </c>
      <c r="L327">
        <v>44169</v>
      </c>
      <c r="M327">
        <v>243.36</v>
      </c>
      <c r="N327" s="3" t="str">
        <f t="shared" si="69"/>
        <v/>
      </c>
      <c r="O327" s="4" t="str">
        <f t="shared" si="69"/>
        <v/>
      </c>
      <c r="P327" s="4" t="str">
        <f t="shared" si="69"/>
        <v/>
      </c>
      <c r="Q327" s="4" t="str">
        <f t="shared" si="69"/>
        <v/>
      </c>
      <c r="R327" s="4" t="str">
        <f t="shared" si="69"/>
        <v/>
      </c>
      <c r="S327" s="4" t="str">
        <f t="shared" si="69"/>
        <v/>
      </c>
      <c r="T327" s="4" t="str">
        <f t="shared" si="69"/>
        <v/>
      </c>
      <c r="U327" s="4" t="str">
        <f t="shared" si="69"/>
        <v/>
      </c>
      <c r="V327" s="4" t="str">
        <f t="shared" si="70"/>
        <v/>
      </c>
      <c r="W327" s="4" t="str">
        <f t="shared" si="66"/>
        <v/>
      </c>
      <c r="X327" s="4" t="str">
        <f t="shared" si="66"/>
        <v/>
      </c>
      <c r="Y327" s="4" t="str">
        <f t="shared" si="66"/>
        <v/>
      </c>
      <c r="Z327" s="4" t="str">
        <f t="shared" si="66"/>
        <v/>
      </c>
      <c r="AA327" s="4" t="str">
        <f t="shared" si="66"/>
        <v/>
      </c>
      <c r="AB327" s="4" t="str">
        <f t="shared" si="66"/>
        <v/>
      </c>
      <c r="AC327" s="5" t="str">
        <f t="shared" si="66"/>
        <v/>
      </c>
      <c r="AD327" s="3" t="str">
        <f t="shared" si="71"/>
        <v/>
      </c>
      <c r="AE327" s="4" t="str">
        <f t="shared" si="71"/>
        <v/>
      </c>
      <c r="AF327" s="4" t="str">
        <f t="shared" si="71"/>
        <v/>
      </c>
      <c r="AG327" s="4" t="str">
        <f t="shared" si="71"/>
        <v/>
      </c>
      <c r="AH327" s="4" t="str">
        <f t="shared" si="71"/>
        <v/>
      </c>
      <c r="AI327" s="4" t="str">
        <f t="shared" si="71"/>
        <v/>
      </c>
      <c r="AJ327" s="4" t="str">
        <f t="shared" si="71"/>
        <v/>
      </c>
      <c r="AK327" s="4" t="str">
        <f t="shared" si="71"/>
        <v/>
      </c>
      <c r="AL327" s="4" t="str">
        <f t="shared" si="72"/>
        <v/>
      </c>
      <c r="AM327" s="4" t="str">
        <f t="shared" si="67"/>
        <v/>
      </c>
      <c r="AN327" s="4" t="str">
        <f t="shared" si="67"/>
        <v/>
      </c>
      <c r="AO327" s="4" t="str">
        <f t="shared" si="67"/>
        <v/>
      </c>
      <c r="AP327" s="4" t="str">
        <f t="shared" si="67"/>
        <v/>
      </c>
      <c r="AQ327" s="4" t="str">
        <f t="shared" si="67"/>
        <v/>
      </c>
      <c r="AR327" s="4" t="str">
        <f t="shared" si="67"/>
        <v/>
      </c>
      <c r="AS327" s="5" t="str">
        <f t="shared" si="67"/>
        <v/>
      </c>
      <c r="AT327" s="3" t="str">
        <f t="shared" si="73"/>
        <v/>
      </c>
      <c r="AU327" s="4" t="str">
        <f t="shared" si="73"/>
        <v/>
      </c>
      <c r="AV327" s="4" t="str">
        <f t="shared" si="73"/>
        <v/>
      </c>
      <c r="AW327" s="4" t="str">
        <f t="shared" si="73"/>
        <v/>
      </c>
      <c r="AX327" s="4" t="str">
        <f t="shared" si="73"/>
        <v/>
      </c>
      <c r="AY327" s="4" t="str">
        <f t="shared" si="73"/>
        <v/>
      </c>
      <c r="AZ327" s="4" t="str">
        <f t="shared" si="73"/>
        <v/>
      </c>
      <c r="BA327" s="4">
        <f t="shared" si="73"/>
        <v>1</v>
      </c>
      <c r="BB327" s="4" t="str">
        <f t="shared" si="74"/>
        <v/>
      </c>
      <c r="BC327" s="4" t="str">
        <f t="shared" si="68"/>
        <v/>
      </c>
      <c r="BD327" s="4" t="str">
        <f t="shared" si="68"/>
        <v/>
      </c>
      <c r="BE327" s="4" t="str">
        <f t="shared" si="68"/>
        <v/>
      </c>
      <c r="BF327" s="4" t="str">
        <f t="shared" si="68"/>
        <v/>
      </c>
      <c r="BG327" s="4" t="str">
        <f t="shared" si="68"/>
        <v/>
      </c>
      <c r="BH327" s="4" t="str">
        <f t="shared" si="68"/>
        <v/>
      </c>
      <c r="BI327" s="5" t="str">
        <f t="shared" si="68"/>
        <v/>
      </c>
    </row>
    <row r="328" spans="1:61" x14ac:dyDescent="0.25">
      <c r="A328">
        <v>337764</v>
      </c>
      <c r="B328" t="s">
        <v>14</v>
      </c>
      <c r="C328" t="s">
        <v>16</v>
      </c>
      <c r="D328">
        <v>60505</v>
      </c>
      <c r="E328">
        <v>3992</v>
      </c>
      <c r="F328">
        <v>3</v>
      </c>
      <c r="G328">
        <v>20124</v>
      </c>
      <c r="H328" t="s">
        <v>0</v>
      </c>
      <c r="I328">
        <v>17991</v>
      </c>
      <c r="J328">
        <v>555</v>
      </c>
      <c r="K328">
        <v>6776.28</v>
      </c>
      <c r="L328">
        <v>6013.89</v>
      </c>
      <c r="M328">
        <v>762.39</v>
      </c>
      <c r="N328" s="3" t="str">
        <f t="shared" si="69"/>
        <v/>
      </c>
      <c r="O328" s="4" t="str">
        <f t="shared" si="69"/>
        <v/>
      </c>
      <c r="P328" s="4" t="str">
        <f t="shared" si="69"/>
        <v/>
      </c>
      <c r="Q328" s="4" t="str">
        <f t="shared" si="69"/>
        <v/>
      </c>
      <c r="R328" s="4" t="str">
        <f t="shared" si="69"/>
        <v/>
      </c>
      <c r="S328" s="4" t="str">
        <f t="shared" si="69"/>
        <v/>
      </c>
      <c r="T328" s="4" t="str">
        <f t="shared" si="69"/>
        <v/>
      </c>
      <c r="U328" s="4" t="str">
        <f t="shared" si="69"/>
        <v/>
      </c>
      <c r="V328" s="4" t="str">
        <f t="shared" si="70"/>
        <v/>
      </c>
      <c r="W328" s="4" t="str">
        <f t="shared" si="66"/>
        <v/>
      </c>
      <c r="X328" s="4" t="str">
        <f t="shared" si="66"/>
        <v/>
      </c>
      <c r="Y328" s="4" t="str">
        <f t="shared" si="66"/>
        <v/>
      </c>
      <c r="Z328" s="4" t="str">
        <f t="shared" si="66"/>
        <v/>
      </c>
      <c r="AA328" s="4" t="str">
        <f t="shared" si="66"/>
        <v/>
      </c>
      <c r="AB328" s="4" t="str">
        <f t="shared" si="66"/>
        <v/>
      </c>
      <c r="AC328" s="5" t="str">
        <f t="shared" si="66"/>
        <v/>
      </c>
      <c r="AD328" s="3" t="str">
        <f t="shared" si="71"/>
        <v/>
      </c>
      <c r="AE328" s="4" t="str">
        <f t="shared" si="71"/>
        <v/>
      </c>
      <c r="AF328" s="4" t="str">
        <f t="shared" si="71"/>
        <v/>
      </c>
      <c r="AG328" s="4">
        <f t="shared" si="71"/>
        <v>1</v>
      </c>
      <c r="AH328" s="4" t="str">
        <f t="shared" si="71"/>
        <v/>
      </c>
      <c r="AI328" s="4" t="str">
        <f t="shared" si="71"/>
        <v/>
      </c>
      <c r="AJ328" s="4" t="str">
        <f t="shared" si="71"/>
        <v/>
      </c>
      <c r="AK328" s="4" t="str">
        <f t="shared" si="71"/>
        <v/>
      </c>
      <c r="AL328" s="4" t="str">
        <f t="shared" si="72"/>
        <v/>
      </c>
      <c r="AM328" s="4" t="str">
        <f t="shared" si="67"/>
        <v/>
      </c>
      <c r="AN328" s="4" t="str">
        <f t="shared" si="67"/>
        <v/>
      </c>
      <c r="AO328" s="4" t="str">
        <f t="shared" si="67"/>
        <v/>
      </c>
      <c r="AP328" s="4" t="str">
        <f t="shared" si="67"/>
        <v/>
      </c>
      <c r="AQ328" s="4" t="str">
        <f t="shared" si="67"/>
        <v/>
      </c>
      <c r="AR328" s="4" t="str">
        <f t="shared" si="67"/>
        <v/>
      </c>
      <c r="AS328" s="5" t="str">
        <f t="shared" si="67"/>
        <v/>
      </c>
      <c r="AT328" s="3" t="str">
        <f t="shared" si="73"/>
        <v/>
      </c>
      <c r="AU328" s="4" t="str">
        <f t="shared" si="73"/>
        <v/>
      </c>
      <c r="AV328" s="4" t="str">
        <f t="shared" si="73"/>
        <v/>
      </c>
      <c r="AW328" s="4" t="str">
        <f t="shared" si="73"/>
        <v/>
      </c>
      <c r="AX328" s="4" t="str">
        <f t="shared" si="73"/>
        <v/>
      </c>
      <c r="AY328" s="4" t="str">
        <f t="shared" si="73"/>
        <v/>
      </c>
      <c r="AZ328" s="4" t="str">
        <f t="shared" si="73"/>
        <v/>
      </c>
      <c r="BA328" s="4" t="str">
        <f t="shared" si="73"/>
        <v/>
      </c>
      <c r="BB328" s="4" t="str">
        <f t="shared" si="74"/>
        <v/>
      </c>
      <c r="BC328" s="4" t="str">
        <f t="shared" si="68"/>
        <v/>
      </c>
      <c r="BD328" s="4" t="str">
        <f t="shared" si="68"/>
        <v/>
      </c>
      <c r="BE328" s="4" t="str">
        <f t="shared" si="68"/>
        <v/>
      </c>
      <c r="BF328" s="4" t="str">
        <f t="shared" si="68"/>
        <v/>
      </c>
      <c r="BG328" s="4" t="str">
        <f t="shared" si="68"/>
        <v/>
      </c>
      <c r="BH328" s="4" t="str">
        <f t="shared" si="68"/>
        <v/>
      </c>
      <c r="BI328" s="5" t="str">
        <f t="shared" si="68"/>
        <v/>
      </c>
    </row>
    <row r="329" spans="1:61" x14ac:dyDescent="0.25">
      <c r="A329">
        <v>459215</v>
      </c>
      <c r="B329" t="s">
        <v>15</v>
      </c>
      <c r="C329" t="s">
        <v>16</v>
      </c>
      <c r="D329">
        <v>60505</v>
      </c>
      <c r="E329">
        <v>3992</v>
      </c>
      <c r="F329">
        <v>3</v>
      </c>
      <c r="G329">
        <v>20124</v>
      </c>
      <c r="H329" t="s">
        <v>0</v>
      </c>
      <c r="I329">
        <v>12686.001</v>
      </c>
      <c r="J329">
        <v>450</v>
      </c>
      <c r="K329">
        <v>15550.46</v>
      </c>
      <c r="L329">
        <v>15504.67</v>
      </c>
      <c r="M329">
        <v>45.79</v>
      </c>
      <c r="N329" s="3" t="str">
        <f t="shared" si="69"/>
        <v/>
      </c>
      <c r="O329" s="4" t="str">
        <f t="shared" si="69"/>
        <v/>
      </c>
      <c r="P329" s="4" t="str">
        <f t="shared" si="69"/>
        <v/>
      </c>
      <c r="Q329" s="4" t="str">
        <f t="shared" si="69"/>
        <v/>
      </c>
      <c r="R329" s="4" t="str">
        <f t="shared" si="69"/>
        <v/>
      </c>
      <c r="S329" s="4" t="str">
        <f t="shared" si="69"/>
        <v/>
      </c>
      <c r="T329" s="4" t="str">
        <f t="shared" si="69"/>
        <v/>
      </c>
      <c r="U329" s="4" t="str">
        <f t="shared" si="69"/>
        <v/>
      </c>
      <c r="V329" s="4" t="str">
        <f t="shared" si="70"/>
        <v/>
      </c>
      <c r="W329" s="4" t="str">
        <f t="shared" si="66"/>
        <v/>
      </c>
      <c r="X329" s="4" t="str">
        <f t="shared" si="66"/>
        <v/>
      </c>
      <c r="Y329" s="4" t="str">
        <f t="shared" si="66"/>
        <v/>
      </c>
      <c r="Z329" s="4" t="str">
        <f t="shared" si="66"/>
        <v/>
      </c>
      <c r="AA329" s="4" t="str">
        <f t="shared" si="66"/>
        <v/>
      </c>
      <c r="AB329" s="4" t="str">
        <f t="shared" si="66"/>
        <v/>
      </c>
      <c r="AC329" s="5" t="str">
        <f t="shared" si="66"/>
        <v/>
      </c>
      <c r="AD329" s="3" t="str">
        <f t="shared" si="71"/>
        <v/>
      </c>
      <c r="AE329" s="4" t="str">
        <f t="shared" si="71"/>
        <v/>
      </c>
      <c r="AF329" s="4" t="str">
        <f t="shared" si="71"/>
        <v/>
      </c>
      <c r="AG329" s="4" t="str">
        <f t="shared" si="71"/>
        <v/>
      </c>
      <c r="AH329" s="4" t="str">
        <f t="shared" si="71"/>
        <v/>
      </c>
      <c r="AI329" s="4" t="str">
        <f t="shared" si="71"/>
        <v/>
      </c>
      <c r="AJ329" s="4" t="str">
        <f t="shared" si="71"/>
        <v/>
      </c>
      <c r="AK329" s="4">
        <f t="shared" si="71"/>
        <v>1</v>
      </c>
      <c r="AL329" s="4" t="str">
        <f t="shared" si="72"/>
        <v/>
      </c>
      <c r="AM329" s="4" t="str">
        <f t="shared" si="67"/>
        <v/>
      </c>
      <c r="AN329" s="4" t="str">
        <f t="shared" si="67"/>
        <v/>
      </c>
      <c r="AO329" s="4" t="str">
        <f t="shared" si="67"/>
        <v/>
      </c>
      <c r="AP329" s="4" t="str">
        <f t="shared" si="67"/>
        <v/>
      </c>
      <c r="AQ329" s="4" t="str">
        <f t="shared" si="67"/>
        <v/>
      </c>
      <c r="AR329" s="4" t="str">
        <f t="shared" si="67"/>
        <v/>
      </c>
      <c r="AS329" s="5" t="str">
        <f t="shared" si="67"/>
        <v/>
      </c>
      <c r="AT329" s="3" t="str">
        <f t="shared" si="73"/>
        <v/>
      </c>
      <c r="AU329" s="4" t="str">
        <f t="shared" si="73"/>
        <v/>
      </c>
      <c r="AV329" s="4" t="str">
        <f t="shared" si="73"/>
        <v/>
      </c>
      <c r="AW329" s="4" t="str">
        <f t="shared" si="73"/>
        <v/>
      </c>
      <c r="AX329" s="4" t="str">
        <f t="shared" si="73"/>
        <v/>
      </c>
      <c r="AY329" s="4" t="str">
        <f t="shared" si="73"/>
        <v/>
      </c>
      <c r="AZ329" s="4" t="str">
        <f t="shared" si="73"/>
        <v/>
      </c>
      <c r="BA329" s="4" t="str">
        <f t="shared" si="73"/>
        <v/>
      </c>
      <c r="BB329" s="4" t="str">
        <f t="shared" si="74"/>
        <v/>
      </c>
      <c r="BC329" s="4" t="str">
        <f t="shared" si="68"/>
        <v/>
      </c>
      <c r="BD329" s="4" t="str">
        <f t="shared" si="68"/>
        <v/>
      </c>
      <c r="BE329" s="4" t="str">
        <f t="shared" si="68"/>
        <v/>
      </c>
      <c r="BF329" s="4" t="str">
        <f t="shared" si="68"/>
        <v/>
      </c>
      <c r="BG329" s="4" t="str">
        <f t="shared" si="68"/>
        <v/>
      </c>
      <c r="BH329" s="4" t="str">
        <f t="shared" si="68"/>
        <v/>
      </c>
      <c r="BI329" s="5" t="str">
        <f t="shared" si="68"/>
        <v/>
      </c>
    </row>
    <row r="330" spans="1:61" x14ac:dyDescent="0.25">
      <c r="A330">
        <v>583957</v>
      </c>
      <c r="B330" t="s">
        <v>14</v>
      </c>
      <c r="C330" t="s">
        <v>16</v>
      </c>
      <c r="D330">
        <v>60505</v>
      </c>
      <c r="E330">
        <v>3992</v>
      </c>
      <c r="F330">
        <v>3</v>
      </c>
      <c r="G330">
        <v>20131</v>
      </c>
      <c r="H330" t="s">
        <v>0</v>
      </c>
      <c r="I330">
        <v>62843</v>
      </c>
      <c r="J330">
        <v>1939</v>
      </c>
      <c r="K330">
        <v>23901</v>
      </c>
      <c r="L330">
        <v>21267.96</v>
      </c>
      <c r="M330">
        <v>2633.04</v>
      </c>
      <c r="N330" s="3" t="str">
        <f t="shared" si="69"/>
        <v/>
      </c>
      <c r="O330" s="4" t="str">
        <f t="shared" si="69"/>
        <v/>
      </c>
      <c r="P330" s="4" t="str">
        <f t="shared" si="69"/>
        <v/>
      </c>
      <c r="Q330" s="4" t="str">
        <f t="shared" si="69"/>
        <v/>
      </c>
      <c r="R330" s="4" t="str">
        <f t="shared" si="69"/>
        <v/>
      </c>
      <c r="S330" s="4" t="str">
        <f t="shared" si="69"/>
        <v/>
      </c>
      <c r="T330" s="4" t="str">
        <f t="shared" si="69"/>
        <v/>
      </c>
      <c r="U330" s="4" t="str">
        <f t="shared" si="69"/>
        <v/>
      </c>
      <c r="V330" s="4" t="str">
        <f t="shared" si="70"/>
        <v/>
      </c>
      <c r="W330" s="4" t="str">
        <f t="shared" si="66"/>
        <v/>
      </c>
      <c r="X330" s="4" t="str">
        <f t="shared" si="66"/>
        <v/>
      </c>
      <c r="Y330" s="4" t="str">
        <f t="shared" si="66"/>
        <v/>
      </c>
      <c r="Z330" s="4" t="str">
        <f t="shared" si="66"/>
        <v/>
      </c>
      <c r="AA330" s="4" t="str">
        <f t="shared" si="66"/>
        <v/>
      </c>
      <c r="AB330" s="4" t="str">
        <f t="shared" si="66"/>
        <v/>
      </c>
      <c r="AC330" s="5" t="str">
        <f t="shared" si="66"/>
        <v/>
      </c>
      <c r="AD330" s="3" t="str">
        <f t="shared" si="71"/>
        <v/>
      </c>
      <c r="AE330" s="4" t="str">
        <f t="shared" si="71"/>
        <v/>
      </c>
      <c r="AF330" s="4" t="str">
        <f t="shared" si="71"/>
        <v/>
      </c>
      <c r="AG330" s="4" t="str">
        <f t="shared" si="71"/>
        <v/>
      </c>
      <c r="AH330" s="4" t="str">
        <f t="shared" si="71"/>
        <v/>
      </c>
      <c r="AI330" s="4" t="str">
        <f t="shared" si="71"/>
        <v/>
      </c>
      <c r="AJ330" s="4" t="str">
        <f t="shared" si="71"/>
        <v/>
      </c>
      <c r="AK330" s="4" t="str">
        <f t="shared" si="71"/>
        <v/>
      </c>
      <c r="AL330" s="4" t="str">
        <f t="shared" si="72"/>
        <v/>
      </c>
      <c r="AM330" s="4" t="str">
        <f t="shared" si="67"/>
        <v/>
      </c>
      <c r="AN330" s="4" t="str">
        <f t="shared" si="67"/>
        <v/>
      </c>
      <c r="AO330" s="4" t="str">
        <f t="shared" si="67"/>
        <v/>
      </c>
      <c r="AP330" s="4" t="str">
        <f t="shared" si="67"/>
        <v/>
      </c>
      <c r="AQ330" s="4" t="str">
        <f t="shared" si="67"/>
        <v/>
      </c>
      <c r="AR330" s="4" t="str">
        <f t="shared" si="67"/>
        <v/>
      </c>
      <c r="AS330" s="5" t="str">
        <f t="shared" si="67"/>
        <v/>
      </c>
      <c r="AT330" s="3">
        <f t="shared" si="73"/>
        <v>1</v>
      </c>
      <c r="AU330" s="4" t="str">
        <f t="shared" si="73"/>
        <v/>
      </c>
      <c r="AV330" s="4" t="str">
        <f t="shared" si="73"/>
        <v/>
      </c>
      <c r="AW330" s="4" t="str">
        <f t="shared" si="73"/>
        <v/>
      </c>
      <c r="AX330" s="4" t="str">
        <f t="shared" si="73"/>
        <v/>
      </c>
      <c r="AY330" s="4" t="str">
        <f t="shared" si="73"/>
        <v/>
      </c>
      <c r="AZ330" s="4" t="str">
        <f t="shared" si="73"/>
        <v/>
      </c>
      <c r="BA330" s="4" t="str">
        <f t="shared" si="73"/>
        <v/>
      </c>
      <c r="BB330" s="4" t="str">
        <f t="shared" si="74"/>
        <v/>
      </c>
      <c r="BC330" s="4" t="str">
        <f t="shared" si="68"/>
        <v/>
      </c>
      <c r="BD330" s="4" t="str">
        <f t="shared" si="68"/>
        <v/>
      </c>
      <c r="BE330" s="4" t="str">
        <f t="shared" si="68"/>
        <v/>
      </c>
      <c r="BF330" s="4" t="str">
        <f t="shared" si="68"/>
        <v/>
      </c>
      <c r="BG330" s="4" t="str">
        <f t="shared" si="68"/>
        <v/>
      </c>
      <c r="BH330" s="4" t="str">
        <f t="shared" si="68"/>
        <v/>
      </c>
      <c r="BI330" s="5" t="str">
        <f t="shared" si="68"/>
        <v/>
      </c>
    </row>
    <row r="331" spans="1:61" x14ac:dyDescent="0.25">
      <c r="A331">
        <v>583958</v>
      </c>
      <c r="B331" t="s">
        <v>14</v>
      </c>
      <c r="C331" t="s">
        <v>16</v>
      </c>
      <c r="D331">
        <v>60505</v>
      </c>
      <c r="E331">
        <v>3992</v>
      </c>
      <c r="F331">
        <v>3</v>
      </c>
      <c r="G331">
        <v>20132</v>
      </c>
      <c r="H331" t="s">
        <v>0</v>
      </c>
      <c r="I331">
        <v>72854</v>
      </c>
      <c r="J331">
        <v>2208</v>
      </c>
      <c r="K331">
        <v>27780.1</v>
      </c>
      <c r="L331">
        <v>25387</v>
      </c>
      <c r="M331">
        <v>2393.1</v>
      </c>
      <c r="N331" s="3" t="str">
        <f t="shared" si="69"/>
        <v/>
      </c>
      <c r="O331" s="4" t="str">
        <f t="shared" si="69"/>
        <v/>
      </c>
      <c r="P331" s="4" t="str">
        <f t="shared" si="69"/>
        <v/>
      </c>
      <c r="Q331" s="4" t="str">
        <f t="shared" si="69"/>
        <v/>
      </c>
      <c r="R331" s="4" t="str">
        <f t="shared" si="69"/>
        <v/>
      </c>
      <c r="S331" s="4" t="str">
        <f t="shared" si="69"/>
        <v/>
      </c>
      <c r="T331" s="4" t="str">
        <f t="shared" si="69"/>
        <v/>
      </c>
      <c r="U331" s="4" t="str">
        <f t="shared" si="69"/>
        <v/>
      </c>
      <c r="V331" s="4" t="str">
        <f t="shared" si="70"/>
        <v/>
      </c>
      <c r="W331" s="4" t="str">
        <f t="shared" si="66"/>
        <v/>
      </c>
      <c r="X331" s="4" t="str">
        <f t="shared" si="66"/>
        <v/>
      </c>
      <c r="Y331" s="4" t="str">
        <f t="shared" si="66"/>
        <v/>
      </c>
      <c r="Z331" s="4" t="str">
        <f t="shared" si="66"/>
        <v/>
      </c>
      <c r="AA331" s="4" t="str">
        <f t="shared" si="66"/>
        <v/>
      </c>
      <c r="AB331" s="4" t="str">
        <f t="shared" si="66"/>
        <v/>
      </c>
      <c r="AC331" s="5" t="str">
        <f t="shared" si="66"/>
        <v/>
      </c>
      <c r="AD331" s="3" t="str">
        <f t="shared" si="71"/>
        <v/>
      </c>
      <c r="AE331" s="4" t="str">
        <f t="shared" si="71"/>
        <v/>
      </c>
      <c r="AF331" s="4" t="str">
        <f t="shared" si="71"/>
        <v/>
      </c>
      <c r="AG331" s="4" t="str">
        <f t="shared" si="71"/>
        <v/>
      </c>
      <c r="AH331" s="4" t="str">
        <f t="shared" si="71"/>
        <v/>
      </c>
      <c r="AI331" s="4" t="str">
        <f t="shared" si="71"/>
        <v/>
      </c>
      <c r="AJ331" s="4" t="str">
        <f t="shared" si="71"/>
        <v/>
      </c>
      <c r="AK331" s="4" t="str">
        <f t="shared" si="71"/>
        <v/>
      </c>
      <c r="AL331" s="4" t="str">
        <f t="shared" si="72"/>
        <v/>
      </c>
      <c r="AM331" s="4" t="str">
        <f t="shared" si="67"/>
        <v/>
      </c>
      <c r="AN331" s="4" t="str">
        <f t="shared" si="67"/>
        <v/>
      </c>
      <c r="AO331" s="4" t="str">
        <f t="shared" si="67"/>
        <v/>
      </c>
      <c r="AP331" s="4" t="str">
        <f t="shared" si="67"/>
        <v/>
      </c>
      <c r="AQ331" s="4" t="str">
        <f t="shared" si="67"/>
        <v/>
      </c>
      <c r="AR331" s="4" t="str">
        <f t="shared" si="67"/>
        <v/>
      </c>
      <c r="AS331" s="5" t="str">
        <f t="shared" si="67"/>
        <v/>
      </c>
      <c r="AT331" s="3" t="str">
        <f t="shared" si="73"/>
        <v/>
      </c>
      <c r="AU331" s="4">
        <f t="shared" si="73"/>
        <v>1</v>
      </c>
      <c r="AV331" s="4" t="str">
        <f t="shared" si="73"/>
        <v/>
      </c>
      <c r="AW331" s="4" t="str">
        <f t="shared" si="73"/>
        <v/>
      </c>
      <c r="AX331" s="4" t="str">
        <f t="shared" si="73"/>
        <v/>
      </c>
      <c r="AY331" s="4" t="str">
        <f t="shared" si="73"/>
        <v/>
      </c>
      <c r="AZ331" s="4" t="str">
        <f t="shared" si="73"/>
        <v/>
      </c>
      <c r="BA331" s="4" t="str">
        <f t="shared" si="73"/>
        <v/>
      </c>
      <c r="BB331" s="4" t="str">
        <f t="shared" si="74"/>
        <v/>
      </c>
      <c r="BC331" s="4" t="str">
        <f t="shared" si="68"/>
        <v/>
      </c>
      <c r="BD331" s="4" t="str">
        <f t="shared" si="68"/>
        <v/>
      </c>
      <c r="BE331" s="4" t="str">
        <f t="shared" si="68"/>
        <v/>
      </c>
      <c r="BF331" s="4" t="str">
        <f t="shared" si="68"/>
        <v/>
      </c>
      <c r="BG331" s="4" t="str">
        <f t="shared" si="68"/>
        <v/>
      </c>
      <c r="BH331" s="4" t="str">
        <f t="shared" si="68"/>
        <v/>
      </c>
      <c r="BI331" s="5" t="str">
        <f t="shared" si="68"/>
        <v/>
      </c>
    </row>
    <row r="332" spans="1:61" x14ac:dyDescent="0.25">
      <c r="A332">
        <v>583959</v>
      </c>
      <c r="B332" t="s">
        <v>14</v>
      </c>
      <c r="C332" t="s">
        <v>16</v>
      </c>
      <c r="D332">
        <v>60505</v>
      </c>
      <c r="E332">
        <v>3992</v>
      </c>
      <c r="F332">
        <v>3</v>
      </c>
      <c r="G332">
        <v>20133</v>
      </c>
      <c r="H332" t="s">
        <v>0</v>
      </c>
      <c r="I332">
        <v>77374</v>
      </c>
      <c r="J332">
        <v>2402</v>
      </c>
      <c r="K332">
        <v>31071.81</v>
      </c>
      <c r="L332">
        <v>28709.17</v>
      </c>
      <c r="M332">
        <v>2362.64</v>
      </c>
      <c r="N332" s="3" t="str">
        <f t="shared" si="69"/>
        <v/>
      </c>
      <c r="O332" s="4" t="str">
        <f t="shared" si="69"/>
        <v/>
      </c>
      <c r="P332" s="4" t="str">
        <f t="shared" si="69"/>
        <v/>
      </c>
      <c r="Q332" s="4" t="str">
        <f t="shared" si="69"/>
        <v/>
      </c>
      <c r="R332" s="4" t="str">
        <f t="shared" si="69"/>
        <v/>
      </c>
      <c r="S332" s="4" t="str">
        <f t="shared" si="69"/>
        <v/>
      </c>
      <c r="T332" s="4" t="str">
        <f t="shared" si="69"/>
        <v/>
      </c>
      <c r="U332" s="4" t="str">
        <f t="shared" si="69"/>
        <v/>
      </c>
      <c r="V332" s="4" t="str">
        <f t="shared" si="70"/>
        <v/>
      </c>
      <c r="W332" s="4" t="str">
        <f t="shared" si="66"/>
        <v/>
      </c>
      <c r="X332" s="4" t="str">
        <f t="shared" si="66"/>
        <v/>
      </c>
      <c r="Y332" s="4" t="str">
        <f t="shared" si="66"/>
        <v/>
      </c>
      <c r="Z332" s="4" t="str">
        <f t="shared" si="66"/>
        <v/>
      </c>
      <c r="AA332" s="4" t="str">
        <f t="shared" si="66"/>
        <v/>
      </c>
      <c r="AB332" s="4" t="str">
        <f t="shared" si="66"/>
        <v/>
      </c>
      <c r="AC332" s="5" t="str">
        <f t="shared" si="66"/>
        <v/>
      </c>
      <c r="AD332" s="3" t="str">
        <f t="shared" si="71"/>
        <v/>
      </c>
      <c r="AE332" s="4" t="str">
        <f t="shared" si="71"/>
        <v/>
      </c>
      <c r="AF332" s="4" t="str">
        <f t="shared" si="71"/>
        <v/>
      </c>
      <c r="AG332" s="4" t="str">
        <f t="shared" si="71"/>
        <v/>
      </c>
      <c r="AH332" s="4" t="str">
        <f t="shared" si="71"/>
        <v/>
      </c>
      <c r="AI332" s="4" t="str">
        <f t="shared" si="71"/>
        <v/>
      </c>
      <c r="AJ332" s="4" t="str">
        <f t="shared" si="71"/>
        <v/>
      </c>
      <c r="AK332" s="4" t="str">
        <f t="shared" si="71"/>
        <v/>
      </c>
      <c r="AL332" s="4" t="str">
        <f t="shared" si="72"/>
        <v/>
      </c>
      <c r="AM332" s="4" t="str">
        <f t="shared" si="67"/>
        <v/>
      </c>
      <c r="AN332" s="4" t="str">
        <f t="shared" si="67"/>
        <v/>
      </c>
      <c r="AO332" s="4" t="str">
        <f t="shared" si="67"/>
        <v/>
      </c>
      <c r="AP332" s="4" t="str">
        <f t="shared" si="67"/>
        <v/>
      </c>
      <c r="AQ332" s="4" t="str">
        <f t="shared" si="67"/>
        <v/>
      </c>
      <c r="AR332" s="4" t="str">
        <f t="shared" si="67"/>
        <v/>
      </c>
      <c r="AS332" s="5" t="str">
        <f t="shared" si="67"/>
        <v/>
      </c>
      <c r="AT332" s="3" t="str">
        <f t="shared" si="73"/>
        <v/>
      </c>
      <c r="AU332" s="4" t="str">
        <f t="shared" si="73"/>
        <v/>
      </c>
      <c r="AV332" s="4">
        <f t="shared" si="73"/>
        <v>1</v>
      </c>
      <c r="AW332" s="4" t="str">
        <f t="shared" si="73"/>
        <v/>
      </c>
      <c r="AX332" s="4" t="str">
        <f t="shared" si="73"/>
        <v/>
      </c>
      <c r="AY332" s="4" t="str">
        <f t="shared" si="73"/>
        <v/>
      </c>
      <c r="AZ332" s="4" t="str">
        <f t="shared" si="73"/>
        <v/>
      </c>
      <c r="BA332" s="4" t="str">
        <f t="shared" si="73"/>
        <v/>
      </c>
      <c r="BB332" s="4" t="str">
        <f t="shared" si="74"/>
        <v/>
      </c>
      <c r="BC332" s="4" t="str">
        <f t="shared" si="68"/>
        <v/>
      </c>
      <c r="BD332" s="4" t="str">
        <f t="shared" si="68"/>
        <v/>
      </c>
      <c r="BE332" s="4" t="str">
        <f t="shared" si="68"/>
        <v/>
      </c>
      <c r="BF332" s="4" t="str">
        <f t="shared" si="68"/>
        <v/>
      </c>
      <c r="BG332" s="4" t="str">
        <f t="shared" si="68"/>
        <v/>
      </c>
      <c r="BH332" s="4" t="str">
        <f t="shared" si="68"/>
        <v/>
      </c>
      <c r="BI332" s="5" t="str">
        <f t="shared" si="68"/>
        <v/>
      </c>
    </row>
    <row r="333" spans="1:61" x14ac:dyDescent="0.25">
      <c r="A333">
        <v>583960</v>
      </c>
      <c r="B333" t="s">
        <v>14</v>
      </c>
      <c r="C333" t="s">
        <v>16</v>
      </c>
      <c r="D333">
        <v>60505</v>
      </c>
      <c r="E333">
        <v>3992</v>
      </c>
      <c r="F333">
        <v>3</v>
      </c>
      <c r="G333">
        <v>20134</v>
      </c>
      <c r="H333" t="s">
        <v>0</v>
      </c>
      <c r="I333">
        <v>81285</v>
      </c>
      <c r="J333">
        <v>2519</v>
      </c>
      <c r="K333">
        <v>30809.040000000001</v>
      </c>
      <c r="L333">
        <v>28028.58</v>
      </c>
      <c r="M333">
        <v>2780.46</v>
      </c>
      <c r="N333" s="3" t="str">
        <f t="shared" si="69"/>
        <v/>
      </c>
      <c r="O333" s="4" t="str">
        <f t="shared" si="69"/>
        <v/>
      </c>
      <c r="P333" s="4" t="str">
        <f t="shared" si="69"/>
        <v/>
      </c>
      <c r="Q333" s="4" t="str">
        <f t="shared" si="69"/>
        <v/>
      </c>
      <c r="R333" s="4" t="str">
        <f t="shared" si="69"/>
        <v/>
      </c>
      <c r="S333" s="4" t="str">
        <f t="shared" si="69"/>
        <v/>
      </c>
      <c r="T333" s="4" t="str">
        <f t="shared" si="69"/>
        <v/>
      </c>
      <c r="U333" s="4" t="str">
        <f t="shared" si="69"/>
        <v/>
      </c>
      <c r="V333" s="4" t="str">
        <f t="shared" si="70"/>
        <v/>
      </c>
      <c r="W333" s="4" t="str">
        <f t="shared" si="66"/>
        <v/>
      </c>
      <c r="X333" s="4" t="str">
        <f t="shared" si="66"/>
        <v/>
      </c>
      <c r="Y333" s="4" t="str">
        <f t="shared" si="66"/>
        <v/>
      </c>
      <c r="Z333" s="4" t="str">
        <f t="shared" si="66"/>
        <v/>
      </c>
      <c r="AA333" s="4" t="str">
        <f t="shared" si="66"/>
        <v/>
      </c>
      <c r="AB333" s="4" t="str">
        <f t="shared" si="66"/>
        <v/>
      </c>
      <c r="AC333" s="5" t="str">
        <f t="shared" si="66"/>
        <v/>
      </c>
      <c r="AD333" s="3" t="str">
        <f t="shared" si="71"/>
        <v/>
      </c>
      <c r="AE333" s="4" t="str">
        <f t="shared" si="71"/>
        <v/>
      </c>
      <c r="AF333" s="4" t="str">
        <f t="shared" si="71"/>
        <v/>
      </c>
      <c r="AG333" s="4" t="str">
        <f t="shared" si="71"/>
        <v/>
      </c>
      <c r="AH333" s="4" t="str">
        <f t="shared" si="71"/>
        <v/>
      </c>
      <c r="AI333" s="4" t="str">
        <f t="shared" si="71"/>
        <v/>
      </c>
      <c r="AJ333" s="4" t="str">
        <f t="shared" si="71"/>
        <v/>
      </c>
      <c r="AK333" s="4" t="str">
        <f t="shared" si="71"/>
        <v/>
      </c>
      <c r="AL333" s="4" t="str">
        <f t="shared" si="72"/>
        <v/>
      </c>
      <c r="AM333" s="4" t="str">
        <f t="shared" si="67"/>
        <v/>
      </c>
      <c r="AN333" s="4" t="str">
        <f t="shared" si="67"/>
        <v/>
      </c>
      <c r="AO333" s="4" t="str">
        <f t="shared" si="67"/>
        <v/>
      </c>
      <c r="AP333" s="4" t="str">
        <f t="shared" si="67"/>
        <v/>
      </c>
      <c r="AQ333" s="4" t="str">
        <f t="shared" si="67"/>
        <v/>
      </c>
      <c r="AR333" s="4" t="str">
        <f t="shared" si="67"/>
        <v/>
      </c>
      <c r="AS333" s="5" t="str">
        <f t="shared" si="67"/>
        <v/>
      </c>
      <c r="AT333" s="3" t="str">
        <f t="shared" si="73"/>
        <v/>
      </c>
      <c r="AU333" s="4" t="str">
        <f t="shared" si="73"/>
        <v/>
      </c>
      <c r="AV333" s="4" t="str">
        <f t="shared" si="73"/>
        <v/>
      </c>
      <c r="AW333" s="4">
        <f t="shared" si="73"/>
        <v>1</v>
      </c>
      <c r="AX333" s="4" t="str">
        <f t="shared" si="73"/>
        <v/>
      </c>
      <c r="AY333" s="4" t="str">
        <f t="shared" si="73"/>
        <v/>
      </c>
      <c r="AZ333" s="4" t="str">
        <f t="shared" si="73"/>
        <v/>
      </c>
      <c r="BA333" s="4" t="str">
        <f t="shared" si="73"/>
        <v/>
      </c>
      <c r="BB333" s="4" t="str">
        <f t="shared" si="74"/>
        <v/>
      </c>
      <c r="BC333" s="4" t="str">
        <f t="shared" si="68"/>
        <v/>
      </c>
      <c r="BD333" s="4" t="str">
        <f t="shared" si="68"/>
        <v/>
      </c>
      <c r="BE333" s="4" t="str">
        <f t="shared" si="68"/>
        <v/>
      </c>
      <c r="BF333" s="4" t="str">
        <f t="shared" si="68"/>
        <v/>
      </c>
      <c r="BG333" s="4" t="str">
        <f t="shared" si="68"/>
        <v/>
      </c>
      <c r="BH333" s="4" t="str">
        <f t="shared" si="68"/>
        <v/>
      </c>
      <c r="BI333" s="5" t="str">
        <f t="shared" si="68"/>
        <v/>
      </c>
    </row>
    <row r="334" spans="1:61" x14ac:dyDescent="0.25">
      <c r="A334">
        <v>710879</v>
      </c>
      <c r="B334" t="s">
        <v>15</v>
      </c>
      <c r="C334" t="s">
        <v>16</v>
      </c>
      <c r="D334">
        <v>60505</v>
      </c>
      <c r="E334">
        <v>3992</v>
      </c>
      <c r="F334">
        <v>3</v>
      </c>
      <c r="G334">
        <v>20131</v>
      </c>
      <c r="H334" t="s">
        <v>0</v>
      </c>
      <c r="I334">
        <v>66419</v>
      </c>
      <c r="J334">
        <v>2208</v>
      </c>
      <c r="K334">
        <v>67382.179999999993</v>
      </c>
      <c r="L334">
        <v>67124.92</v>
      </c>
      <c r="M334">
        <v>257.26</v>
      </c>
      <c r="N334" s="3" t="str">
        <f t="shared" si="69"/>
        <v/>
      </c>
      <c r="O334" s="4" t="str">
        <f t="shared" si="69"/>
        <v/>
      </c>
      <c r="P334" s="4" t="str">
        <f t="shared" si="69"/>
        <v/>
      </c>
      <c r="Q334" s="4" t="str">
        <f t="shared" si="69"/>
        <v/>
      </c>
      <c r="R334" s="4" t="str">
        <f t="shared" si="69"/>
        <v/>
      </c>
      <c r="S334" s="4" t="str">
        <f t="shared" si="69"/>
        <v/>
      </c>
      <c r="T334" s="4" t="str">
        <f t="shared" si="69"/>
        <v/>
      </c>
      <c r="U334" s="4" t="str">
        <f t="shared" si="69"/>
        <v/>
      </c>
      <c r="V334" s="4" t="str">
        <f t="shared" si="70"/>
        <v/>
      </c>
      <c r="W334" s="4" t="str">
        <f t="shared" si="66"/>
        <v/>
      </c>
      <c r="X334" s="4" t="str">
        <f t="shared" si="66"/>
        <v/>
      </c>
      <c r="Y334" s="4" t="str">
        <f t="shared" si="66"/>
        <v/>
      </c>
      <c r="Z334" s="4" t="str">
        <f t="shared" si="66"/>
        <v/>
      </c>
      <c r="AA334" s="4" t="str">
        <f t="shared" si="66"/>
        <v/>
      </c>
      <c r="AB334" s="4" t="str">
        <f t="shared" si="66"/>
        <v/>
      </c>
      <c r="AC334" s="5" t="str">
        <f t="shared" si="66"/>
        <v/>
      </c>
      <c r="AD334" s="3" t="str">
        <f t="shared" si="71"/>
        <v/>
      </c>
      <c r="AE334" s="4" t="str">
        <f t="shared" si="71"/>
        <v/>
      </c>
      <c r="AF334" s="4" t="str">
        <f t="shared" si="71"/>
        <v/>
      </c>
      <c r="AG334" s="4" t="str">
        <f t="shared" si="71"/>
        <v/>
      </c>
      <c r="AH334" s="4" t="str">
        <f t="shared" si="71"/>
        <v/>
      </c>
      <c r="AI334" s="4" t="str">
        <f t="shared" si="71"/>
        <v/>
      </c>
      <c r="AJ334" s="4" t="str">
        <f t="shared" si="71"/>
        <v/>
      </c>
      <c r="AK334" s="4" t="str">
        <f t="shared" si="71"/>
        <v/>
      </c>
      <c r="AL334" s="4" t="str">
        <f t="shared" si="72"/>
        <v/>
      </c>
      <c r="AM334" s="4" t="str">
        <f t="shared" si="67"/>
        <v/>
      </c>
      <c r="AN334" s="4" t="str">
        <f t="shared" si="67"/>
        <v/>
      </c>
      <c r="AO334" s="4" t="str">
        <f t="shared" si="67"/>
        <v/>
      </c>
      <c r="AP334" s="4" t="str">
        <f t="shared" si="67"/>
        <v/>
      </c>
      <c r="AQ334" s="4" t="str">
        <f t="shared" si="67"/>
        <v/>
      </c>
      <c r="AR334" s="4" t="str">
        <f t="shared" si="67"/>
        <v/>
      </c>
      <c r="AS334" s="5" t="str">
        <f t="shared" si="67"/>
        <v/>
      </c>
      <c r="AT334" s="3" t="str">
        <f t="shared" si="73"/>
        <v/>
      </c>
      <c r="AU334" s="4" t="str">
        <f t="shared" si="73"/>
        <v/>
      </c>
      <c r="AV334" s="4" t="str">
        <f t="shared" si="73"/>
        <v/>
      </c>
      <c r="AW334" s="4" t="str">
        <f t="shared" si="73"/>
        <v/>
      </c>
      <c r="AX334" s="4">
        <f t="shared" si="73"/>
        <v>1</v>
      </c>
      <c r="AY334" s="4" t="str">
        <f t="shared" si="73"/>
        <v/>
      </c>
      <c r="AZ334" s="4" t="str">
        <f t="shared" si="73"/>
        <v/>
      </c>
      <c r="BA334" s="4" t="str">
        <f t="shared" si="73"/>
        <v/>
      </c>
      <c r="BB334" s="4" t="str">
        <f t="shared" si="74"/>
        <v/>
      </c>
      <c r="BC334" s="4" t="str">
        <f t="shared" si="68"/>
        <v/>
      </c>
      <c r="BD334" s="4" t="str">
        <f t="shared" si="68"/>
        <v/>
      </c>
      <c r="BE334" s="4" t="str">
        <f t="shared" si="68"/>
        <v/>
      </c>
      <c r="BF334" s="4" t="str">
        <f t="shared" si="68"/>
        <v/>
      </c>
      <c r="BG334" s="4" t="str">
        <f t="shared" si="68"/>
        <v/>
      </c>
      <c r="BH334" s="4" t="str">
        <f t="shared" si="68"/>
        <v/>
      </c>
      <c r="BI334" s="5" t="str">
        <f t="shared" si="68"/>
        <v/>
      </c>
    </row>
    <row r="335" spans="1:61" x14ac:dyDescent="0.25">
      <c r="A335">
        <v>710880</v>
      </c>
      <c r="B335" t="s">
        <v>15</v>
      </c>
      <c r="C335" t="s">
        <v>16</v>
      </c>
      <c r="D335">
        <v>60505</v>
      </c>
      <c r="E335">
        <v>3992</v>
      </c>
      <c r="F335">
        <v>3</v>
      </c>
      <c r="G335">
        <v>20132</v>
      </c>
      <c r="H335" t="s">
        <v>0</v>
      </c>
      <c r="I335">
        <v>66267</v>
      </c>
      <c r="J335">
        <v>2207</v>
      </c>
      <c r="K335">
        <v>53243.9</v>
      </c>
      <c r="L335">
        <v>52808.65</v>
      </c>
      <c r="M335">
        <v>435.25</v>
      </c>
      <c r="N335" s="3" t="str">
        <f t="shared" si="69"/>
        <v/>
      </c>
      <c r="O335" s="4" t="str">
        <f t="shared" si="69"/>
        <v/>
      </c>
      <c r="P335" s="4" t="str">
        <f t="shared" si="69"/>
        <v/>
      </c>
      <c r="Q335" s="4" t="str">
        <f t="shared" si="69"/>
        <v/>
      </c>
      <c r="R335" s="4" t="str">
        <f t="shared" si="69"/>
        <v/>
      </c>
      <c r="S335" s="4" t="str">
        <f t="shared" si="69"/>
        <v/>
      </c>
      <c r="T335" s="4" t="str">
        <f t="shared" si="69"/>
        <v/>
      </c>
      <c r="U335" s="4" t="str">
        <f t="shared" si="69"/>
        <v/>
      </c>
      <c r="V335" s="4" t="str">
        <f t="shared" si="70"/>
        <v/>
      </c>
      <c r="W335" s="4" t="str">
        <f t="shared" si="66"/>
        <v/>
      </c>
      <c r="X335" s="4" t="str">
        <f t="shared" si="66"/>
        <v/>
      </c>
      <c r="Y335" s="4" t="str">
        <f t="shared" si="66"/>
        <v/>
      </c>
      <c r="Z335" s="4" t="str">
        <f t="shared" si="66"/>
        <v/>
      </c>
      <c r="AA335" s="4" t="str">
        <f t="shared" si="66"/>
        <v/>
      </c>
      <c r="AB335" s="4" t="str">
        <f t="shared" si="66"/>
        <v/>
      </c>
      <c r="AC335" s="5" t="str">
        <f t="shared" si="66"/>
        <v/>
      </c>
      <c r="AD335" s="3" t="str">
        <f t="shared" si="71"/>
        <v/>
      </c>
      <c r="AE335" s="4" t="str">
        <f t="shared" si="71"/>
        <v/>
      </c>
      <c r="AF335" s="4" t="str">
        <f t="shared" si="71"/>
        <v/>
      </c>
      <c r="AG335" s="4" t="str">
        <f t="shared" si="71"/>
        <v/>
      </c>
      <c r="AH335" s="4" t="str">
        <f t="shared" si="71"/>
        <v/>
      </c>
      <c r="AI335" s="4" t="str">
        <f t="shared" si="71"/>
        <v/>
      </c>
      <c r="AJ335" s="4" t="str">
        <f t="shared" si="71"/>
        <v/>
      </c>
      <c r="AK335" s="4" t="str">
        <f t="shared" si="71"/>
        <v/>
      </c>
      <c r="AL335" s="4" t="str">
        <f t="shared" si="72"/>
        <v/>
      </c>
      <c r="AM335" s="4" t="str">
        <f t="shared" si="67"/>
        <v/>
      </c>
      <c r="AN335" s="4" t="str">
        <f t="shared" si="67"/>
        <v/>
      </c>
      <c r="AO335" s="4" t="str">
        <f t="shared" si="67"/>
        <v/>
      </c>
      <c r="AP335" s="4" t="str">
        <f t="shared" si="67"/>
        <v/>
      </c>
      <c r="AQ335" s="4" t="str">
        <f t="shared" si="67"/>
        <v/>
      </c>
      <c r="AR335" s="4" t="str">
        <f t="shared" si="67"/>
        <v/>
      </c>
      <c r="AS335" s="5" t="str">
        <f t="shared" si="67"/>
        <v/>
      </c>
      <c r="AT335" s="3" t="str">
        <f t="shared" si="73"/>
        <v/>
      </c>
      <c r="AU335" s="4" t="str">
        <f t="shared" si="73"/>
        <v/>
      </c>
      <c r="AV335" s="4" t="str">
        <f t="shared" si="73"/>
        <v/>
      </c>
      <c r="AW335" s="4" t="str">
        <f t="shared" si="73"/>
        <v/>
      </c>
      <c r="AX335" s="4" t="str">
        <f t="shared" si="73"/>
        <v/>
      </c>
      <c r="AY335" s="4">
        <f t="shared" si="73"/>
        <v>1</v>
      </c>
      <c r="AZ335" s="4" t="str">
        <f t="shared" si="73"/>
        <v/>
      </c>
      <c r="BA335" s="4" t="str">
        <f t="shared" si="73"/>
        <v/>
      </c>
      <c r="BB335" s="4" t="str">
        <f t="shared" si="74"/>
        <v/>
      </c>
      <c r="BC335" s="4" t="str">
        <f t="shared" si="68"/>
        <v/>
      </c>
      <c r="BD335" s="4" t="str">
        <f t="shared" si="68"/>
        <v/>
      </c>
      <c r="BE335" s="4" t="str">
        <f t="shared" si="68"/>
        <v/>
      </c>
      <c r="BF335" s="4" t="str">
        <f t="shared" si="68"/>
        <v/>
      </c>
      <c r="BG335" s="4" t="str">
        <f t="shared" si="68"/>
        <v/>
      </c>
      <c r="BH335" s="4" t="str">
        <f t="shared" si="68"/>
        <v/>
      </c>
      <c r="BI335" s="5" t="str">
        <f t="shared" si="68"/>
        <v/>
      </c>
    </row>
    <row r="336" spans="1:61" x14ac:dyDescent="0.25">
      <c r="A336">
        <v>710881</v>
      </c>
      <c r="B336" t="s">
        <v>15</v>
      </c>
      <c r="C336" t="s">
        <v>16</v>
      </c>
      <c r="D336">
        <v>60505</v>
      </c>
      <c r="E336">
        <v>3992</v>
      </c>
      <c r="F336">
        <v>3</v>
      </c>
      <c r="G336">
        <v>20133</v>
      </c>
      <c r="H336" t="s">
        <v>0</v>
      </c>
      <c r="I336">
        <v>117838.001</v>
      </c>
      <c r="J336">
        <v>3922</v>
      </c>
      <c r="K336">
        <v>97882.32</v>
      </c>
      <c r="L336">
        <v>97166.54</v>
      </c>
      <c r="M336">
        <v>715.78</v>
      </c>
      <c r="N336" s="3" t="str">
        <f t="shared" si="69"/>
        <v/>
      </c>
      <c r="O336" s="4" t="str">
        <f t="shared" si="69"/>
        <v/>
      </c>
      <c r="P336" s="4" t="str">
        <f t="shared" si="69"/>
        <v/>
      </c>
      <c r="Q336" s="4" t="str">
        <f t="shared" si="69"/>
        <v/>
      </c>
      <c r="R336" s="4" t="str">
        <f t="shared" si="69"/>
        <v/>
      </c>
      <c r="S336" s="4" t="str">
        <f t="shared" si="69"/>
        <v/>
      </c>
      <c r="T336" s="4" t="str">
        <f t="shared" si="69"/>
        <v/>
      </c>
      <c r="U336" s="4" t="str">
        <f t="shared" si="69"/>
        <v/>
      </c>
      <c r="V336" s="4" t="str">
        <f t="shared" si="70"/>
        <v/>
      </c>
      <c r="W336" s="4" t="str">
        <f t="shared" si="66"/>
        <v/>
      </c>
      <c r="X336" s="4" t="str">
        <f t="shared" si="66"/>
        <v/>
      </c>
      <c r="Y336" s="4" t="str">
        <f t="shared" si="66"/>
        <v/>
      </c>
      <c r="Z336" s="4" t="str">
        <f t="shared" si="66"/>
        <v/>
      </c>
      <c r="AA336" s="4" t="str">
        <f t="shared" si="66"/>
        <v/>
      </c>
      <c r="AB336" s="4" t="str">
        <f t="shared" si="66"/>
        <v/>
      </c>
      <c r="AC336" s="5" t="str">
        <f t="shared" si="66"/>
        <v/>
      </c>
      <c r="AD336" s="3" t="str">
        <f t="shared" si="71"/>
        <v/>
      </c>
      <c r="AE336" s="4" t="str">
        <f t="shared" si="71"/>
        <v/>
      </c>
      <c r="AF336" s="4" t="str">
        <f t="shared" si="71"/>
        <v/>
      </c>
      <c r="AG336" s="4" t="str">
        <f t="shared" si="71"/>
        <v/>
      </c>
      <c r="AH336" s="4" t="str">
        <f t="shared" si="71"/>
        <v/>
      </c>
      <c r="AI336" s="4" t="str">
        <f t="shared" si="71"/>
        <v/>
      </c>
      <c r="AJ336" s="4" t="str">
        <f t="shared" si="71"/>
        <v/>
      </c>
      <c r="AK336" s="4" t="str">
        <f t="shared" si="71"/>
        <v/>
      </c>
      <c r="AL336" s="4" t="str">
        <f t="shared" si="72"/>
        <v/>
      </c>
      <c r="AM336" s="4" t="str">
        <f t="shared" si="67"/>
        <v/>
      </c>
      <c r="AN336" s="4" t="str">
        <f t="shared" si="67"/>
        <v/>
      </c>
      <c r="AO336" s="4" t="str">
        <f t="shared" si="67"/>
        <v/>
      </c>
      <c r="AP336" s="4" t="str">
        <f t="shared" si="67"/>
        <v/>
      </c>
      <c r="AQ336" s="4" t="str">
        <f t="shared" si="67"/>
        <v/>
      </c>
      <c r="AR336" s="4" t="str">
        <f t="shared" si="67"/>
        <v/>
      </c>
      <c r="AS336" s="5" t="str">
        <f t="shared" si="67"/>
        <v/>
      </c>
      <c r="AT336" s="3" t="str">
        <f t="shared" si="73"/>
        <v/>
      </c>
      <c r="AU336" s="4" t="str">
        <f t="shared" si="73"/>
        <v/>
      </c>
      <c r="AV336" s="4" t="str">
        <f t="shared" si="73"/>
        <v/>
      </c>
      <c r="AW336" s="4" t="str">
        <f t="shared" si="73"/>
        <v/>
      </c>
      <c r="AX336" s="4" t="str">
        <f t="shared" si="73"/>
        <v/>
      </c>
      <c r="AY336" s="4" t="str">
        <f t="shared" si="73"/>
        <v/>
      </c>
      <c r="AZ336" s="4">
        <f t="shared" si="73"/>
        <v>1</v>
      </c>
      <c r="BA336" s="4" t="str">
        <f t="shared" si="73"/>
        <v/>
      </c>
      <c r="BB336" s="4" t="str">
        <f t="shared" si="74"/>
        <v/>
      </c>
      <c r="BC336" s="4" t="str">
        <f t="shared" si="68"/>
        <v/>
      </c>
      <c r="BD336" s="4" t="str">
        <f t="shared" si="68"/>
        <v/>
      </c>
      <c r="BE336" s="4" t="str">
        <f t="shared" si="68"/>
        <v/>
      </c>
      <c r="BF336" s="4" t="str">
        <f t="shared" si="68"/>
        <v/>
      </c>
      <c r="BG336" s="4" t="str">
        <f t="shared" si="68"/>
        <v/>
      </c>
      <c r="BH336" s="4" t="str">
        <f t="shared" si="68"/>
        <v/>
      </c>
      <c r="BI336" s="5" t="str">
        <f t="shared" si="68"/>
        <v/>
      </c>
    </row>
    <row r="337" spans="1:61" x14ac:dyDescent="0.25">
      <c r="A337">
        <v>710882</v>
      </c>
      <c r="B337" t="s">
        <v>15</v>
      </c>
      <c r="C337" t="s">
        <v>16</v>
      </c>
      <c r="D337">
        <v>60505</v>
      </c>
      <c r="E337">
        <v>3992</v>
      </c>
      <c r="F337">
        <v>3</v>
      </c>
      <c r="G337">
        <v>20134</v>
      </c>
      <c r="H337" t="s">
        <v>0</v>
      </c>
      <c r="I337">
        <v>99229.001000000004</v>
      </c>
      <c r="J337">
        <v>3309</v>
      </c>
      <c r="K337">
        <v>71606.13</v>
      </c>
      <c r="L337">
        <v>70777.45</v>
      </c>
      <c r="M337">
        <v>828.68</v>
      </c>
      <c r="N337" s="3" t="str">
        <f t="shared" si="69"/>
        <v/>
      </c>
      <c r="O337" s="4" t="str">
        <f t="shared" si="69"/>
        <v/>
      </c>
      <c r="P337" s="4" t="str">
        <f t="shared" si="69"/>
        <v/>
      </c>
      <c r="Q337" s="4" t="str">
        <f t="shared" si="69"/>
        <v/>
      </c>
      <c r="R337" s="4" t="str">
        <f t="shared" si="69"/>
        <v/>
      </c>
      <c r="S337" s="4" t="str">
        <f t="shared" si="69"/>
        <v/>
      </c>
      <c r="T337" s="4" t="str">
        <f t="shared" si="69"/>
        <v/>
      </c>
      <c r="U337" s="4" t="str">
        <f t="shared" si="69"/>
        <v/>
      </c>
      <c r="V337" s="4" t="str">
        <f t="shared" si="70"/>
        <v/>
      </c>
      <c r="W337" s="4" t="str">
        <f t="shared" si="66"/>
        <v/>
      </c>
      <c r="X337" s="4" t="str">
        <f t="shared" si="66"/>
        <v/>
      </c>
      <c r="Y337" s="4" t="str">
        <f t="shared" si="66"/>
        <v/>
      </c>
      <c r="Z337" s="4" t="str">
        <f t="shared" si="66"/>
        <v/>
      </c>
      <c r="AA337" s="4" t="str">
        <f t="shared" si="66"/>
        <v/>
      </c>
      <c r="AB337" s="4" t="str">
        <f t="shared" si="66"/>
        <v/>
      </c>
      <c r="AC337" s="5" t="str">
        <f t="shared" si="66"/>
        <v/>
      </c>
      <c r="AD337" s="3" t="str">
        <f t="shared" si="71"/>
        <v/>
      </c>
      <c r="AE337" s="4" t="str">
        <f t="shared" si="71"/>
        <v/>
      </c>
      <c r="AF337" s="4" t="str">
        <f t="shared" si="71"/>
        <v/>
      </c>
      <c r="AG337" s="4" t="str">
        <f t="shared" si="71"/>
        <v/>
      </c>
      <c r="AH337" s="4" t="str">
        <f t="shared" si="71"/>
        <v/>
      </c>
      <c r="AI337" s="4" t="str">
        <f t="shared" si="71"/>
        <v/>
      </c>
      <c r="AJ337" s="4" t="str">
        <f t="shared" si="71"/>
        <v/>
      </c>
      <c r="AK337" s="4" t="str">
        <f t="shared" si="71"/>
        <v/>
      </c>
      <c r="AL337" s="4" t="str">
        <f t="shared" si="72"/>
        <v/>
      </c>
      <c r="AM337" s="4" t="str">
        <f t="shared" si="67"/>
        <v/>
      </c>
      <c r="AN337" s="4" t="str">
        <f t="shared" si="67"/>
        <v/>
      </c>
      <c r="AO337" s="4" t="str">
        <f t="shared" si="67"/>
        <v/>
      </c>
      <c r="AP337" s="4" t="str">
        <f t="shared" si="67"/>
        <v/>
      </c>
      <c r="AQ337" s="4" t="str">
        <f t="shared" si="67"/>
        <v/>
      </c>
      <c r="AR337" s="4" t="str">
        <f t="shared" si="67"/>
        <v/>
      </c>
      <c r="AS337" s="5" t="str">
        <f t="shared" si="67"/>
        <v/>
      </c>
      <c r="AT337" s="3" t="str">
        <f t="shared" si="73"/>
        <v/>
      </c>
      <c r="AU337" s="4" t="str">
        <f t="shared" si="73"/>
        <v/>
      </c>
      <c r="AV337" s="4" t="str">
        <f t="shared" si="73"/>
        <v/>
      </c>
      <c r="AW337" s="4" t="str">
        <f t="shared" si="73"/>
        <v/>
      </c>
      <c r="AX337" s="4" t="str">
        <f t="shared" si="73"/>
        <v/>
      </c>
      <c r="AY337" s="4" t="str">
        <f t="shared" si="73"/>
        <v/>
      </c>
      <c r="AZ337" s="4" t="str">
        <f t="shared" si="73"/>
        <v/>
      </c>
      <c r="BA337" s="4">
        <f t="shared" si="73"/>
        <v>1</v>
      </c>
      <c r="BB337" s="4" t="str">
        <f t="shared" si="74"/>
        <v/>
      </c>
      <c r="BC337" s="4" t="str">
        <f t="shared" si="68"/>
        <v/>
      </c>
      <c r="BD337" s="4" t="str">
        <f t="shared" si="68"/>
        <v/>
      </c>
      <c r="BE337" s="4" t="str">
        <f t="shared" si="68"/>
        <v/>
      </c>
      <c r="BF337" s="4" t="str">
        <f t="shared" si="68"/>
        <v/>
      </c>
      <c r="BG337" s="4" t="str">
        <f t="shared" si="68"/>
        <v/>
      </c>
      <c r="BH337" s="4" t="str">
        <f t="shared" si="68"/>
        <v/>
      </c>
      <c r="BI337" s="5" t="str">
        <f t="shared" si="68"/>
        <v/>
      </c>
    </row>
    <row r="338" spans="1:61" x14ac:dyDescent="0.25">
      <c r="A338">
        <v>115072</v>
      </c>
      <c r="B338" t="s">
        <v>14</v>
      </c>
      <c r="C338" t="s">
        <v>16</v>
      </c>
      <c r="D338">
        <v>63653</v>
      </c>
      <c r="E338">
        <v>1171</v>
      </c>
      <c r="F338">
        <v>1</v>
      </c>
      <c r="G338">
        <v>20111</v>
      </c>
      <c r="H338" t="s">
        <v>18</v>
      </c>
      <c r="I338">
        <v>3851762.0180000002</v>
      </c>
      <c r="J338">
        <v>117792</v>
      </c>
      <c r="K338">
        <v>22755214.82</v>
      </c>
      <c r="L338">
        <v>22392266.710000001</v>
      </c>
      <c r="M338">
        <v>362948.11</v>
      </c>
      <c r="N338" s="3" t="str">
        <f t="shared" si="69"/>
        <v/>
      </c>
      <c r="O338" s="4" t="str">
        <f t="shared" si="69"/>
        <v/>
      </c>
      <c r="P338" s="4" t="str">
        <f t="shared" si="69"/>
        <v/>
      </c>
      <c r="Q338" s="4" t="str">
        <f t="shared" si="69"/>
        <v/>
      </c>
      <c r="R338" s="4" t="str">
        <f t="shared" si="69"/>
        <v/>
      </c>
      <c r="S338" s="4" t="str">
        <f t="shared" si="69"/>
        <v/>
      </c>
      <c r="T338" s="4" t="str">
        <f t="shared" ref="N338:U370" si="75">IF(AND($B338=T$3, $G338=T$2, $H338=T$1), 1, "")</f>
        <v/>
      </c>
      <c r="U338" s="4" t="str">
        <f t="shared" si="75"/>
        <v/>
      </c>
      <c r="V338" s="4">
        <f t="shared" si="70"/>
        <v>1</v>
      </c>
      <c r="W338" s="4" t="str">
        <f t="shared" si="66"/>
        <v/>
      </c>
      <c r="X338" s="4" t="str">
        <f t="shared" si="66"/>
        <v/>
      </c>
      <c r="Y338" s="4" t="str">
        <f t="shared" si="66"/>
        <v/>
      </c>
      <c r="Z338" s="4" t="str">
        <f t="shared" si="66"/>
        <v/>
      </c>
      <c r="AA338" s="4" t="str">
        <f t="shared" si="66"/>
        <v/>
      </c>
      <c r="AB338" s="4" t="str">
        <f t="shared" si="66"/>
        <v/>
      </c>
      <c r="AC338" s="5" t="str">
        <f t="shared" si="66"/>
        <v/>
      </c>
      <c r="AD338" s="3" t="str">
        <f t="shared" si="71"/>
        <v/>
      </c>
      <c r="AE338" s="4" t="str">
        <f t="shared" si="71"/>
        <v/>
      </c>
      <c r="AF338" s="4" t="str">
        <f t="shared" si="71"/>
        <v/>
      </c>
      <c r="AG338" s="4" t="str">
        <f t="shared" si="71"/>
        <v/>
      </c>
      <c r="AH338" s="4" t="str">
        <f t="shared" si="71"/>
        <v/>
      </c>
      <c r="AI338" s="4" t="str">
        <f t="shared" si="71"/>
        <v/>
      </c>
      <c r="AJ338" s="4" t="str">
        <f t="shared" ref="AD338:AK370" si="76">IF(AND($B338=AJ$3, $G338=AJ$2, $H338=AJ$1), 1, "")</f>
        <v/>
      </c>
      <c r="AK338" s="4" t="str">
        <f t="shared" si="76"/>
        <v/>
      </c>
      <c r="AL338" s="4" t="str">
        <f t="shared" si="72"/>
        <v/>
      </c>
      <c r="AM338" s="4" t="str">
        <f t="shared" si="67"/>
        <v/>
      </c>
      <c r="AN338" s="4" t="str">
        <f t="shared" si="67"/>
        <v/>
      </c>
      <c r="AO338" s="4" t="str">
        <f t="shared" si="67"/>
        <v/>
      </c>
      <c r="AP338" s="4" t="str">
        <f t="shared" si="67"/>
        <v/>
      </c>
      <c r="AQ338" s="4" t="str">
        <f t="shared" si="67"/>
        <v/>
      </c>
      <c r="AR338" s="4" t="str">
        <f t="shared" si="67"/>
        <v/>
      </c>
      <c r="AS338" s="5" t="str">
        <f t="shared" si="67"/>
        <v/>
      </c>
      <c r="AT338" s="3" t="str">
        <f t="shared" si="73"/>
        <v/>
      </c>
      <c r="AU338" s="4" t="str">
        <f t="shared" si="73"/>
        <v/>
      </c>
      <c r="AV338" s="4" t="str">
        <f t="shared" si="73"/>
        <v/>
      </c>
      <c r="AW338" s="4" t="str">
        <f t="shared" si="73"/>
        <v/>
      </c>
      <c r="AX338" s="4" t="str">
        <f t="shared" si="73"/>
        <v/>
      </c>
      <c r="AY338" s="4" t="str">
        <f t="shared" si="73"/>
        <v/>
      </c>
      <c r="AZ338" s="4" t="str">
        <f t="shared" ref="AT338:BA370" si="77">IF(AND($B338=AZ$3, $G338=AZ$2, $H338=AZ$1), 1, "")</f>
        <v/>
      </c>
      <c r="BA338" s="4" t="str">
        <f t="shared" si="77"/>
        <v/>
      </c>
      <c r="BB338" s="4" t="str">
        <f t="shared" si="74"/>
        <v/>
      </c>
      <c r="BC338" s="4" t="str">
        <f t="shared" si="68"/>
        <v/>
      </c>
      <c r="BD338" s="4" t="str">
        <f t="shared" si="68"/>
        <v/>
      </c>
      <c r="BE338" s="4" t="str">
        <f t="shared" si="68"/>
        <v/>
      </c>
      <c r="BF338" s="4" t="str">
        <f t="shared" si="68"/>
        <v/>
      </c>
      <c r="BG338" s="4" t="str">
        <f t="shared" si="68"/>
        <v/>
      </c>
      <c r="BH338" s="4" t="str">
        <f t="shared" si="68"/>
        <v/>
      </c>
      <c r="BI338" s="5" t="str">
        <f t="shared" si="68"/>
        <v/>
      </c>
    </row>
    <row r="339" spans="1:61" x14ac:dyDescent="0.25">
      <c r="A339">
        <v>115073</v>
      </c>
      <c r="B339" t="s">
        <v>14</v>
      </c>
      <c r="C339" t="s">
        <v>16</v>
      </c>
      <c r="D339">
        <v>63653</v>
      </c>
      <c r="E339">
        <v>1171</v>
      </c>
      <c r="F339">
        <v>1</v>
      </c>
      <c r="G339">
        <v>20112</v>
      </c>
      <c r="H339" t="s">
        <v>18</v>
      </c>
      <c r="I339">
        <v>3738504.1680000001</v>
      </c>
      <c r="J339">
        <v>113309</v>
      </c>
      <c r="K339">
        <v>23517885.719999999</v>
      </c>
      <c r="L339">
        <v>23145335.109999999</v>
      </c>
      <c r="M339">
        <v>372550.61</v>
      </c>
      <c r="N339" s="3" t="str">
        <f t="shared" si="75"/>
        <v/>
      </c>
      <c r="O339" s="4" t="str">
        <f t="shared" si="75"/>
        <v/>
      </c>
      <c r="P339" s="4" t="str">
        <f t="shared" si="75"/>
        <v/>
      </c>
      <c r="Q339" s="4" t="str">
        <f t="shared" si="75"/>
        <v/>
      </c>
      <c r="R339" s="4" t="str">
        <f t="shared" si="75"/>
        <v/>
      </c>
      <c r="S339" s="4" t="str">
        <f t="shared" si="75"/>
        <v/>
      </c>
      <c r="T339" s="4" t="str">
        <f t="shared" si="75"/>
        <v/>
      </c>
      <c r="U339" s="4" t="str">
        <f t="shared" si="75"/>
        <v/>
      </c>
      <c r="V339" s="4" t="str">
        <f t="shared" si="70"/>
        <v/>
      </c>
      <c r="W339" s="4">
        <f t="shared" si="66"/>
        <v>1</v>
      </c>
      <c r="X339" s="4" t="str">
        <f t="shared" si="66"/>
        <v/>
      </c>
      <c r="Y339" s="4" t="str">
        <f t="shared" si="66"/>
        <v/>
      </c>
      <c r="Z339" s="4" t="str">
        <f t="shared" si="66"/>
        <v/>
      </c>
      <c r="AA339" s="4" t="str">
        <f t="shared" si="66"/>
        <v/>
      </c>
      <c r="AB339" s="4" t="str">
        <f t="shared" si="66"/>
        <v/>
      </c>
      <c r="AC339" s="5" t="str">
        <f t="shared" si="66"/>
        <v/>
      </c>
      <c r="AD339" s="3" t="str">
        <f t="shared" si="76"/>
        <v/>
      </c>
      <c r="AE339" s="4" t="str">
        <f t="shared" si="76"/>
        <v/>
      </c>
      <c r="AF339" s="4" t="str">
        <f t="shared" si="76"/>
        <v/>
      </c>
      <c r="AG339" s="4" t="str">
        <f t="shared" si="76"/>
        <v/>
      </c>
      <c r="AH339" s="4" t="str">
        <f t="shared" si="76"/>
        <v/>
      </c>
      <c r="AI339" s="4" t="str">
        <f t="shared" si="76"/>
        <v/>
      </c>
      <c r="AJ339" s="4" t="str">
        <f t="shared" si="76"/>
        <v/>
      </c>
      <c r="AK339" s="4" t="str">
        <f t="shared" si="76"/>
        <v/>
      </c>
      <c r="AL339" s="4" t="str">
        <f t="shared" si="72"/>
        <v/>
      </c>
      <c r="AM339" s="4" t="str">
        <f t="shared" si="67"/>
        <v/>
      </c>
      <c r="AN339" s="4" t="str">
        <f t="shared" si="67"/>
        <v/>
      </c>
      <c r="AO339" s="4" t="str">
        <f t="shared" si="67"/>
        <v/>
      </c>
      <c r="AP339" s="4" t="str">
        <f t="shared" si="67"/>
        <v/>
      </c>
      <c r="AQ339" s="4" t="str">
        <f t="shared" si="67"/>
        <v/>
      </c>
      <c r="AR339" s="4" t="str">
        <f t="shared" si="67"/>
        <v/>
      </c>
      <c r="AS339" s="5" t="str">
        <f t="shared" si="67"/>
        <v/>
      </c>
      <c r="AT339" s="3" t="str">
        <f t="shared" si="77"/>
        <v/>
      </c>
      <c r="AU339" s="4" t="str">
        <f t="shared" si="77"/>
        <v/>
      </c>
      <c r="AV339" s="4" t="str">
        <f t="shared" si="77"/>
        <v/>
      </c>
      <c r="AW339" s="4" t="str">
        <f t="shared" si="77"/>
        <v/>
      </c>
      <c r="AX339" s="4" t="str">
        <f t="shared" si="77"/>
        <v/>
      </c>
      <c r="AY339" s="4" t="str">
        <f t="shared" si="77"/>
        <v/>
      </c>
      <c r="AZ339" s="4" t="str">
        <f t="shared" si="77"/>
        <v/>
      </c>
      <c r="BA339" s="4" t="str">
        <f t="shared" si="77"/>
        <v/>
      </c>
      <c r="BB339" s="4" t="str">
        <f t="shared" si="74"/>
        <v/>
      </c>
      <c r="BC339" s="4" t="str">
        <f t="shared" si="68"/>
        <v/>
      </c>
      <c r="BD339" s="4" t="str">
        <f t="shared" si="68"/>
        <v/>
      </c>
      <c r="BE339" s="4" t="str">
        <f t="shared" si="68"/>
        <v/>
      </c>
      <c r="BF339" s="4" t="str">
        <f t="shared" si="68"/>
        <v/>
      </c>
      <c r="BG339" s="4" t="str">
        <f t="shared" si="68"/>
        <v/>
      </c>
      <c r="BH339" s="4" t="str">
        <f t="shared" si="68"/>
        <v/>
      </c>
      <c r="BI339" s="5" t="str">
        <f t="shared" si="68"/>
        <v/>
      </c>
    </row>
    <row r="340" spans="1:61" x14ac:dyDescent="0.25">
      <c r="A340">
        <v>115074</v>
      </c>
      <c r="B340" t="s">
        <v>14</v>
      </c>
      <c r="C340" t="s">
        <v>16</v>
      </c>
      <c r="D340">
        <v>63653</v>
      </c>
      <c r="E340">
        <v>1171</v>
      </c>
      <c r="F340">
        <v>1</v>
      </c>
      <c r="G340">
        <v>20113</v>
      </c>
      <c r="H340" t="s">
        <v>18</v>
      </c>
      <c r="I340">
        <v>3455696.077</v>
      </c>
      <c r="J340">
        <v>104237</v>
      </c>
      <c r="K340">
        <v>21727235.359999999</v>
      </c>
      <c r="L340">
        <v>21347414.16</v>
      </c>
      <c r="M340">
        <v>379821.2</v>
      </c>
      <c r="N340" s="3" t="str">
        <f t="shared" si="75"/>
        <v/>
      </c>
      <c r="O340" s="4" t="str">
        <f t="shared" si="75"/>
        <v/>
      </c>
      <c r="P340" s="4" t="str">
        <f t="shared" si="75"/>
        <v/>
      </c>
      <c r="Q340" s="4" t="str">
        <f t="shared" si="75"/>
        <v/>
      </c>
      <c r="R340" s="4" t="str">
        <f t="shared" si="75"/>
        <v/>
      </c>
      <c r="S340" s="4" t="str">
        <f t="shared" si="75"/>
        <v/>
      </c>
      <c r="T340" s="4" t="str">
        <f t="shared" si="75"/>
        <v/>
      </c>
      <c r="U340" s="4" t="str">
        <f t="shared" si="75"/>
        <v/>
      </c>
      <c r="V340" s="4" t="str">
        <f t="shared" si="70"/>
        <v/>
      </c>
      <c r="W340" s="4" t="str">
        <f t="shared" si="66"/>
        <v/>
      </c>
      <c r="X340" s="4">
        <f t="shared" si="66"/>
        <v>1</v>
      </c>
      <c r="Y340" s="4" t="str">
        <f t="shared" si="66"/>
        <v/>
      </c>
      <c r="Z340" s="4" t="str">
        <f t="shared" si="66"/>
        <v/>
      </c>
      <c r="AA340" s="4" t="str">
        <f t="shared" si="66"/>
        <v/>
      </c>
      <c r="AB340" s="4" t="str">
        <f t="shared" si="66"/>
        <v/>
      </c>
      <c r="AC340" s="5" t="str">
        <f t="shared" si="66"/>
        <v/>
      </c>
      <c r="AD340" s="3" t="str">
        <f t="shared" si="76"/>
        <v/>
      </c>
      <c r="AE340" s="4" t="str">
        <f t="shared" si="76"/>
        <v/>
      </c>
      <c r="AF340" s="4" t="str">
        <f t="shared" si="76"/>
        <v/>
      </c>
      <c r="AG340" s="4" t="str">
        <f t="shared" si="76"/>
        <v/>
      </c>
      <c r="AH340" s="4" t="str">
        <f t="shared" si="76"/>
        <v/>
      </c>
      <c r="AI340" s="4" t="str">
        <f t="shared" si="76"/>
        <v/>
      </c>
      <c r="AJ340" s="4" t="str">
        <f t="shared" si="76"/>
        <v/>
      </c>
      <c r="AK340" s="4" t="str">
        <f t="shared" si="76"/>
        <v/>
      </c>
      <c r="AL340" s="4" t="str">
        <f t="shared" si="72"/>
        <v/>
      </c>
      <c r="AM340" s="4" t="str">
        <f t="shared" si="67"/>
        <v/>
      </c>
      <c r="AN340" s="4" t="str">
        <f t="shared" si="67"/>
        <v/>
      </c>
      <c r="AO340" s="4" t="str">
        <f t="shared" si="67"/>
        <v/>
      </c>
      <c r="AP340" s="4" t="str">
        <f t="shared" si="67"/>
        <v/>
      </c>
      <c r="AQ340" s="4" t="str">
        <f t="shared" si="67"/>
        <v/>
      </c>
      <c r="AR340" s="4" t="str">
        <f t="shared" si="67"/>
        <v/>
      </c>
      <c r="AS340" s="5" t="str">
        <f t="shared" si="67"/>
        <v/>
      </c>
      <c r="AT340" s="3" t="str">
        <f t="shared" si="77"/>
        <v/>
      </c>
      <c r="AU340" s="4" t="str">
        <f t="shared" si="77"/>
        <v/>
      </c>
      <c r="AV340" s="4" t="str">
        <f t="shared" si="77"/>
        <v/>
      </c>
      <c r="AW340" s="4" t="str">
        <f t="shared" si="77"/>
        <v/>
      </c>
      <c r="AX340" s="4" t="str">
        <f t="shared" si="77"/>
        <v/>
      </c>
      <c r="AY340" s="4" t="str">
        <f t="shared" si="77"/>
        <v/>
      </c>
      <c r="AZ340" s="4" t="str">
        <f t="shared" si="77"/>
        <v/>
      </c>
      <c r="BA340" s="4" t="str">
        <f t="shared" si="77"/>
        <v/>
      </c>
      <c r="BB340" s="4" t="str">
        <f t="shared" si="74"/>
        <v/>
      </c>
      <c r="BC340" s="4" t="str">
        <f t="shared" si="68"/>
        <v/>
      </c>
      <c r="BD340" s="4" t="str">
        <f t="shared" si="68"/>
        <v/>
      </c>
      <c r="BE340" s="4" t="str">
        <f t="shared" si="68"/>
        <v/>
      </c>
      <c r="BF340" s="4" t="str">
        <f t="shared" si="68"/>
        <v/>
      </c>
      <c r="BG340" s="4" t="str">
        <f t="shared" si="68"/>
        <v/>
      </c>
      <c r="BH340" s="4" t="str">
        <f t="shared" si="68"/>
        <v/>
      </c>
      <c r="BI340" s="5" t="str">
        <f t="shared" si="68"/>
        <v/>
      </c>
    </row>
    <row r="341" spans="1:61" x14ac:dyDescent="0.25">
      <c r="A341">
        <v>115075</v>
      </c>
      <c r="B341" t="s">
        <v>14</v>
      </c>
      <c r="C341" t="s">
        <v>16</v>
      </c>
      <c r="D341">
        <v>63653</v>
      </c>
      <c r="E341">
        <v>1171</v>
      </c>
      <c r="F341">
        <v>1</v>
      </c>
      <c r="G341">
        <v>20114</v>
      </c>
      <c r="H341" t="s">
        <v>18</v>
      </c>
      <c r="I341">
        <v>2564193.2149999999</v>
      </c>
      <c r="J341">
        <v>78981</v>
      </c>
      <c r="K341">
        <v>16199925.27</v>
      </c>
      <c r="L341">
        <v>15863975.18</v>
      </c>
      <c r="M341">
        <v>335950.09</v>
      </c>
      <c r="N341" s="3" t="str">
        <f t="shared" si="75"/>
        <v/>
      </c>
      <c r="O341" s="4" t="str">
        <f t="shared" si="75"/>
        <v/>
      </c>
      <c r="P341" s="4" t="str">
        <f t="shared" si="75"/>
        <v/>
      </c>
      <c r="Q341" s="4" t="str">
        <f t="shared" si="75"/>
        <v/>
      </c>
      <c r="R341" s="4" t="str">
        <f t="shared" si="75"/>
        <v/>
      </c>
      <c r="S341" s="4" t="str">
        <f t="shared" si="75"/>
        <v/>
      </c>
      <c r="T341" s="4" t="str">
        <f t="shared" si="75"/>
        <v/>
      </c>
      <c r="U341" s="4" t="str">
        <f t="shared" si="75"/>
        <v/>
      </c>
      <c r="V341" s="4" t="str">
        <f t="shared" si="70"/>
        <v/>
      </c>
      <c r="W341" s="4" t="str">
        <f t="shared" si="66"/>
        <v/>
      </c>
      <c r="X341" s="4" t="str">
        <f t="shared" si="66"/>
        <v/>
      </c>
      <c r="Y341" s="4">
        <f t="shared" si="66"/>
        <v>1</v>
      </c>
      <c r="Z341" s="4" t="str">
        <f t="shared" si="66"/>
        <v/>
      </c>
      <c r="AA341" s="4" t="str">
        <f t="shared" si="66"/>
        <v/>
      </c>
      <c r="AB341" s="4" t="str">
        <f t="shared" si="66"/>
        <v/>
      </c>
      <c r="AC341" s="5" t="str">
        <f t="shared" si="66"/>
        <v/>
      </c>
      <c r="AD341" s="3" t="str">
        <f t="shared" si="76"/>
        <v/>
      </c>
      <c r="AE341" s="4" t="str">
        <f t="shared" si="76"/>
        <v/>
      </c>
      <c r="AF341" s="4" t="str">
        <f t="shared" si="76"/>
        <v/>
      </c>
      <c r="AG341" s="4" t="str">
        <f t="shared" si="76"/>
        <v/>
      </c>
      <c r="AH341" s="4" t="str">
        <f t="shared" si="76"/>
        <v/>
      </c>
      <c r="AI341" s="4" t="str">
        <f t="shared" si="76"/>
        <v/>
      </c>
      <c r="AJ341" s="4" t="str">
        <f t="shared" si="76"/>
        <v/>
      </c>
      <c r="AK341" s="4" t="str">
        <f t="shared" si="76"/>
        <v/>
      </c>
      <c r="AL341" s="4" t="str">
        <f t="shared" si="72"/>
        <v/>
      </c>
      <c r="AM341" s="4" t="str">
        <f t="shared" si="67"/>
        <v/>
      </c>
      <c r="AN341" s="4" t="str">
        <f t="shared" si="67"/>
        <v/>
      </c>
      <c r="AO341" s="4" t="str">
        <f t="shared" si="67"/>
        <v/>
      </c>
      <c r="AP341" s="4" t="str">
        <f t="shared" si="67"/>
        <v/>
      </c>
      <c r="AQ341" s="4" t="str">
        <f t="shared" si="67"/>
        <v/>
      </c>
      <c r="AR341" s="4" t="str">
        <f t="shared" si="67"/>
        <v/>
      </c>
      <c r="AS341" s="5" t="str">
        <f t="shared" si="67"/>
        <v/>
      </c>
      <c r="AT341" s="3" t="str">
        <f t="shared" si="77"/>
        <v/>
      </c>
      <c r="AU341" s="4" t="str">
        <f t="shared" si="77"/>
        <v/>
      </c>
      <c r="AV341" s="4" t="str">
        <f t="shared" si="77"/>
        <v/>
      </c>
      <c r="AW341" s="4" t="str">
        <f t="shared" si="77"/>
        <v/>
      </c>
      <c r="AX341" s="4" t="str">
        <f t="shared" si="77"/>
        <v/>
      </c>
      <c r="AY341" s="4" t="str">
        <f t="shared" si="77"/>
        <v/>
      </c>
      <c r="AZ341" s="4" t="str">
        <f t="shared" si="77"/>
        <v/>
      </c>
      <c r="BA341" s="4" t="str">
        <f t="shared" si="77"/>
        <v/>
      </c>
      <c r="BB341" s="4" t="str">
        <f t="shared" si="74"/>
        <v/>
      </c>
      <c r="BC341" s="4" t="str">
        <f t="shared" si="68"/>
        <v/>
      </c>
      <c r="BD341" s="4" t="str">
        <f t="shared" si="68"/>
        <v/>
      </c>
      <c r="BE341" s="4" t="str">
        <f t="shared" si="68"/>
        <v/>
      </c>
      <c r="BF341" s="4" t="str">
        <f t="shared" si="68"/>
        <v/>
      </c>
      <c r="BG341" s="4" t="str">
        <f t="shared" si="68"/>
        <v/>
      </c>
      <c r="BH341" s="4" t="str">
        <f t="shared" si="68"/>
        <v/>
      </c>
      <c r="BI341" s="5" t="str">
        <f t="shared" si="68"/>
        <v/>
      </c>
    </row>
    <row r="342" spans="1:61" x14ac:dyDescent="0.25">
      <c r="A342">
        <v>115076</v>
      </c>
      <c r="B342" t="s">
        <v>14</v>
      </c>
      <c r="C342" t="s">
        <v>16</v>
      </c>
      <c r="D342">
        <v>63653</v>
      </c>
      <c r="E342">
        <v>1171</v>
      </c>
      <c r="F342">
        <v>3</v>
      </c>
      <c r="G342">
        <v>20111</v>
      </c>
      <c r="H342" t="s">
        <v>18</v>
      </c>
      <c r="I342">
        <v>77756.951000000001</v>
      </c>
      <c r="J342">
        <v>3266</v>
      </c>
      <c r="K342">
        <v>453880.15</v>
      </c>
      <c r="L342">
        <v>438124.5</v>
      </c>
      <c r="M342">
        <v>15755.65</v>
      </c>
      <c r="N342" s="3" t="str">
        <f t="shared" si="75"/>
        <v/>
      </c>
      <c r="O342" s="4" t="str">
        <f t="shared" si="75"/>
        <v/>
      </c>
      <c r="P342" s="4" t="str">
        <f t="shared" si="75"/>
        <v/>
      </c>
      <c r="Q342" s="4" t="str">
        <f t="shared" si="75"/>
        <v/>
      </c>
      <c r="R342" s="4" t="str">
        <f t="shared" si="75"/>
        <v/>
      </c>
      <c r="S342" s="4" t="str">
        <f t="shared" si="75"/>
        <v/>
      </c>
      <c r="T342" s="4" t="str">
        <f t="shared" si="75"/>
        <v/>
      </c>
      <c r="U342" s="4" t="str">
        <f t="shared" si="75"/>
        <v/>
      </c>
      <c r="V342" s="4">
        <f t="shared" si="70"/>
        <v>1</v>
      </c>
      <c r="W342" s="4" t="str">
        <f t="shared" si="66"/>
        <v/>
      </c>
      <c r="X342" s="4" t="str">
        <f t="shared" si="66"/>
        <v/>
      </c>
      <c r="Y342" s="4" t="str">
        <f t="shared" ref="W342:AC378" si="78">IF(AND($B342=Y$3, $G342=Y$2, LEFT($H342, 6)=Y$1), 1, "")</f>
        <v/>
      </c>
      <c r="Z342" s="4" t="str">
        <f t="shared" si="78"/>
        <v/>
      </c>
      <c r="AA342" s="4" t="str">
        <f t="shared" si="78"/>
        <v/>
      </c>
      <c r="AB342" s="4" t="str">
        <f t="shared" si="78"/>
        <v/>
      </c>
      <c r="AC342" s="5" t="str">
        <f t="shared" si="78"/>
        <v/>
      </c>
      <c r="AD342" s="3" t="str">
        <f t="shared" si="76"/>
        <v/>
      </c>
      <c r="AE342" s="4" t="str">
        <f t="shared" si="76"/>
        <v/>
      </c>
      <c r="AF342" s="4" t="str">
        <f t="shared" si="76"/>
        <v/>
      </c>
      <c r="AG342" s="4" t="str">
        <f t="shared" si="76"/>
        <v/>
      </c>
      <c r="AH342" s="4" t="str">
        <f t="shared" si="76"/>
        <v/>
      </c>
      <c r="AI342" s="4" t="str">
        <f t="shared" si="76"/>
        <v/>
      </c>
      <c r="AJ342" s="4" t="str">
        <f t="shared" si="76"/>
        <v/>
      </c>
      <c r="AK342" s="4" t="str">
        <f t="shared" si="76"/>
        <v/>
      </c>
      <c r="AL342" s="4" t="str">
        <f t="shared" si="72"/>
        <v/>
      </c>
      <c r="AM342" s="4" t="str">
        <f t="shared" si="67"/>
        <v/>
      </c>
      <c r="AN342" s="4" t="str">
        <f t="shared" si="67"/>
        <v/>
      </c>
      <c r="AO342" s="4" t="str">
        <f t="shared" ref="AM342:AS378" si="79">IF(AND($B342=AO$3, $G342=AO$2, LEFT($H342, 6)=AO$1), 1, "")</f>
        <v/>
      </c>
      <c r="AP342" s="4" t="str">
        <f t="shared" si="79"/>
        <v/>
      </c>
      <c r="AQ342" s="4" t="str">
        <f t="shared" si="79"/>
        <v/>
      </c>
      <c r="AR342" s="4" t="str">
        <f t="shared" si="79"/>
        <v/>
      </c>
      <c r="AS342" s="5" t="str">
        <f t="shared" si="79"/>
        <v/>
      </c>
      <c r="AT342" s="3" t="str">
        <f t="shared" si="77"/>
        <v/>
      </c>
      <c r="AU342" s="4" t="str">
        <f t="shared" si="77"/>
        <v/>
      </c>
      <c r="AV342" s="4" t="str">
        <f t="shared" si="77"/>
        <v/>
      </c>
      <c r="AW342" s="4" t="str">
        <f t="shared" si="77"/>
        <v/>
      </c>
      <c r="AX342" s="4" t="str">
        <f t="shared" si="77"/>
        <v/>
      </c>
      <c r="AY342" s="4" t="str">
        <f t="shared" si="77"/>
        <v/>
      </c>
      <c r="AZ342" s="4" t="str">
        <f t="shared" si="77"/>
        <v/>
      </c>
      <c r="BA342" s="4" t="str">
        <f t="shared" si="77"/>
        <v/>
      </c>
      <c r="BB342" s="4" t="str">
        <f t="shared" si="74"/>
        <v/>
      </c>
      <c r="BC342" s="4" t="str">
        <f t="shared" si="68"/>
        <v/>
      </c>
      <c r="BD342" s="4" t="str">
        <f t="shared" si="68"/>
        <v/>
      </c>
      <c r="BE342" s="4" t="str">
        <f t="shared" ref="BC342:BI378" si="80">IF(AND($B342=BE$3, $G342=BE$2, LEFT($H342, 6)=BE$1), 1, "")</f>
        <v/>
      </c>
      <c r="BF342" s="4" t="str">
        <f t="shared" si="80"/>
        <v/>
      </c>
      <c r="BG342" s="4" t="str">
        <f t="shared" si="80"/>
        <v/>
      </c>
      <c r="BH342" s="4" t="str">
        <f t="shared" si="80"/>
        <v/>
      </c>
      <c r="BI342" s="5" t="str">
        <f t="shared" si="80"/>
        <v/>
      </c>
    </row>
    <row r="343" spans="1:61" x14ac:dyDescent="0.25">
      <c r="A343">
        <v>115077</v>
      </c>
      <c r="B343" t="s">
        <v>14</v>
      </c>
      <c r="C343" t="s">
        <v>16</v>
      </c>
      <c r="D343">
        <v>63653</v>
      </c>
      <c r="E343">
        <v>1171</v>
      </c>
      <c r="F343">
        <v>3</v>
      </c>
      <c r="G343">
        <v>20112</v>
      </c>
      <c r="H343" t="s">
        <v>18</v>
      </c>
      <c r="I343">
        <v>72282.074999999997</v>
      </c>
      <c r="J343">
        <v>3163</v>
      </c>
      <c r="K343">
        <v>445789.66</v>
      </c>
      <c r="L343">
        <v>429843.11</v>
      </c>
      <c r="M343">
        <v>15946.55</v>
      </c>
      <c r="N343" s="3" t="str">
        <f t="shared" si="75"/>
        <v/>
      </c>
      <c r="O343" s="4" t="str">
        <f t="shared" si="75"/>
        <v/>
      </c>
      <c r="P343" s="4" t="str">
        <f t="shared" si="75"/>
        <v/>
      </c>
      <c r="Q343" s="4" t="str">
        <f t="shared" si="75"/>
        <v/>
      </c>
      <c r="R343" s="4" t="str">
        <f t="shared" si="75"/>
        <v/>
      </c>
      <c r="S343" s="4" t="str">
        <f t="shared" si="75"/>
        <v/>
      </c>
      <c r="T343" s="4" t="str">
        <f t="shared" si="75"/>
        <v/>
      </c>
      <c r="U343" s="4" t="str">
        <f t="shared" si="75"/>
        <v/>
      </c>
      <c r="V343" s="4" t="str">
        <f t="shared" si="70"/>
        <v/>
      </c>
      <c r="W343" s="4">
        <f t="shared" si="78"/>
        <v>1</v>
      </c>
      <c r="X343" s="4" t="str">
        <f t="shared" si="78"/>
        <v/>
      </c>
      <c r="Y343" s="4" t="str">
        <f t="shared" si="78"/>
        <v/>
      </c>
      <c r="Z343" s="4" t="str">
        <f t="shared" si="78"/>
        <v/>
      </c>
      <c r="AA343" s="4" t="str">
        <f t="shared" si="78"/>
        <v/>
      </c>
      <c r="AB343" s="4" t="str">
        <f t="shared" si="78"/>
        <v/>
      </c>
      <c r="AC343" s="5" t="str">
        <f t="shared" si="78"/>
        <v/>
      </c>
      <c r="AD343" s="3" t="str">
        <f t="shared" si="76"/>
        <v/>
      </c>
      <c r="AE343" s="4" t="str">
        <f t="shared" si="76"/>
        <v/>
      </c>
      <c r="AF343" s="4" t="str">
        <f t="shared" si="76"/>
        <v/>
      </c>
      <c r="AG343" s="4" t="str">
        <f t="shared" si="76"/>
        <v/>
      </c>
      <c r="AH343" s="4" t="str">
        <f t="shared" si="76"/>
        <v/>
      </c>
      <c r="AI343" s="4" t="str">
        <f t="shared" si="76"/>
        <v/>
      </c>
      <c r="AJ343" s="4" t="str">
        <f t="shared" si="76"/>
        <v/>
      </c>
      <c r="AK343" s="4" t="str">
        <f t="shared" si="76"/>
        <v/>
      </c>
      <c r="AL343" s="4" t="str">
        <f t="shared" si="72"/>
        <v/>
      </c>
      <c r="AM343" s="4" t="str">
        <f t="shared" si="79"/>
        <v/>
      </c>
      <c r="AN343" s="4" t="str">
        <f t="shared" si="79"/>
        <v/>
      </c>
      <c r="AO343" s="4" t="str">
        <f t="shared" si="79"/>
        <v/>
      </c>
      <c r="AP343" s="4" t="str">
        <f t="shared" si="79"/>
        <v/>
      </c>
      <c r="AQ343" s="4" t="str">
        <f t="shared" si="79"/>
        <v/>
      </c>
      <c r="AR343" s="4" t="str">
        <f t="shared" si="79"/>
        <v/>
      </c>
      <c r="AS343" s="5" t="str">
        <f t="shared" si="79"/>
        <v/>
      </c>
      <c r="AT343" s="3" t="str">
        <f t="shared" si="77"/>
        <v/>
      </c>
      <c r="AU343" s="4" t="str">
        <f t="shared" si="77"/>
        <v/>
      </c>
      <c r="AV343" s="4" t="str">
        <f t="shared" si="77"/>
        <v/>
      </c>
      <c r="AW343" s="4" t="str">
        <f t="shared" si="77"/>
        <v/>
      </c>
      <c r="AX343" s="4" t="str">
        <f t="shared" si="77"/>
        <v/>
      </c>
      <c r="AY343" s="4" t="str">
        <f t="shared" si="77"/>
        <v/>
      </c>
      <c r="AZ343" s="4" t="str">
        <f t="shared" si="77"/>
        <v/>
      </c>
      <c r="BA343" s="4" t="str">
        <f t="shared" si="77"/>
        <v/>
      </c>
      <c r="BB343" s="4" t="str">
        <f t="shared" si="74"/>
        <v/>
      </c>
      <c r="BC343" s="4" t="str">
        <f t="shared" si="80"/>
        <v/>
      </c>
      <c r="BD343" s="4" t="str">
        <f t="shared" si="80"/>
        <v/>
      </c>
      <c r="BE343" s="4" t="str">
        <f t="shared" si="80"/>
        <v/>
      </c>
      <c r="BF343" s="4" t="str">
        <f t="shared" si="80"/>
        <v/>
      </c>
      <c r="BG343" s="4" t="str">
        <f t="shared" si="80"/>
        <v/>
      </c>
      <c r="BH343" s="4" t="str">
        <f t="shared" si="80"/>
        <v/>
      </c>
      <c r="BI343" s="5" t="str">
        <f t="shared" si="80"/>
        <v/>
      </c>
    </row>
    <row r="344" spans="1:61" x14ac:dyDescent="0.25">
      <c r="A344">
        <v>115078</v>
      </c>
      <c r="B344" t="s">
        <v>14</v>
      </c>
      <c r="C344" t="s">
        <v>16</v>
      </c>
      <c r="D344">
        <v>63653</v>
      </c>
      <c r="E344">
        <v>1171</v>
      </c>
      <c r="F344">
        <v>3</v>
      </c>
      <c r="G344">
        <v>20113</v>
      </c>
      <c r="H344" t="s">
        <v>18</v>
      </c>
      <c r="I344">
        <v>67364.082999999999</v>
      </c>
      <c r="J344">
        <v>3273</v>
      </c>
      <c r="K344">
        <v>421077.72</v>
      </c>
      <c r="L344">
        <v>401133.9</v>
      </c>
      <c r="M344">
        <v>19943.82</v>
      </c>
      <c r="N344" s="3" t="str">
        <f t="shared" si="75"/>
        <v/>
      </c>
      <c r="O344" s="4" t="str">
        <f t="shared" si="75"/>
        <v/>
      </c>
      <c r="P344" s="4" t="str">
        <f t="shared" si="75"/>
        <v/>
      </c>
      <c r="Q344" s="4" t="str">
        <f t="shared" si="75"/>
        <v/>
      </c>
      <c r="R344" s="4" t="str">
        <f t="shared" si="75"/>
        <v/>
      </c>
      <c r="S344" s="4" t="str">
        <f t="shared" si="75"/>
        <v/>
      </c>
      <c r="T344" s="4" t="str">
        <f t="shared" si="75"/>
        <v/>
      </c>
      <c r="U344" s="4" t="str">
        <f t="shared" si="75"/>
        <v/>
      </c>
      <c r="V344" s="4" t="str">
        <f t="shared" si="70"/>
        <v/>
      </c>
      <c r="W344" s="4" t="str">
        <f t="shared" si="78"/>
        <v/>
      </c>
      <c r="X344" s="4">
        <f t="shared" si="78"/>
        <v>1</v>
      </c>
      <c r="Y344" s="4" t="str">
        <f t="shared" si="78"/>
        <v/>
      </c>
      <c r="Z344" s="4" t="str">
        <f t="shared" si="78"/>
        <v/>
      </c>
      <c r="AA344" s="4" t="str">
        <f t="shared" si="78"/>
        <v/>
      </c>
      <c r="AB344" s="4" t="str">
        <f t="shared" si="78"/>
        <v/>
      </c>
      <c r="AC344" s="5" t="str">
        <f t="shared" si="78"/>
        <v/>
      </c>
      <c r="AD344" s="3" t="str">
        <f t="shared" si="76"/>
        <v/>
      </c>
      <c r="AE344" s="4" t="str">
        <f t="shared" si="76"/>
        <v/>
      </c>
      <c r="AF344" s="4" t="str">
        <f t="shared" si="76"/>
        <v/>
      </c>
      <c r="AG344" s="4" t="str">
        <f t="shared" si="76"/>
        <v/>
      </c>
      <c r="AH344" s="4" t="str">
        <f t="shared" si="76"/>
        <v/>
      </c>
      <c r="AI344" s="4" t="str">
        <f t="shared" si="76"/>
        <v/>
      </c>
      <c r="AJ344" s="4" t="str">
        <f t="shared" si="76"/>
        <v/>
      </c>
      <c r="AK344" s="4" t="str">
        <f t="shared" si="76"/>
        <v/>
      </c>
      <c r="AL344" s="4" t="str">
        <f t="shared" si="72"/>
        <v/>
      </c>
      <c r="AM344" s="4" t="str">
        <f t="shared" si="79"/>
        <v/>
      </c>
      <c r="AN344" s="4" t="str">
        <f t="shared" si="79"/>
        <v/>
      </c>
      <c r="AO344" s="4" t="str">
        <f t="shared" si="79"/>
        <v/>
      </c>
      <c r="AP344" s="4" t="str">
        <f t="shared" si="79"/>
        <v/>
      </c>
      <c r="AQ344" s="4" t="str">
        <f t="shared" si="79"/>
        <v/>
      </c>
      <c r="AR344" s="4" t="str">
        <f t="shared" si="79"/>
        <v/>
      </c>
      <c r="AS344" s="5" t="str">
        <f t="shared" si="79"/>
        <v/>
      </c>
      <c r="AT344" s="3" t="str">
        <f t="shared" si="77"/>
        <v/>
      </c>
      <c r="AU344" s="4" t="str">
        <f t="shared" si="77"/>
        <v/>
      </c>
      <c r="AV344" s="4" t="str">
        <f t="shared" si="77"/>
        <v/>
      </c>
      <c r="AW344" s="4" t="str">
        <f t="shared" si="77"/>
        <v/>
      </c>
      <c r="AX344" s="4" t="str">
        <f t="shared" si="77"/>
        <v/>
      </c>
      <c r="AY344" s="4" t="str">
        <f t="shared" si="77"/>
        <v/>
      </c>
      <c r="AZ344" s="4" t="str">
        <f t="shared" si="77"/>
        <v/>
      </c>
      <c r="BA344" s="4" t="str">
        <f t="shared" si="77"/>
        <v/>
      </c>
      <c r="BB344" s="4" t="str">
        <f t="shared" si="74"/>
        <v/>
      </c>
      <c r="BC344" s="4" t="str">
        <f t="shared" si="80"/>
        <v/>
      </c>
      <c r="BD344" s="4" t="str">
        <f t="shared" si="80"/>
        <v/>
      </c>
      <c r="BE344" s="4" t="str">
        <f t="shared" si="80"/>
        <v/>
      </c>
      <c r="BF344" s="4" t="str">
        <f t="shared" si="80"/>
        <v/>
      </c>
      <c r="BG344" s="4" t="str">
        <f t="shared" si="80"/>
        <v/>
      </c>
      <c r="BH344" s="4" t="str">
        <f t="shared" si="80"/>
        <v/>
      </c>
      <c r="BI344" s="5" t="str">
        <f t="shared" si="80"/>
        <v/>
      </c>
    </row>
    <row r="345" spans="1:61" x14ac:dyDescent="0.25">
      <c r="A345">
        <v>115079</v>
      </c>
      <c r="B345" t="s">
        <v>14</v>
      </c>
      <c r="C345" t="s">
        <v>16</v>
      </c>
      <c r="D345">
        <v>63653</v>
      </c>
      <c r="E345">
        <v>1171</v>
      </c>
      <c r="F345">
        <v>3</v>
      </c>
      <c r="G345">
        <v>20114</v>
      </c>
      <c r="H345" t="s">
        <v>18</v>
      </c>
      <c r="I345">
        <v>56588.629000000001</v>
      </c>
      <c r="J345">
        <v>2528</v>
      </c>
      <c r="K345">
        <v>346009.44</v>
      </c>
      <c r="L345">
        <v>328208.96999999997</v>
      </c>
      <c r="M345">
        <v>17800.47</v>
      </c>
      <c r="N345" s="3" t="str">
        <f t="shared" si="75"/>
        <v/>
      </c>
      <c r="O345" s="4" t="str">
        <f t="shared" si="75"/>
        <v/>
      </c>
      <c r="P345" s="4" t="str">
        <f t="shared" si="75"/>
        <v/>
      </c>
      <c r="Q345" s="4" t="str">
        <f t="shared" si="75"/>
        <v/>
      </c>
      <c r="R345" s="4" t="str">
        <f t="shared" si="75"/>
        <v/>
      </c>
      <c r="S345" s="4" t="str">
        <f t="shared" si="75"/>
        <v/>
      </c>
      <c r="T345" s="4" t="str">
        <f t="shared" si="75"/>
        <v/>
      </c>
      <c r="U345" s="4" t="str">
        <f t="shared" si="75"/>
        <v/>
      </c>
      <c r="V345" s="4" t="str">
        <f t="shared" si="70"/>
        <v/>
      </c>
      <c r="W345" s="4" t="str">
        <f t="shared" si="78"/>
        <v/>
      </c>
      <c r="X345" s="4" t="str">
        <f t="shared" si="78"/>
        <v/>
      </c>
      <c r="Y345" s="4">
        <f t="shared" si="78"/>
        <v>1</v>
      </c>
      <c r="Z345" s="4" t="str">
        <f t="shared" si="78"/>
        <v/>
      </c>
      <c r="AA345" s="4" t="str">
        <f t="shared" si="78"/>
        <v/>
      </c>
      <c r="AB345" s="4" t="str">
        <f t="shared" si="78"/>
        <v/>
      </c>
      <c r="AC345" s="5" t="str">
        <f t="shared" si="78"/>
        <v/>
      </c>
      <c r="AD345" s="3" t="str">
        <f t="shared" si="76"/>
        <v/>
      </c>
      <c r="AE345" s="4" t="str">
        <f t="shared" si="76"/>
        <v/>
      </c>
      <c r="AF345" s="4" t="str">
        <f t="shared" si="76"/>
        <v/>
      </c>
      <c r="AG345" s="4" t="str">
        <f t="shared" si="76"/>
        <v/>
      </c>
      <c r="AH345" s="4" t="str">
        <f t="shared" si="76"/>
        <v/>
      </c>
      <c r="AI345" s="4" t="str">
        <f t="shared" si="76"/>
        <v/>
      </c>
      <c r="AJ345" s="4" t="str">
        <f t="shared" si="76"/>
        <v/>
      </c>
      <c r="AK345" s="4" t="str">
        <f t="shared" si="76"/>
        <v/>
      </c>
      <c r="AL345" s="4" t="str">
        <f t="shared" si="72"/>
        <v/>
      </c>
      <c r="AM345" s="4" t="str">
        <f t="shared" si="79"/>
        <v/>
      </c>
      <c r="AN345" s="4" t="str">
        <f t="shared" si="79"/>
        <v/>
      </c>
      <c r="AO345" s="4" t="str">
        <f t="shared" si="79"/>
        <v/>
      </c>
      <c r="AP345" s="4" t="str">
        <f t="shared" si="79"/>
        <v/>
      </c>
      <c r="AQ345" s="4" t="str">
        <f t="shared" si="79"/>
        <v/>
      </c>
      <c r="AR345" s="4" t="str">
        <f t="shared" si="79"/>
        <v/>
      </c>
      <c r="AS345" s="5" t="str">
        <f t="shared" si="79"/>
        <v/>
      </c>
      <c r="AT345" s="3" t="str">
        <f t="shared" si="77"/>
        <v/>
      </c>
      <c r="AU345" s="4" t="str">
        <f t="shared" si="77"/>
        <v/>
      </c>
      <c r="AV345" s="4" t="str">
        <f t="shared" si="77"/>
        <v/>
      </c>
      <c r="AW345" s="4" t="str">
        <f t="shared" si="77"/>
        <v/>
      </c>
      <c r="AX345" s="4" t="str">
        <f t="shared" si="77"/>
        <v/>
      </c>
      <c r="AY345" s="4" t="str">
        <f t="shared" si="77"/>
        <v/>
      </c>
      <c r="AZ345" s="4" t="str">
        <f t="shared" si="77"/>
        <v/>
      </c>
      <c r="BA345" s="4" t="str">
        <f t="shared" si="77"/>
        <v/>
      </c>
      <c r="BB345" s="4" t="str">
        <f t="shared" si="74"/>
        <v/>
      </c>
      <c r="BC345" s="4" t="str">
        <f t="shared" si="80"/>
        <v/>
      </c>
      <c r="BD345" s="4" t="str">
        <f t="shared" si="80"/>
        <v/>
      </c>
      <c r="BE345" s="4" t="str">
        <f t="shared" si="80"/>
        <v/>
      </c>
      <c r="BF345" s="4" t="str">
        <f t="shared" si="80"/>
        <v/>
      </c>
      <c r="BG345" s="4" t="str">
        <f t="shared" si="80"/>
        <v/>
      </c>
      <c r="BH345" s="4" t="str">
        <f t="shared" si="80"/>
        <v/>
      </c>
      <c r="BI345" s="5" t="str">
        <f t="shared" si="80"/>
        <v/>
      </c>
    </row>
    <row r="346" spans="1:61" x14ac:dyDescent="0.25">
      <c r="A346">
        <v>115080</v>
      </c>
      <c r="B346" t="s">
        <v>14</v>
      </c>
      <c r="C346" t="s">
        <v>16</v>
      </c>
      <c r="D346">
        <v>63653</v>
      </c>
      <c r="E346">
        <v>1171</v>
      </c>
      <c r="F346">
        <v>5</v>
      </c>
      <c r="G346">
        <v>20111</v>
      </c>
      <c r="H346" t="s">
        <v>18</v>
      </c>
      <c r="I346">
        <v>1437180.264</v>
      </c>
      <c r="J346">
        <v>47228</v>
      </c>
      <c r="K346">
        <v>8537526.8699999992</v>
      </c>
      <c r="L346">
        <v>8312567.8799999999</v>
      </c>
      <c r="M346">
        <v>224958.99</v>
      </c>
      <c r="N346" s="3" t="str">
        <f t="shared" si="75"/>
        <v/>
      </c>
      <c r="O346" s="4" t="str">
        <f t="shared" si="75"/>
        <v/>
      </c>
      <c r="P346" s="4" t="str">
        <f t="shared" si="75"/>
        <v/>
      </c>
      <c r="Q346" s="4" t="str">
        <f t="shared" si="75"/>
        <v/>
      </c>
      <c r="R346" s="4" t="str">
        <f t="shared" si="75"/>
        <v/>
      </c>
      <c r="S346" s="4" t="str">
        <f t="shared" si="75"/>
        <v/>
      </c>
      <c r="T346" s="4" t="str">
        <f t="shared" si="75"/>
        <v/>
      </c>
      <c r="U346" s="4" t="str">
        <f t="shared" si="75"/>
        <v/>
      </c>
      <c r="V346" s="4">
        <f t="shared" si="70"/>
        <v>1</v>
      </c>
      <c r="W346" s="4" t="str">
        <f t="shared" si="78"/>
        <v/>
      </c>
      <c r="X346" s="4" t="str">
        <f t="shared" si="78"/>
        <v/>
      </c>
      <c r="Y346" s="4" t="str">
        <f t="shared" si="78"/>
        <v/>
      </c>
      <c r="Z346" s="4" t="str">
        <f t="shared" si="78"/>
        <v/>
      </c>
      <c r="AA346" s="4" t="str">
        <f t="shared" si="78"/>
        <v/>
      </c>
      <c r="AB346" s="4" t="str">
        <f t="shared" si="78"/>
        <v/>
      </c>
      <c r="AC346" s="5" t="str">
        <f t="shared" si="78"/>
        <v/>
      </c>
      <c r="AD346" s="3" t="str">
        <f t="shared" si="76"/>
        <v/>
      </c>
      <c r="AE346" s="4" t="str">
        <f t="shared" si="76"/>
        <v/>
      </c>
      <c r="AF346" s="4" t="str">
        <f t="shared" si="76"/>
        <v/>
      </c>
      <c r="AG346" s="4" t="str">
        <f t="shared" si="76"/>
        <v/>
      </c>
      <c r="AH346" s="4" t="str">
        <f t="shared" si="76"/>
        <v/>
      </c>
      <c r="AI346" s="4" t="str">
        <f t="shared" si="76"/>
        <v/>
      </c>
      <c r="AJ346" s="4" t="str">
        <f t="shared" si="76"/>
        <v/>
      </c>
      <c r="AK346" s="4" t="str">
        <f t="shared" si="76"/>
        <v/>
      </c>
      <c r="AL346" s="4" t="str">
        <f t="shared" si="72"/>
        <v/>
      </c>
      <c r="AM346" s="4" t="str">
        <f t="shared" si="79"/>
        <v/>
      </c>
      <c r="AN346" s="4" t="str">
        <f t="shared" si="79"/>
        <v/>
      </c>
      <c r="AO346" s="4" t="str">
        <f t="shared" si="79"/>
        <v/>
      </c>
      <c r="AP346" s="4" t="str">
        <f t="shared" si="79"/>
        <v/>
      </c>
      <c r="AQ346" s="4" t="str">
        <f t="shared" si="79"/>
        <v/>
      </c>
      <c r="AR346" s="4" t="str">
        <f t="shared" si="79"/>
        <v/>
      </c>
      <c r="AS346" s="5" t="str">
        <f t="shared" si="79"/>
        <v/>
      </c>
      <c r="AT346" s="3" t="str">
        <f t="shared" si="77"/>
        <v/>
      </c>
      <c r="AU346" s="4" t="str">
        <f t="shared" si="77"/>
        <v/>
      </c>
      <c r="AV346" s="4" t="str">
        <f t="shared" si="77"/>
        <v/>
      </c>
      <c r="AW346" s="4" t="str">
        <f t="shared" si="77"/>
        <v/>
      </c>
      <c r="AX346" s="4" t="str">
        <f t="shared" si="77"/>
        <v/>
      </c>
      <c r="AY346" s="4" t="str">
        <f t="shared" si="77"/>
        <v/>
      </c>
      <c r="AZ346" s="4" t="str">
        <f t="shared" si="77"/>
        <v/>
      </c>
      <c r="BA346" s="4" t="str">
        <f t="shared" si="77"/>
        <v/>
      </c>
      <c r="BB346" s="4" t="str">
        <f t="shared" si="74"/>
        <v/>
      </c>
      <c r="BC346" s="4" t="str">
        <f t="shared" si="80"/>
        <v/>
      </c>
      <c r="BD346" s="4" t="str">
        <f t="shared" si="80"/>
        <v/>
      </c>
      <c r="BE346" s="4" t="str">
        <f t="shared" si="80"/>
        <v/>
      </c>
      <c r="BF346" s="4" t="str">
        <f t="shared" si="80"/>
        <v/>
      </c>
      <c r="BG346" s="4" t="str">
        <f t="shared" si="80"/>
        <v/>
      </c>
      <c r="BH346" s="4" t="str">
        <f t="shared" si="80"/>
        <v/>
      </c>
      <c r="BI346" s="5" t="str">
        <f t="shared" si="80"/>
        <v/>
      </c>
    </row>
    <row r="347" spans="1:61" x14ac:dyDescent="0.25">
      <c r="A347">
        <v>115081</v>
      </c>
      <c r="B347" t="s">
        <v>14</v>
      </c>
      <c r="C347" t="s">
        <v>16</v>
      </c>
      <c r="D347">
        <v>63653</v>
      </c>
      <c r="E347">
        <v>1171</v>
      </c>
      <c r="F347">
        <v>5</v>
      </c>
      <c r="G347">
        <v>20112</v>
      </c>
      <c r="H347" t="s">
        <v>18</v>
      </c>
      <c r="I347">
        <v>1393292.17</v>
      </c>
      <c r="J347">
        <v>45708</v>
      </c>
      <c r="K347">
        <v>8830732.6699999999</v>
      </c>
      <c r="L347">
        <v>8594573.5</v>
      </c>
      <c r="M347">
        <v>236159.17</v>
      </c>
      <c r="N347" s="3" t="str">
        <f t="shared" si="75"/>
        <v/>
      </c>
      <c r="O347" s="4" t="str">
        <f t="shared" si="75"/>
        <v/>
      </c>
      <c r="P347" s="4" t="str">
        <f t="shared" si="75"/>
        <v/>
      </c>
      <c r="Q347" s="4" t="str">
        <f t="shared" si="75"/>
        <v/>
      </c>
      <c r="R347" s="4" t="str">
        <f t="shared" si="75"/>
        <v/>
      </c>
      <c r="S347" s="4" t="str">
        <f t="shared" si="75"/>
        <v/>
      </c>
      <c r="T347" s="4" t="str">
        <f t="shared" si="75"/>
        <v/>
      </c>
      <c r="U347" s="4" t="str">
        <f t="shared" si="75"/>
        <v/>
      </c>
      <c r="V347" s="4" t="str">
        <f t="shared" si="70"/>
        <v/>
      </c>
      <c r="W347" s="4">
        <f t="shared" si="78"/>
        <v>1</v>
      </c>
      <c r="X347" s="4" t="str">
        <f t="shared" si="78"/>
        <v/>
      </c>
      <c r="Y347" s="4" t="str">
        <f t="shared" si="78"/>
        <v/>
      </c>
      <c r="Z347" s="4" t="str">
        <f t="shared" si="78"/>
        <v/>
      </c>
      <c r="AA347" s="4" t="str">
        <f t="shared" si="78"/>
        <v/>
      </c>
      <c r="AB347" s="4" t="str">
        <f t="shared" si="78"/>
        <v/>
      </c>
      <c r="AC347" s="5" t="str">
        <f t="shared" si="78"/>
        <v/>
      </c>
      <c r="AD347" s="3" t="str">
        <f t="shared" si="76"/>
        <v/>
      </c>
      <c r="AE347" s="4" t="str">
        <f t="shared" si="76"/>
        <v/>
      </c>
      <c r="AF347" s="4" t="str">
        <f t="shared" si="76"/>
        <v/>
      </c>
      <c r="AG347" s="4" t="str">
        <f t="shared" si="76"/>
        <v/>
      </c>
      <c r="AH347" s="4" t="str">
        <f t="shared" si="76"/>
        <v/>
      </c>
      <c r="AI347" s="4" t="str">
        <f t="shared" si="76"/>
        <v/>
      </c>
      <c r="AJ347" s="4" t="str">
        <f t="shared" si="76"/>
        <v/>
      </c>
      <c r="AK347" s="4" t="str">
        <f t="shared" si="76"/>
        <v/>
      </c>
      <c r="AL347" s="4" t="str">
        <f t="shared" si="72"/>
        <v/>
      </c>
      <c r="AM347" s="4" t="str">
        <f t="shared" si="79"/>
        <v/>
      </c>
      <c r="AN347" s="4" t="str">
        <f t="shared" si="79"/>
        <v/>
      </c>
      <c r="AO347" s="4" t="str">
        <f t="shared" si="79"/>
        <v/>
      </c>
      <c r="AP347" s="4" t="str">
        <f t="shared" si="79"/>
        <v/>
      </c>
      <c r="AQ347" s="4" t="str">
        <f t="shared" si="79"/>
        <v/>
      </c>
      <c r="AR347" s="4" t="str">
        <f t="shared" si="79"/>
        <v/>
      </c>
      <c r="AS347" s="5" t="str">
        <f t="shared" si="79"/>
        <v/>
      </c>
      <c r="AT347" s="3" t="str">
        <f t="shared" si="77"/>
        <v/>
      </c>
      <c r="AU347" s="4" t="str">
        <f t="shared" si="77"/>
        <v/>
      </c>
      <c r="AV347" s="4" t="str">
        <f t="shared" si="77"/>
        <v/>
      </c>
      <c r="AW347" s="4" t="str">
        <f t="shared" si="77"/>
        <v/>
      </c>
      <c r="AX347" s="4" t="str">
        <f t="shared" si="77"/>
        <v/>
      </c>
      <c r="AY347" s="4" t="str">
        <f t="shared" si="77"/>
        <v/>
      </c>
      <c r="AZ347" s="4" t="str">
        <f t="shared" si="77"/>
        <v/>
      </c>
      <c r="BA347" s="4" t="str">
        <f t="shared" si="77"/>
        <v/>
      </c>
      <c r="BB347" s="4" t="str">
        <f t="shared" si="74"/>
        <v/>
      </c>
      <c r="BC347" s="4" t="str">
        <f t="shared" si="80"/>
        <v/>
      </c>
      <c r="BD347" s="4" t="str">
        <f t="shared" si="80"/>
        <v/>
      </c>
      <c r="BE347" s="4" t="str">
        <f t="shared" si="80"/>
        <v/>
      </c>
      <c r="BF347" s="4" t="str">
        <f t="shared" si="80"/>
        <v/>
      </c>
      <c r="BG347" s="4" t="str">
        <f t="shared" si="80"/>
        <v/>
      </c>
      <c r="BH347" s="4" t="str">
        <f t="shared" si="80"/>
        <v/>
      </c>
      <c r="BI347" s="5" t="str">
        <f t="shared" si="80"/>
        <v/>
      </c>
    </row>
    <row r="348" spans="1:61" x14ac:dyDescent="0.25">
      <c r="A348">
        <v>115082</v>
      </c>
      <c r="B348" t="s">
        <v>14</v>
      </c>
      <c r="C348" t="s">
        <v>16</v>
      </c>
      <c r="D348">
        <v>63653</v>
      </c>
      <c r="E348">
        <v>1171</v>
      </c>
      <c r="F348">
        <v>5</v>
      </c>
      <c r="G348">
        <v>20113</v>
      </c>
      <c r="H348" t="s">
        <v>18</v>
      </c>
      <c r="I348">
        <v>1355278.9979999999</v>
      </c>
      <c r="J348">
        <v>44502</v>
      </c>
      <c r="K348">
        <v>8578007.5500000007</v>
      </c>
      <c r="L348">
        <v>8302203.0300000003</v>
      </c>
      <c r="M348">
        <v>275804.52</v>
      </c>
      <c r="N348" s="3" t="str">
        <f t="shared" si="75"/>
        <v/>
      </c>
      <c r="O348" s="4" t="str">
        <f t="shared" si="75"/>
        <v/>
      </c>
      <c r="P348" s="4" t="str">
        <f t="shared" si="75"/>
        <v/>
      </c>
      <c r="Q348" s="4" t="str">
        <f t="shared" si="75"/>
        <v/>
      </c>
      <c r="R348" s="4" t="str">
        <f t="shared" si="75"/>
        <v/>
      </c>
      <c r="S348" s="4" t="str">
        <f t="shared" si="75"/>
        <v/>
      </c>
      <c r="T348" s="4" t="str">
        <f t="shared" si="75"/>
        <v/>
      </c>
      <c r="U348" s="4" t="str">
        <f t="shared" si="75"/>
        <v/>
      </c>
      <c r="V348" s="4" t="str">
        <f t="shared" si="70"/>
        <v/>
      </c>
      <c r="W348" s="4" t="str">
        <f t="shared" si="78"/>
        <v/>
      </c>
      <c r="X348" s="4">
        <f t="shared" si="78"/>
        <v>1</v>
      </c>
      <c r="Y348" s="4" t="str">
        <f t="shared" si="78"/>
        <v/>
      </c>
      <c r="Z348" s="4" t="str">
        <f t="shared" si="78"/>
        <v/>
      </c>
      <c r="AA348" s="4" t="str">
        <f t="shared" si="78"/>
        <v/>
      </c>
      <c r="AB348" s="4" t="str">
        <f t="shared" si="78"/>
        <v/>
      </c>
      <c r="AC348" s="5" t="str">
        <f t="shared" si="78"/>
        <v/>
      </c>
      <c r="AD348" s="3" t="str">
        <f t="shared" si="76"/>
        <v/>
      </c>
      <c r="AE348" s="4" t="str">
        <f t="shared" si="76"/>
        <v/>
      </c>
      <c r="AF348" s="4" t="str">
        <f t="shared" si="76"/>
        <v/>
      </c>
      <c r="AG348" s="4" t="str">
        <f t="shared" si="76"/>
        <v/>
      </c>
      <c r="AH348" s="4" t="str">
        <f t="shared" si="76"/>
        <v/>
      </c>
      <c r="AI348" s="4" t="str">
        <f t="shared" si="76"/>
        <v/>
      </c>
      <c r="AJ348" s="4" t="str">
        <f t="shared" si="76"/>
        <v/>
      </c>
      <c r="AK348" s="4" t="str">
        <f t="shared" si="76"/>
        <v/>
      </c>
      <c r="AL348" s="4" t="str">
        <f t="shared" si="72"/>
        <v/>
      </c>
      <c r="AM348" s="4" t="str">
        <f t="shared" si="79"/>
        <v/>
      </c>
      <c r="AN348" s="4" t="str">
        <f t="shared" si="79"/>
        <v/>
      </c>
      <c r="AO348" s="4" t="str">
        <f t="shared" si="79"/>
        <v/>
      </c>
      <c r="AP348" s="4" t="str">
        <f t="shared" si="79"/>
        <v/>
      </c>
      <c r="AQ348" s="4" t="str">
        <f t="shared" si="79"/>
        <v/>
      </c>
      <c r="AR348" s="4" t="str">
        <f t="shared" si="79"/>
        <v/>
      </c>
      <c r="AS348" s="5" t="str">
        <f t="shared" si="79"/>
        <v/>
      </c>
      <c r="AT348" s="3" t="str">
        <f t="shared" si="77"/>
        <v/>
      </c>
      <c r="AU348" s="4" t="str">
        <f t="shared" si="77"/>
        <v/>
      </c>
      <c r="AV348" s="4" t="str">
        <f t="shared" si="77"/>
        <v/>
      </c>
      <c r="AW348" s="4" t="str">
        <f t="shared" si="77"/>
        <v/>
      </c>
      <c r="AX348" s="4" t="str">
        <f t="shared" si="77"/>
        <v/>
      </c>
      <c r="AY348" s="4" t="str">
        <f t="shared" si="77"/>
        <v/>
      </c>
      <c r="AZ348" s="4" t="str">
        <f t="shared" si="77"/>
        <v/>
      </c>
      <c r="BA348" s="4" t="str">
        <f t="shared" si="77"/>
        <v/>
      </c>
      <c r="BB348" s="4" t="str">
        <f t="shared" si="74"/>
        <v/>
      </c>
      <c r="BC348" s="4" t="str">
        <f t="shared" si="80"/>
        <v/>
      </c>
      <c r="BD348" s="4" t="str">
        <f t="shared" si="80"/>
        <v/>
      </c>
      <c r="BE348" s="4" t="str">
        <f t="shared" si="80"/>
        <v/>
      </c>
      <c r="BF348" s="4" t="str">
        <f t="shared" si="80"/>
        <v/>
      </c>
      <c r="BG348" s="4" t="str">
        <f t="shared" si="80"/>
        <v/>
      </c>
      <c r="BH348" s="4" t="str">
        <f t="shared" si="80"/>
        <v/>
      </c>
      <c r="BI348" s="5" t="str">
        <f t="shared" si="80"/>
        <v/>
      </c>
    </row>
    <row r="349" spans="1:61" x14ac:dyDescent="0.25">
      <c r="A349">
        <v>115083</v>
      </c>
      <c r="B349" t="s">
        <v>14</v>
      </c>
      <c r="C349" t="s">
        <v>16</v>
      </c>
      <c r="D349">
        <v>63653</v>
      </c>
      <c r="E349">
        <v>1171</v>
      </c>
      <c r="F349">
        <v>5</v>
      </c>
      <c r="G349">
        <v>20114</v>
      </c>
      <c r="H349" t="s">
        <v>18</v>
      </c>
      <c r="I349">
        <v>1114035.051</v>
      </c>
      <c r="J349">
        <v>36950</v>
      </c>
      <c r="K349">
        <v>7067574.7800000003</v>
      </c>
      <c r="L349">
        <v>6799623.4199999999</v>
      </c>
      <c r="M349">
        <v>267951.35999999999</v>
      </c>
      <c r="N349" s="3" t="str">
        <f t="shared" si="75"/>
        <v/>
      </c>
      <c r="O349" s="4" t="str">
        <f t="shared" si="75"/>
        <v/>
      </c>
      <c r="P349" s="4" t="str">
        <f t="shared" si="75"/>
        <v/>
      </c>
      <c r="Q349" s="4" t="str">
        <f t="shared" si="75"/>
        <v/>
      </c>
      <c r="R349" s="4" t="str">
        <f t="shared" si="75"/>
        <v/>
      </c>
      <c r="S349" s="4" t="str">
        <f t="shared" si="75"/>
        <v/>
      </c>
      <c r="T349" s="4" t="str">
        <f t="shared" si="75"/>
        <v/>
      </c>
      <c r="U349" s="4" t="str">
        <f t="shared" si="75"/>
        <v/>
      </c>
      <c r="V349" s="4" t="str">
        <f t="shared" si="70"/>
        <v/>
      </c>
      <c r="W349" s="4" t="str">
        <f t="shared" si="78"/>
        <v/>
      </c>
      <c r="X349" s="4" t="str">
        <f t="shared" si="78"/>
        <v/>
      </c>
      <c r="Y349" s="4">
        <f t="shared" si="78"/>
        <v>1</v>
      </c>
      <c r="Z349" s="4" t="str">
        <f t="shared" si="78"/>
        <v/>
      </c>
      <c r="AA349" s="4" t="str">
        <f t="shared" si="78"/>
        <v/>
      </c>
      <c r="AB349" s="4" t="str">
        <f t="shared" si="78"/>
        <v/>
      </c>
      <c r="AC349" s="5" t="str">
        <f t="shared" si="78"/>
        <v/>
      </c>
      <c r="AD349" s="3" t="str">
        <f t="shared" si="76"/>
        <v/>
      </c>
      <c r="AE349" s="4" t="str">
        <f t="shared" si="76"/>
        <v/>
      </c>
      <c r="AF349" s="4" t="str">
        <f t="shared" si="76"/>
        <v/>
      </c>
      <c r="AG349" s="4" t="str">
        <f t="shared" si="76"/>
        <v/>
      </c>
      <c r="AH349" s="4" t="str">
        <f t="shared" si="76"/>
        <v/>
      </c>
      <c r="AI349" s="4" t="str">
        <f t="shared" si="76"/>
        <v/>
      </c>
      <c r="AJ349" s="4" t="str">
        <f t="shared" si="76"/>
        <v/>
      </c>
      <c r="AK349" s="4" t="str">
        <f t="shared" si="76"/>
        <v/>
      </c>
      <c r="AL349" s="4" t="str">
        <f t="shared" si="72"/>
        <v/>
      </c>
      <c r="AM349" s="4" t="str">
        <f t="shared" si="79"/>
        <v/>
      </c>
      <c r="AN349" s="4" t="str">
        <f t="shared" si="79"/>
        <v/>
      </c>
      <c r="AO349" s="4" t="str">
        <f t="shared" si="79"/>
        <v/>
      </c>
      <c r="AP349" s="4" t="str">
        <f t="shared" si="79"/>
        <v/>
      </c>
      <c r="AQ349" s="4" t="str">
        <f t="shared" si="79"/>
        <v/>
      </c>
      <c r="AR349" s="4" t="str">
        <f t="shared" si="79"/>
        <v/>
      </c>
      <c r="AS349" s="5" t="str">
        <f t="shared" si="79"/>
        <v/>
      </c>
      <c r="AT349" s="3" t="str">
        <f t="shared" si="77"/>
        <v/>
      </c>
      <c r="AU349" s="4" t="str">
        <f t="shared" si="77"/>
        <v/>
      </c>
      <c r="AV349" s="4" t="str">
        <f t="shared" si="77"/>
        <v/>
      </c>
      <c r="AW349" s="4" t="str">
        <f t="shared" si="77"/>
        <v/>
      </c>
      <c r="AX349" s="4" t="str">
        <f t="shared" si="77"/>
        <v/>
      </c>
      <c r="AY349" s="4" t="str">
        <f t="shared" si="77"/>
        <v/>
      </c>
      <c r="AZ349" s="4" t="str">
        <f t="shared" si="77"/>
        <v/>
      </c>
      <c r="BA349" s="4" t="str">
        <f t="shared" si="77"/>
        <v/>
      </c>
      <c r="BB349" s="4" t="str">
        <f t="shared" si="74"/>
        <v/>
      </c>
      <c r="BC349" s="4" t="str">
        <f t="shared" si="80"/>
        <v/>
      </c>
      <c r="BD349" s="4" t="str">
        <f t="shared" si="80"/>
        <v/>
      </c>
      <c r="BE349" s="4" t="str">
        <f t="shared" si="80"/>
        <v/>
      </c>
      <c r="BF349" s="4" t="str">
        <f t="shared" si="80"/>
        <v/>
      </c>
      <c r="BG349" s="4" t="str">
        <f t="shared" si="80"/>
        <v/>
      </c>
      <c r="BH349" s="4" t="str">
        <f t="shared" si="80"/>
        <v/>
      </c>
      <c r="BI349" s="5" t="str">
        <f t="shared" si="80"/>
        <v/>
      </c>
    </row>
    <row r="350" spans="1:61" x14ac:dyDescent="0.25">
      <c r="A350">
        <v>115084</v>
      </c>
      <c r="B350" t="s">
        <v>14</v>
      </c>
      <c r="C350" t="s">
        <v>16</v>
      </c>
      <c r="D350">
        <v>63653</v>
      </c>
      <c r="E350">
        <v>1171</v>
      </c>
      <c r="F350">
        <v>6</v>
      </c>
      <c r="G350">
        <v>20111</v>
      </c>
      <c r="H350" t="s">
        <v>18</v>
      </c>
      <c r="I350">
        <v>5497176.6320000002</v>
      </c>
      <c r="J350">
        <v>169469</v>
      </c>
      <c r="K350">
        <v>32675144.510000002</v>
      </c>
      <c r="L350">
        <v>32201276.07</v>
      </c>
      <c r="M350">
        <v>473868.44</v>
      </c>
      <c r="N350" s="3" t="str">
        <f t="shared" si="75"/>
        <v/>
      </c>
      <c r="O350" s="4" t="str">
        <f t="shared" si="75"/>
        <v/>
      </c>
      <c r="P350" s="4" t="str">
        <f t="shared" si="75"/>
        <v/>
      </c>
      <c r="Q350" s="4" t="str">
        <f t="shared" si="75"/>
        <v/>
      </c>
      <c r="R350" s="4" t="str">
        <f t="shared" si="75"/>
        <v/>
      </c>
      <c r="S350" s="4" t="str">
        <f t="shared" si="75"/>
        <v/>
      </c>
      <c r="T350" s="4" t="str">
        <f t="shared" si="75"/>
        <v/>
      </c>
      <c r="U350" s="4" t="str">
        <f t="shared" si="75"/>
        <v/>
      </c>
      <c r="V350" s="4">
        <f t="shared" si="70"/>
        <v>1</v>
      </c>
      <c r="W350" s="4" t="str">
        <f t="shared" si="78"/>
        <v/>
      </c>
      <c r="X350" s="4" t="str">
        <f t="shared" si="78"/>
        <v/>
      </c>
      <c r="Y350" s="4" t="str">
        <f t="shared" si="78"/>
        <v/>
      </c>
      <c r="Z350" s="4" t="str">
        <f t="shared" si="78"/>
        <v/>
      </c>
      <c r="AA350" s="4" t="str">
        <f t="shared" si="78"/>
        <v/>
      </c>
      <c r="AB350" s="4" t="str">
        <f t="shared" si="78"/>
        <v/>
      </c>
      <c r="AC350" s="5" t="str">
        <f t="shared" si="78"/>
        <v/>
      </c>
      <c r="AD350" s="3" t="str">
        <f t="shared" si="76"/>
        <v/>
      </c>
      <c r="AE350" s="4" t="str">
        <f t="shared" si="76"/>
        <v/>
      </c>
      <c r="AF350" s="4" t="str">
        <f t="shared" si="76"/>
        <v/>
      </c>
      <c r="AG350" s="4" t="str">
        <f t="shared" si="76"/>
        <v/>
      </c>
      <c r="AH350" s="4" t="str">
        <f t="shared" si="76"/>
        <v/>
      </c>
      <c r="AI350" s="4" t="str">
        <f t="shared" si="76"/>
        <v/>
      </c>
      <c r="AJ350" s="4" t="str">
        <f t="shared" si="76"/>
        <v/>
      </c>
      <c r="AK350" s="4" t="str">
        <f t="shared" si="76"/>
        <v/>
      </c>
      <c r="AL350" s="4" t="str">
        <f t="shared" si="72"/>
        <v/>
      </c>
      <c r="AM350" s="4" t="str">
        <f t="shared" si="79"/>
        <v/>
      </c>
      <c r="AN350" s="4" t="str">
        <f t="shared" si="79"/>
        <v/>
      </c>
      <c r="AO350" s="4" t="str">
        <f t="shared" si="79"/>
        <v/>
      </c>
      <c r="AP350" s="4" t="str">
        <f t="shared" si="79"/>
        <v/>
      </c>
      <c r="AQ350" s="4" t="str">
        <f t="shared" si="79"/>
        <v/>
      </c>
      <c r="AR350" s="4" t="str">
        <f t="shared" si="79"/>
        <v/>
      </c>
      <c r="AS350" s="5" t="str">
        <f t="shared" si="79"/>
        <v/>
      </c>
      <c r="AT350" s="3" t="str">
        <f t="shared" si="77"/>
        <v/>
      </c>
      <c r="AU350" s="4" t="str">
        <f t="shared" si="77"/>
        <v/>
      </c>
      <c r="AV350" s="4" t="str">
        <f t="shared" si="77"/>
        <v/>
      </c>
      <c r="AW350" s="4" t="str">
        <f t="shared" si="77"/>
        <v/>
      </c>
      <c r="AX350" s="4" t="str">
        <f t="shared" si="77"/>
        <v/>
      </c>
      <c r="AY350" s="4" t="str">
        <f t="shared" si="77"/>
        <v/>
      </c>
      <c r="AZ350" s="4" t="str">
        <f t="shared" si="77"/>
        <v/>
      </c>
      <c r="BA350" s="4" t="str">
        <f t="shared" si="77"/>
        <v/>
      </c>
      <c r="BB350" s="4" t="str">
        <f t="shared" si="74"/>
        <v/>
      </c>
      <c r="BC350" s="4" t="str">
        <f t="shared" si="80"/>
        <v/>
      </c>
      <c r="BD350" s="4" t="str">
        <f t="shared" si="80"/>
        <v/>
      </c>
      <c r="BE350" s="4" t="str">
        <f t="shared" si="80"/>
        <v/>
      </c>
      <c r="BF350" s="4" t="str">
        <f t="shared" si="80"/>
        <v/>
      </c>
      <c r="BG350" s="4" t="str">
        <f t="shared" si="80"/>
        <v/>
      </c>
      <c r="BH350" s="4" t="str">
        <f t="shared" si="80"/>
        <v/>
      </c>
      <c r="BI350" s="5" t="str">
        <f t="shared" si="80"/>
        <v/>
      </c>
    </row>
    <row r="351" spans="1:61" x14ac:dyDescent="0.25">
      <c r="A351">
        <v>115085</v>
      </c>
      <c r="B351" t="s">
        <v>14</v>
      </c>
      <c r="C351" t="s">
        <v>16</v>
      </c>
      <c r="D351">
        <v>63653</v>
      </c>
      <c r="E351">
        <v>1171</v>
      </c>
      <c r="F351">
        <v>6</v>
      </c>
      <c r="G351">
        <v>20112</v>
      </c>
      <c r="H351" t="s">
        <v>18</v>
      </c>
      <c r="I351">
        <v>5401835.7359999996</v>
      </c>
      <c r="J351">
        <v>164750</v>
      </c>
      <c r="K351">
        <v>34078336.159999996</v>
      </c>
      <c r="L351">
        <v>33587694.920000002</v>
      </c>
      <c r="M351">
        <v>490641.24</v>
      </c>
      <c r="N351" s="3" t="str">
        <f t="shared" si="75"/>
        <v/>
      </c>
      <c r="O351" s="4" t="str">
        <f t="shared" si="75"/>
        <v/>
      </c>
      <c r="P351" s="4" t="str">
        <f t="shared" si="75"/>
        <v/>
      </c>
      <c r="Q351" s="4" t="str">
        <f t="shared" si="75"/>
        <v/>
      </c>
      <c r="R351" s="4" t="str">
        <f t="shared" si="75"/>
        <v/>
      </c>
      <c r="S351" s="4" t="str">
        <f t="shared" si="75"/>
        <v/>
      </c>
      <c r="T351" s="4" t="str">
        <f t="shared" si="75"/>
        <v/>
      </c>
      <c r="U351" s="4" t="str">
        <f t="shared" si="75"/>
        <v/>
      </c>
      <c r="V351" s="4" t="str">
        <f t="shared" si="70"/>
        <v/>
      </c>
      <c r="W351" s="4">
        <f t="shared" si="78"/>
        <v>1</v>
      </c>
      <c r="X351" s="4" t="str">
        <f t="shared" si="78"/>
        <v/>
      </c>
      <c r="Y351" s="4" t="str">
        <f t="shared" si="78"/>
        <v/>
      </c>
      <c r="Z351" s="4" t="str">
        <f t="shared" si="78"/>
        <v/>
      </c>
      <c r="AA351" s="4" t="str">
        <f t="shared" si="78"/>
        <v/>
      </c>
      <c r="AB351" s="4" t="str">
        <f t="shared" si="78"/>
        <v/>
      </c>
      <c r="AC351" s="5" t="str">
        <f t="shared" si="78"/>
        <v/>
      </c>
      <c r="AD351" s="3" t="str">
        <f t="shared" si="76"/>
        <v/>
      </c>
      <c r="AE351" s="4" t="str">
        <f t="shared" si="76"/>
        <v/>
      </c>
      <c r="AF351" s="4" t="str">
        <f t="shared" si="76"/>
        <v/>
      </c>
      <c r="AG351" s="4" t="str">
        <f t="shared" si="76"/>
        <v/>
      </c>
      <c r="AH351" s="4" t="str">
        <f t="shared" si="76"/>
        <v/>
      </c>
      <c r="AI351" s="4" t="str">
        <f t="shared" si="76"/>
        <v/>
      </c>
      <c r="AJ351" s="4" t="str">
        <f t="shared" si="76"/>
        <v/>
      </c>
      <c r="AK351" s="4" t="str">
        <f t="shared" si="76"/>
        <v/>
      </c>
      <c r="AL351" s="4" t="str">
        <f t="shared" si="72"/>
        <v/>
      </c>
      <c r="AM351" s="4" t="str">
        <f t="shared" si="79"/>
        <v/>
      </c>
      <c r="AN351" s="4" t="str">
        <f t="shared" si="79"/>
        <v/>
      </c>
      <c r="AO351" s="4" t="str">
        <f t="shared" si="79"/>
        <v/>
      </c>
      <c r="AP351" s="4" t="str">
        <f t="shared" si="79"/>
        <v/>
      </c>
      <c r="AQ351" s="4" t="str">
        <f t="shared" si="79"/>
        <v/>
      </c>
      <c r="AR351" s="4" t="str">
        <f t="shared" si="79"/>
        <v/>
      </c>
      <c r="AS351" s="5" t="str">
        <f t="shared" si="79"/>
        <v/>
      </c>
      <c r="AT351" s="3" t="str">
        <f t="shared" si="77"/>
        <v/>
      </c>
      <c r="AU351" s="4" t="str">
        <f t="shared" si="77"/>
        <v/>
      </c>
      <c r="AV351" s="4" t="str">
        <f t="shared" si="77"/>
        <v/>
      </c>
      <c r="AW351" s="4" t="str">
        <f t="shared" si="77"/>
        <v/>
      </c>
      <c r="AX351" s="4" t="str">
        <f t="shared" si="77"/>
        <v/>
      </c>
      <c r="AY351" s="4" t="str">
        <f t="shared" si="77"/>
        <v/>
      </c>
      <c r="AZ351" s="4" t="str">
        <f t="shared" si="77"/>
        <v/>
      </c>
      <c r="BA351" s="4" t="str">
        <f t="shared" si="77"/>
        <v/>
      </c>
      <c r="BB351" s="4" t="str">
        <f t="shared" si="74"/>
        <v/>
      </c>
      <c r="BC351" s="4" t="str">
        <f t="shared" si="80"/>
        <v/>
      </c>
      <c r="BD351" s="4" t="str">
        <f t="shared" si="80"/>
        <v/>
      </c>
      <c r="BE351" s="4" t="str">
        <f t="shared" si="80"/>
        <v/>
      </c>
      <c r="BF351" s="4" t="str">
        <f t="shared" si="80"/>
        <v/>
      </c>
      <c r="BG351" s="4" t="str">
        <f t="shared" si="80"/>
        <v/>
      </c>
      <c r="BH351" s="4" t="str">
        <f t="shared" si="80"/>
        <v/>
      </c>
      <c r="BI351" s="5" t="str">
        <f t="shared" si="80"/>
        <v/>
      </c>
    </row>
    <row r="352" spans="1:61" x14ac:dyDescent="0.25">
      <c r="A352">
        <v>115086</v>
      </c>
      <c r="B352" t="s">
        <v>14</v>
      </c>
      <c r="C352" t="s">
        <v>16</v>
      </c>
      <c r="D352">
        <v>63653</v>
      </c>
      <c r="E352">
        <v>1171</v>
      </c>
      <c r="F352">
        <v>6</v>
      </c>
      <c r="G352">
        <v>20113</v>
      </c>
      <c r="H352" t="s">
        <v>18</v>
      </c>
      <c r="I352">
        <v>4850747.7589999996</v>
      </c>
      <c r="J352">
        <v>146721</v>
      </c>
      <c r="K352">
        <v>30535906.010000002</v>
      </c>
      <c r="L352">
        <v>30090587.780000001</v>
      </c>
      <c r="M352">
        <v>445318.23</v>
      </c>
      <c r="N352" s="3" t="str">
        <f t="shared" si="75"/>
        <v/>
      </c>
      <c r="O352" s="4" t="str">
        <f t="shared" si="75"/>
        <v/>
      </c>
      <c r="P352" s="4" t="str">
        <f t="shared" si="75"/>
        <v/>
      </c>
      <c r="Q352" s="4" t="str">
        <f t="shared" si="75"/>
        <v/>
      </c>
      <c r="R352" s="4" t="str">
        <f t="shared" si="75"/>
        <v/>
      </c>
      <c r="S352" s="4" t="str">
        <f t="shared" si="75"/>
        <v/>
      </c>
      <c r="T352" s="4" t="str">
        <f t="shared" si="75"/>
        <v/>
      </c>
      <c r="U352" s="4" t="str">
        <f t="shared" si="75"/>
        <v/>
      </c>
      <c r="V352" s="4" t="str">
        <f t="shared" si="70"/>
        <v/>
      </c>
      <c r="W352" s="4" t="str">
        <f t="shared" si="78"/>
        <v/>
      </c>
      <c r="X352" s="4">
        <f t="shared" si="78"/>
        <v>1</v>
      </c>
      <c r="Y352" s="4" t="str">
        <f t="shared" si="78"/>
        <v/>
      </c>
      <c r="Z352" s="4" t="str">
        <f t="shared" si="78"/>
        <v/>
      </c>
      <c r="AA352" s="4" t="str">
        <f t="shared" si="78"/>
        <v/>
      </c>
      <c r="AB352" s="4" t="str">
        <f t="shared" si="78"/>
        <v/>
      </c>
      <c r="AC352" s="5" t="str">
        <f t="shared" si="78"/>
        <v/>
      </c>
      <c r="AD352" s="3" t="str">
        <f t="shared" si="76"/>
        <v/>
      </c>
      <c r="AE352" s="4" t="str">
        <f t="shared" si="76"/>
        <v/>
      </c>
      <c r="AF352" s="4" t="str">
        <f t="shared" si="76"/>
        <v/>
      </c>
      <c r="AG352" s="4" t="str">
        <f t="shared" si="76"/>
        <v/>
      </c>
      <c r="AH352" s="4" t="str">
        <f t="shared" si="76"/>
        <v/>
      </c>
      <c r="AI352" s="4" t="str">
        <f t="shared" si="76"/>
        <v/>
      </c>
      <c r="AJ352" s="4" t="str">
        <f t="shared" si="76"/>
        <v/>
      </c>
      <c r="AK352" s="4" t="str">
        <f t="shared" si="76"/>
        <v/>
      </c>
      <c r="AL352" s="4" t="str">
        <f t="shared" si="72"/>
        <v/>
      </c>
      <c r="AM352" s="4" t="str">
        <f t="shared" si="79"/>
        <v/>
      </c>
      <c r="AN352" s="4" t="str">
        <f t="shared" si="79"/>
        <v/>
      </c>
      <c r="AO352" s="4" t="str">
        <f t="shared" si="79"/>
        <v/>
      </c>
      <c r="AP352" s="4" t="str">
        <f t="shared" si="79"/>
        <v/>
      </c>
      <c r="AQ352" s="4" t="str">
        <f t="shared" si="79"/>
        <v/>
      </c>
      <c r="AR352" s="4" t="str">
        <f t="shared" si="79"/>
        <v/>
      </c>
      <c r="AS352" s="5" t="str">
        <f t="shared" si="79"/>
        <v/>
      </c>
      <c r="AT352" s="3" t="str">
        <f t="shared" si="77"/>
        <v/>
      </c>
      <c r="AU352" s="4" t="str">
        <f t="shared" si="77"/>
        <v/>
      </c>
      <c r="AV352" s="4" t="str">
        <f t="shared" si="77"/>
        <v/>
      </c>
      <c r="AW352" s="4" t="str">
        <f t="shared" si="77"/>
        <v/>
      </c>
      <c r="AX352" s="4" t="str">
        <f t="shared" si="77"/>
        <v/>
      </c>
      <c r="AY352" s="4" t="str">
        <f t="shared" si="77"/>
        <v/>
      </c>
      <c r="AZ352" s="4" t="str">
        <f t="shared" si="77"/>
        <v/>
      </c>
      <c r="BA352" s="4" t="str">
        <f t="shared" si="77"/>
        <v/>
      </c>
      <c r="BB352" s="4" t="str">
        <f t="shared" si="74"/>
        <v/>
      </c>
      <c r="BC352" s="4" t="str">
        <f t="shared" si="80"/>
        <v/>
      </c>
      <c r="BD352" s="4" t="str">
        <f t="shared" si="80"/>
        <v/>
      </c>
      <c r="BE352" s="4" t="str">
        <f t="shared" si="80"/>
        <v/>
      </c>
      <c r="BF352" s="4" t="str">
        <f t="shared" si="80"/>
        <v/>
      </c>
      <c r="BG352" s="4" t="str">
        <f t="shared" si="80"/>
        <v/>
      </c>
      <c r="BH352" s="4" t="str">
        <f t="shared" si="80"/>
        <v/>
      </c>
      <c r="BI352" s="5" t="str">
        <f t="shared" si="80"/>
        <v/>
      </c>
    </row>
    <row r="353" spans="1:61" x14ac:dyDescent="0.25">
      <c r="A353">
        <v>115087</v>
      </c>
      <c r="B353" t="s">
        <v>14</v>
      </c>
      <c r="C353" t="s">
        <v>16</v>
      </c>
      <c r="D353">
        <v>63653</v>
      </c>
      <c r="E353">
        <v>1171</v>
      </c>
      <c r="F353">
        <v>6</v>
      </c>
      <c r="G353">
        <v>20114</v>
      </c>
      <c r="H353" t="s">
        <v>18</v>
      </c>
      <c r="I353">
        <v>3689978.0279999999</v>
      </c>
      <c r="J353">
        <v>113364</v>
      </c>
      <c r="K353">
        <v>23420274.760000002</v>
      </c>
      <c r="L353">
        <v>22949050.629999999</v>
      </c>
      <c r="M353">
        <v>471224.13</v>
      </c>
      <c r="N353" s="3" t="str">
        <f t="shared" si="75"/>
        <v/>
      </c>
      <c r="O353" s="4" t="str">
        <f t="shared" si="75"/>
        <v/>
      </c>
      <c r="P353" s="4" t="str">
        <f t="shared" si="75"/>
        <v/>
      </c>
      <c r="Q353" s="4" t="str">
        <f t="shared" si="75"/>
        <v/>
      </c>
      <c r="R353" s="4" t="str">
        <f t="shared" si="75"/>
        <v/>
      </c>
      <c r="S353" s="4" t="str">
        <f t="shared" si="75"/>
        <v/>
      </c>
      <c r="T353" s="4" t="str">
        <f t="shared" si="75"/>
        <v/>
      </c>
      <c r="U353" s="4" t="str">
        <f t="shared" si="75"/>
        <v/>
      </c>
      <c r="V353" s="4" t="str">
        <f t="shared" si="70"/>
        <v/>
      </c>
      <c r="W353" s="4" t="str">
        <f t="shared" si="78"/>
        <v/>
      </c>
      <c r="X353" s="4" t="str">
        <f t="shared" si="78"/>
        <v/>
      </c>
      <c r="Y353" s="4">
        <f t="shared" si="78"/>
        <v>1</v>
      </c>
      <c r="Z353" s="4" t="str">
        <f t="shared" si="78"/>
        <v/>
      </c>
      <c r="AA353" s="4" t="str">
        <f t="shared" si="78"/>
        <v/>
      </c>
      <c r="AB353" s="4" t="str">
        <f t="shared" si="78"/>
        <v/>
      </c>
      <c r="AC353" s="5" t="str">
        <f t="shared" si="78"/>
        <v/>
      </c>
      <c r="AD353" s="3" t="str">
        <f t="shared" si="76"/>
        <v/>
      </c>
      <c r="AE353" s="4" t="str">
        <f t="shared" si="76"/>
        <v/>
      </c>
      <c r="AF353" s="4" t="str">
        <f t="shared" si="76"/>
        <v/>
      </c>
      <c r="AG353" s="4" t="str">
        <f t="shared" si="76"/>
        <v/>
      </c>
      <c r="AH353" s="4" t="str">
        <f t="shared" si="76"/>
        <v/>
      </c>
      <c r="AI353" s="4" t="str">
        <f t="shared" si="76"/>
        <v/>
      </c>
      <c r="AJ353" s="4" t="str">
        <f t="shared" si="76"/>
        <v/>
      </c>
      <c r="AK353" s="4" t="str">
        <f t="shared" si="76"/>
        <v/>
      </c>
      <c r="AL353" s="4" t="str">
        <f t="shared" si="72"/>
        <v/>
      </c>
      <c r="AM353" s="4" t="str">
        <f t="shared" si="79"/>
        <v/>
      </c>
      <c r="AN353" s="4" t="str">
        <f t="shared" si="79"/>
        <v/>
      </c>
      <c r="AO353" s="4" t="str">
        <f t="shared" si="79"/>
        <v/>
      </c>
      <c r="AP353" s="4" t="str">
        <f t="shared" si="79"/>
        <v/>
      </c>
      <c r="AQ353" s="4" t="str">
        <f t="shared" si="79"/>
        <v/>
      </c>
      <c r="AR353" s="4" t="str">
        <f t="shared" si="79"/>
        <v/>
      </c>
      <c r="AS353" s="5" t="str">
        <f t="shared" si="79"/>
        <v/>
      </c>
      <c r="AT353" s="3" t="str">
        <f t="shared" si="77"/>
        <v/>
      </c>
      <c r="AU353" s="4" t="str">
        <f t="shared" si="77"/>
        <v/>
      </c>
      <c r="AV353" s="4" t="str">
        <f t="shared" si="77"/>
        <v/>
      </c>
      <c r="AW353" s="4" t="str">
        <f t="shared" si="77"/>
        <v/>
      </c>
      <c r="AX353" s="4" t="str">
        <f t="shared" si="77"/>
        <v/>
      </c>
      <c r="AY353" s="4" t="str">
        <f t="shared" si="77"/>
        <v/>
      </c>
      <c r="AZ353" s="4" t="str">
        <f t="shared" si="77"/>
        <v/>
      </c>
      <c r="BA353" s="4" t="str">
        <f t="shared" si="77"/>
        <v/>
      </c>
      <c r="BB353" s="4" t="str">
        <f t="shared" si="74"/>
        <v/>
      </c>
      <c r="BC353" s="4" t="str">
        <f t="shared" si="80"/>
        <v/>
      </c>
      <c r="BD353" s="4" t="str">
        <f t="shared" si="80"/>
        <v/>
      </c>
      <c r="BE353" s="4" t="str">
        <f t="shared" si="80"/>
        <v/>
      </c>
      <c r="BF353" s="4" t="str">
        <f t="shared" si="80"/>
        <v/>
      </c>
      <c r="BG353" s="4" t="str">
        <f t="shared" si="80"/>
        <v/>
      </c>
      <c r="BH353" s="4" t="str">
        <f t="shared" si="80"/>
        <v/>
      </c>
      <c r="BI353" s="5" t="str">
        <f t="shared" si="80"/>
        <v/>
      </c>
    </row>
    <row r="354" spans="1:61" x14ac:dyDescent="0.25">
      <c r="A354">
        <v>115088</v>
      </c>
      <c r="B354" t="s">
        <v>14</v>
      </c>
      <c r="C354" t="s">
        <v>16</v>
      </c>
      <c r="D354">
        <v>63653</v>
      </c>
      <c r="E354">
        <v>1171</v>
      </c>
      <c r="F354">
        <v>36</v>
      </c>
      <c r="G354">
        <v>20111</v>
      </c>
      <c r="H354" t="s">
        <v>19</v>
      </c>
      <c r="I354">
        <v>1</v>
      </c>
      <c r="J354">
        <v>1</v>
      </c>
      <c r="K354">
        <v>8.1199999999999992</v>
      </c>
      <c r="L354">
        <v>8.1199999999999992</v>
      </c>
      <c r="M354">
        <v>0</v>
      </c>
      <c r="N354" s="3" t="str">
        <f t="shared" si="75"/>
        <v/>
      </c>
      <c r="O354" s="4" t="str">
        <f t="shared" si="75"/>
        <v/>
      </c>
      <c r="P354" s="4" t="str">
        <f t="shared" si="75"/>
        <v/>
      </c>
      <c r="Q354" s="4" t="str">
        <f t="shared" si="75"/>
        <v/>
      </c>
      <c r="R354" s="4" t="str">
        <f t="shared" si="75"/>
        <v/>
      </c>
      <c r="S354" s="4" t="str">
        <f t="shared" si="75"/>
        <v/>
      </c>
      <c r="T354" s="4" t="str">
        <f t="shared" si="75"/>
        <v/>
      </c>
      <c r="U354" s="4" t="str">
        <f t="shared" si="75"/>
        <v/>
      </c>
      <c r="V354" s="4" t="str">
        <f t="shared" si="70"/>
        <v/>
      </c>
      <c r="W354" s="4" t="str">
        <f t="shared" si="78"/>
        <v/>
      </c>
      <c r="X354" s="4" t="str">
        <f t="shared" si="78"/>
        <v/>
      </c>
      <c r="Y354" s="4" t="str">
        <f t="shared" si="78"/>
        <v/>
      </c>
      <c r="Z354" s="4" t="str">
        <f t="shared" si="78"/>
        <v/>
      </c>
      <c r="AA354" s="4" t="str">
        <f t="shared" si="78"/>
        <v/>
      </c>
      <c r="AB354" s="4" t="str">
        <f t="shared" si="78"/>
        <v/>
      </c>
      <c r="AC354" s="5" t="str">
        <f t="shared" si="78"/>
        <v/>
      </c>
      <c r="AD354" s="3" t="str">
        <f t="shared" si="76"/>
        <v/>
      </c>
      <c r="AE354" s="4" t="str">
        <f t="shared" si="76"/>
        <v/>
      </c>
      <c r="AF354" s="4" t="str">
        <f t="shared" si="76"/>
        <v/>
      </c>
      <c r="AG354" s="4" t="str">
        <f t="shared" si="76"/>
        <v/>
      </c>
      <c r="AH354" s="4" t="str">
        <f t="shared" si="76"/>
        <v/>
      </c>
      <c r="AI354" s="4" t="str">
        <f t="shared" si="76"/>
        <v/>
      </c>
      <c r="AJ354" s="4" t="str">
        <f t="shared" si="76"/>
        <v/>
      </c>
      <c r="AK354" s="4" t="str">
        <f t="shared" si="76"/>
        <v/>
      </c>
      <c r="AL354" s="4" t="str">
        <f t="shared" si="72"/>
        <v/>
      </c>
      <c r="AM354" s="4" t="str">
        <f t="shared" si="79"/>
        <v/>
      </c>
      <c r="AN354" s="4" t="str">
        <f t="shared" si="79"/>
        <v/>
      </c>
      <c r="AO354" s="4" t="str">
        <f t="shared" si="79"/>
        <v/>
      </c>
      <c r="AP354" s="4" t="str">
        <f t="shared" si="79"/>
        <v/>
      </c>
      <c r="AQ354" s="4" t="str">
        <f t="shared" si="79"/>
        <v/>
      </c>
      <c r="AR354" s="4" t="str">
        <f t="shared" si="79"/>
        <v/>
      </c>
      <c r="AS354" s="5" t="str">
        <f t="shared" si="79"/>
        <v/>
      </c>
      <c r="AT354" s="3" t="str">
        <f t="shared" si="77"/>
        <v/>
      </c>
      <c r="AU354" s="4" t="str">
        <f t="shared" si="77"/>
        <v/>
      </c>
      <c r="AV354" s="4" t="str">
        <f t="shared" si="77"/>
        <v/>
      </c>
      <c r="AW354" s="4" t="str">
        <f t="shared" si="77"/>
        <v/>
      </c>
      <c r="AX354" s="4" t="str">
        <f t="shared" si="77"/>
        <v/>
      </c>
      <c r="AY354" s="4" t="str">
        <f t="shared" si="77"/>
        <v/>
      </c>
      <c r="AZ354" s="4" t="str">
        <f t="shared" si="77"/>
        <v/>
      </c>
      <c r="BA354" s="4" t="str">
        <f t="shared" si="77"/>
        <v/>
      </c>
      <c r="BB354" s="4" t="str">
        <f t="shared" si="74"/>
        <v/>
      </c>
      <c r="BC354" s="4" t="str">
        <f t="shared" si="80"/>
        <v/>
      </c>
      <c r="BD354" s="4" t="str">
        <f t="shared" si="80"/>
        <v/>
      </c>
      <c r="BE354" s="4" t="str">
        <f t="shared" si="80"/>
        <v/>
      </c>
      <c r="BF354" s="4" t="str">
        <f t="shared" si="80"/>
        <v/>
      </c>
      <c r="BG354" s="4" t="str">
        <f t="shared" si="80"/>
        <v/>
      </c>
      <c r="BH354" s="4" t="str">
        <f t="shared" si="80"/>
        <v/>
      </c>
      <c r="BI354" s="5" t="str">
        <f t="shared" si="80"/>
        <v/>
      </c>
    </row>
    <row r="355" spans="1:61" x14ac:dyDescent="0.25">
      <c r="A355">
        <v>115089</v>
      </c>
      <c r="B355" t="s">
        <v>14</v>
      </c>
      <c r="C355" t="s">
        <v>16</v>
      </c>
      <c r="D355">
        <v>63653</v>
      </c>
      <c r="E355">
        <v>1171</v>
      </c>
      <c r="F355">
        <v>36</v>
      </c>
      <c r="G355">
        <v>20112</v>
      </c>
      <c r="H355" t="s">
        <v>19</v>
      </c>
      <c r="I355">
        <v>2</v>
      </c>
      <c r="J355">
        <v>2</v>
      </c>
      <c r="K355">
        <v>4.41</v>
      </c>
      <c r="L355">
        <v>4.41</v>
      </c>
      <c r="M355">
        <v>0</v>
      </c>
      <c r="N355" s="3" t="str">
        <f t="shared" si="75"/>
        <v/>
      </c>
      <c r="O355" s="4" t="str">
        <f t="shared" si="75"/>
        <v/>
      </c>
      <c r="P355" s="4" t="str">
        <f t="shared" si="75"/>
        <v/>
      </c>
      <c r="Q355" s="4" t="str">
        <f t="shared" si="75"/>
        <v/>
      </c>
      <c r="R355" s="4" t="str">
        <f t="shared" si="75"/>
        <v/>
      </c>
      <c r="S355" s="4" t="str">
        <f t="shared" si="75"/>
        <v/>
      </c>
      <c r="T355" s="4" t="str">
        <f t="shared" si="75"/>
        <v/>
      </c>
      <c r="U355" s="4" t="str">
        <f t="shared" si="75"/>
        <v/>
      </c>
      <c r="V355" s="4" t="str">
        <f t="shared" si="70"/>
        <v/>
      </c>
      <c r="W355" s="4" t="str">
        <f t="shared" si="78"/>
        <v/>
      </c>
      <c r="X355" s="4" t="str">
        <f t="shared" si="78"/>
        <v/>
      </c>
      <c r="Y355" s="4" t="str">
        <f t="shared" si="78"/>
        <v/>
      </c>
      <c r="Z355" s="4" t="str">
        <f t="shared" si="78"/>
        <v/>
      </c>
      <c r="AA355" s="4" t="str">
        <f t="shared" si="78"/>
        <v/>
      </c>
      <c r="AB355" s="4" t="str">
        <f t="shared" si="78"/>
        <v/>
      </c>
      <c r="AC355" s="5" t="str">
        <f t="shared" si="78"/>
        <v/>
      </c>
      <c r="AD355" s="3" t="str">
        <f t="shared" si="76"/>
        <v/>
      </c>
      <c r="AE355" s="4" t="str">
        <f t="shared" si="76"/>
        <v/>
      </c>
      <c r="AF355" s="4" t="str">
        <f t="shared" si="76"/>
        <v/>
      </c>
      <c r="AG355" s="4" t="str">
        <f t="shared" si="76"/>
        <v/>
      </c>
      <c r="AH355" s="4" t="str">
        <f t="shared" si="76"/>
        <v/>
      </c>
      <c r="AI355" s="4" t="str">
        <f t="shared" si="76"/>
        <v/>
      </c>
      <c r="AJ355" s="4" t="str">
        <f t="shared" si="76"/>
        <v/>
      </c>
      <c r="AK355" s="4" t="str">
        <f t="shared" si="76"/>
        <v/>
      </c>
      <c r="AL355" s="4" t="str">
        <f t="shared" si="72"/>
        <v/>
      </c>
      <c r="AM355" s="4" t="str">
        <f t="shared" si="79"/>
        <v/>
      </c>
      <c r="AN355" s="4" t="str">
        <f t="shared" si="79"/>
        <v/>
      </c>
      <c r="AO355" s="4" t="str">
        <f t="shared" si="79"/>
        <v/>
      </c>
      <c r="AP355" s="4" t="str">
        <f t="shared" si="79"/>
        <v/>
      </c>
      <c r="AQ355" s="4" t="str">
        <f t="shared" si="79"/>
        <v/>
      </c>
      <c r="AR355" s="4" t="str">
        <f t="shared" si="79"/>
        <v/>
      </c>
      <c r="AS355" s="5" t="str">
        <f t="shared" si="79"/>
        <v/>
      </c>
      <c r="AT355" s="3" t="str">
        <f t="shared" si="77"/>
        <v/>
      </c>
      <c r="AU355" s="4" t="str">
        <f t="shared" si="77"/>
        <v/>
      </c>
      <c r="AV355" s="4" t="str">
        <f t="shared" si="77"/>
        <v/>
      </c>
      <c r="AW355" s="4" t="str">
        <f t="shared" si="77"/>
        <v/>
      </c>
      <c r="AX355" s="4" t="str">
        <f t="shared" si="77"/>
        <v/>
      </c>
      <c r="AY355" s="4" t="str">
        <f t="shared" si="77"/>
        <v/>
      </c>
      <c r="AZ355" s="4" t="str">
        <f t="shared" si="77"/>
        <v/>
      </c>
      <c r="BA355" s="4" t="str">
        <f t="shared" si="77"/>
        <v/>
      </c>
      <c r="BB355" s="4" t="str">
        <f t="shared" si="74"/>
        <v/>
      </c>
      <c r="BC355" s="4" t="str">
        <f t="shared" si="80"/>
        <v/>
      </c>
      <c r="BD355" s="4" t="str">
        <f t="shared" si="80"/>
        <v/>
      </c>
      <c r="BE355" s="4" t="str">
        <f t="shared" si="80"/>
        <v/>
      </c>
      <c r="BF355" s="4" t="str">
        <f t="shared" si="80"/>
        <v/>
      </c>
      <c r="BG355" s="4" t="str">
        <f t="shared" si="80"/>
        <v/>
      </c>
      <c r="BH355" s="4" t="str">
        <f t="shared" si="80"/>
        <v/>
      </c>
      <c r="BI355" s="5" t="str">
        <f t="shared" si="80"/>
        <v/>
      </c>
    </row>
    <row r="356" spans="1:61" x14ac:dyDescent="0.25">
      <c r="A356">
        <v>221488</v>
      </c>
      <c r="B356" t="s">
        <v>15</v>
      </c>
      <c r="C356" t="s">
        <v>16</v>
      </c>
      <c r="D356">
        <v>63653</v>
      </c>
      <c r="E356">
        <v>1171</v>
      </c>
      <c r="F356">
        <v>1</v>
      </c>
      <c r="G356">
        <v>20111</v>
      </c>
      <c r="H356" t="s">
        <v>18</v>
      </c>
      <c r="I356">
        <v>912485.60100000002</v>
      </c>
      <c r="J356">
        <v>30563</v>
      </c>
      <c r="K356">
        <v>5460949.1299999999</v>
      </c>
      <c r="L356">
        <v>5433487.0099999998</v>
      </c>
      <c r="M356">
        <v>27462.12</v>
      </c>
      <c r="N356" s="3" t="str">
        <f t="shared" si="75"/>
        <v/>
      </c>
      <c r="O356" s="4" t="str">
        <f t="shared" si="75"/>
        <v/>
      </c>
      <c r="P356" s="4" t="str">
        <f t="shared" si="75"/>
        <v/>
      </c>
      <c r="Q356" s="4" t="str">
        <f t="shared" si="75"/>
        <v/>
      </c>
      <c r="R356" s="4" t="str">
        <f t="shared" si="75"/>
        <v/>
      </c>
      <c r="S356" s="4" t="str">
        <f t="shared" si="75"/>
        <v/>
      </c>
      <c r="T356" s="4" t="str">
        <f t="shared" si="75"/>
        <v/>
      </c>
      <c r="U356" s="4" t="str">
        <f t="shared" si="75"/>
        <v/>
      </c>
      <c r="V356" s="4" t="str">
        <f t="shared" si="70"/>
        <v/>
      </c>
      <c r="W356" s="4" t="str">
        <f t="shared" si="78"/>
        <v/>
      </c>
      <c r="X356" s="4" t="str">
        <f t="shared" si="78"/>
        <v/>
      </c>
      <c r="Y356" s="4" t="str">
        <f t="shared" si="78"/>
        <v/>
      </c>
      <c r="Z356" s="4">
        <f t="shared" si="78"/>
        <v>1</v>
      </c>
      <c r="AA356" s="4" t="str">
        <f t="shared" si="78"/>
        <v/>
      </c>
      <c r="AB356" s="4" t="str">
        <f t="shared" si="78"/>
        <v/>
      </c>
      <c r="AC356" s="5" t="str">
        <f t="shared" si="78"/>
        <v/>
      </c>
      <c r="AD356" s="3" t="str">
        <f t="shared" si="76"/>
        <v/>
      </c>
      <c r="AE356" s="4" t="str">
        <f t="shared" si="76"/>
        <v/>
      </c>
      <c r="AF356" s="4" t="str">
        <f t="shared" si="76"/>
        <v/>
      </c>
      <c r="AG356" s="4" t="str">
        <f t="shared" si="76"/>
        <v/>
      </c>
      <c r="AH356" s="4" t="str">
        <f t="shared" si="76"/>
        <v/>
      </c>
      <c r="AI356" s="4" t="str">
        <f t="shared" si="76"/>
        <v/>
      </c>
      <c r="AJ356" s="4" t="str">
        <f t="shared" si="76"/>
        <v/>
      </c>
      <c r="AK356" s="4" t="str">
        <f t="shared" si="76"/>
        <v/>
      </c>
      <c r="AL356" s="4" t="str">
        <f t="shared" si="72"/>
        <v/>
      </c>
      <c r="AM356" s="4" t="str">
        <f t="shared" si="79"/>
        <v/>
      </c>
      <c r="AN356" s="4" t="str">
        <f t="shared" si="79"/>
        <v/>
      </c>
      <c r="AO356" s="4" t="str">
        <f t="shared" si="79"/>
        <v/>
      </c>
      <c r="AP356" s="4" t="str">
        <f t="shared" si="79"/>
        <v/>
      </c>
      <c r="AQ356" s="4" t="str">
        <f t="shared" si="79"/>
        <v/>
      </c>
      <c r="AR356" s="4" t="str">
        <f t="shared" si="79"/>
        <v/>
      </c>
      <c r="AS356" s="5" t="str">
        <f t="shared" si="79"/>
        <v/>
      </c>
      <c r="AT356" s="3" t="str">
        <f t="shared" si="77"/>
        <v/>
      </c>
      <c r="AU356" s="4" t="str">
        <f t="shared" si="77"/>
        <v/>
      </c>
      <c r="AV356" s="4" t="str">
        <f t="shared" si="77"/>
        <v/>
      </c>
      <c r="AW356" s="4" t="str">
        <f t="shared" si="77"/>
        <v/>
      </c>
      <c r="AX356" s="4" t="str">
        <f t="shared" si="77"/>
        <v/>
      </c>
      <c r="AY356" s="4" t="str">
        <f t="shared" si="77"/>
        <v/>
      </c>
      <c r="AZ356" s="4" t="str">
        <f t="shared" si="77"/>
        <v/>
      </c>
      <c r="BA356" s="4" t="str">
        <f t="shared" si="77"/>
        <v/>
      </c>
      <c r="BB356" s="4" t="str">
        <f t="shared" si="74"/>
        <v/>
      </c>
      <c r="BC356" s="4" t="str">
        <f t="shared" si="80"/>
        <v/>
      </c>
      <c r="BD356" s="4" t="str">
        <f t="shared" si="80"/>
        <v/>
      </c>
      <c r="BE356" s="4" t="str">
        <f t="shared" si="80"/>
        <v/>
      </c>
      <c r="BF356" s="4" t="str">
        <f t="shared" si="80"/>
        <v/>
      </c>
      <c r="BG356" s="4" t="str">
        <f t="shared" si="80"/>
        <v/>
      </c>
      <c r="BH356" s="4" t="str">
        <f t="shared" si="80"/>
        <v/>
      </c>
      <c r="BI356" s="5" t="str">
        <f t="shared" si="80"/>
        <v/>
      </c>
    </row>
    <row r="357" spans="1:61" x14ac:dyDescent="0.25">
      <c r="A357">
        <v>221489</v>
      </c>
      <c r="B357" t="s">
        <v>15</v>
      </c>
      <c r="C357" t="s">
        <v>16</v>
      </c>
      <c r="D357">
        <v>63653</v>
      </c>
      <c r="E357">
        <v>1171</v>
      </c>
      <c r="F357">
        <v>1</v>
      </c>
      <c r="G357">
        <v>20112</v>
      </c>
      <c r="H357" t="s">
        <v>18</v>
      </c>
      <c r="I357">
        <v>1011798.001</v>
      </c>
      <c r="J357">
        <v>33214</v>
      </c>
      <c r="K357">
        <v>6400487.1399999997</v>
      </c>
      <c r="L357">
        <v>6356713.5800000001</v>
      </c>
      <c r="M357">
        <v>43773.56</v>
      </c>
      <c r="N357" s="3" t="str">
        <f t="shared" si="75"/>
        <v/>
      </c>
      <c r="O357" s="4" t="str">
        <f t="shared" si="75"/>
        <v/>
      </c>
      <c r="P357" s="4" t="str">
        <f t="shared" si="75"/>
        <v/>
      </c>
      <c r="Q357" s="4" t="str">
        <f t="shared" si="75"/>
        <v/>
      </c>
      <c r="R357" s="4" t="str">
        <f t="shared" si="75"/>
        <v/>
      </c>
      <c r="S357" s="4" t="str">
        <f t="shared" si="75"/>
        <v/>
      </c>
      <c r="T357" s="4" t="str">
        <f t="shared" si="75"/>
        <v/>
      </c>
      <c r="U357" s="4" t="str">
        <f t="shared" si="75"/>
        <v/>
      </c>
      <c r="V357" s="4" t="str">
        <f t="shared" si="70"/>
        <v/>
      </c>
      <c r="W357" s="4" t="str">
        <f t="shared" si="78"/>
        <v/>
      </c>
      <c r="X357" s="4" t="str">
        <f t="shared" si="78"/>
        <v/>
      </c>
      <c r="Y357" s="4" t="str">
        <f t="shared" si="78"/>
        <v/>
      </c>
      <c r="Z357" s="4" t="str">
        <f t="shared" si="78"/>
        <v/>
      </c>
      <c r="AA357" s="4">
        <f t="shared" si="78"/>
        <v>1</v>
      </c>
      <c r="AB357" s="4" t="str">
        <f t="shared" si="78"/>
        <v/>
      </c>
      <c r="AC357" s="5" t="str">
        <f t="shared" si="78"/>
        <v/>
      </c>
      <c r="AD357" s="3" t="str">
        <f t="shared" si="76"/>
        <v/>
      </c>
      <c r="AE357" s="4" t="str">
        <f t="shared" si="76"/>
        <v/>
      </c>
      <c r="AF357" s="4" t="str">
        <f t="shared" si="76"/>
        <v/>
      </c>
      <c r="AG357" s="4" t="str">
        <f t="shared" si="76"/>
        <v/>
      </c>
      <c r="AH357" s="4" t="str">
        <f t="shared" si="76"/>
        <v/>
      </c>
      <c r="AI357" s="4" t="str">
        <f t="shared" si="76"/>
        <v/>
      </c>
      <c r="AJ357" s="4" t="str">
        <f t="shared" si="76"/>
        <v/>
      </c>
      <c r="AK357" s="4" t="str">
        <f t="shared" si="76"/>
        <v/>
      </c>
      <c r="AL357" s="4" t="str">
        <f t="shared" si="72"/>
        <v/>
      </c>
      <c r="AM357" s="4" t="str">
        <f t="shared" si="79"/>
        <v/>
      </c>
      <c r="AN357" s="4" t="str">
        <f t="shared" si="79"/>
        <v/>
      </c>
      <c r="AO357" s="4" t="str">
        <f t="shared" si="79"/>
        <v/>
      </c>
      <c r="AP357" s="4" t="str">
        <f t="shared" si="79"/>
        <v/>
      </c>
      <c r="AQ357" s="4" t="str">
        <f t="shared" si="79"/>
        <v/>
      </c>
      <c r="AR357" s="4" t="str">
        <f t="shared" si="79"/>
        <v/>
      </c>
      <c r="AS357" s="5" t="str">
        <f t="shared" si="79"/>
        <v/>
      </c>
      <c r="AT357" s="3" t="str">
        <f t="shared" si="77"/>
        <v/>
      </c>
      <c r="AU357" s="4" t="str">
        <f t="shared" si="77"/>
        <v/>
      </c>
      <c r="AV357" s="4" t="str">
        <f t="shared" si="77"/>
        <v/>
      </c>
      <c r="AW357" s="4" t="str">
        <f t="shared" si="77"/>
        <v/>
      </c>
      <c r="AX357" s="4" t="str">
        <f t="shared" si="77"/>
        <v/>
      </c>
      <c r="AY357" s="4" t="str">
        <f t="shared" si="77"/>
        <v/>
      </c>
      <c r="AZ357" s="4" t="str">
        <f t="shared" si="77"/>
        <v/>
      </c>
      <c r="BA357" s="4" t="str">
        <f t="shared" si="77"/>
        <v/>
      </c>
      <c r="BB357" s="4" t="str">
        <f t="shared" si="74"/>
        <v/>
      </c>
      <c r="BC357" s="4" t="str">
        <f t="shared" si="80"/>
        <v/>
      </c>
      <c r="BD357" s="4" t="str">
        <f t="shared" si="80"/>
        <v/>
      </c>
      <c r="BE357" s="4" t="str">
        <f t="shared" si="80"/>
        <v/>
      </c>
      <c r="BF357" s="4" t="str">
        <f t="shared" si="80"/>
        <v/>
      </c>
      <c r="BG357" s="4" t="str">
        <f t="shared" si="80"/>
        <v/>
      </c>
      <c r="BH357" s="4" t="str">
        <f t="shared" si="80"/>
        <v/>
      </c>
      <c r="BI357" s="5" t="str">
        <f t="shared" si="80"/>
        <v/>
      </c>
    </row>
    <row r="358" spans="1:61" x14ac:dyDescent="0.25">
      <c r="A358">
        <v>221490</v>
      </c>
      <c r="B358" t="s">
        <v>15</v>
      </c>
      <c r="C358" t="s">
        <v>16</v>
      </c>
      <c r="D358">
        <v>63653</v>
      </c>
      <c r="E358">
        <v>1171</v>
      </c>
      <c r="F358">
        <v>1</v>
      </c>
      <c r="G358">
        <v>20113</v>
      </c>
      <c r="H358" t="s">
        <v>18</v>
      </c>
      <c r="I358">
        <v>1040512</v>
      </c>
      <c r="J358">
        <v>34361</v>
      </c>
      <c r="K358">
        <v>6729059.5999999996</v>
      </c>
      <c r="L358">
        <v>6685038</v>
      </c>
      <c r="M358">
        <v>44021.599999999999</v>
      </c>
      <c r="N358" s="3" t="str">
        <f t="shared" si="75"/>
        <v/>
      </c>
      <c r="O358" s="4" t="str">
        <f t="shared" si="75"/>
        <v/>
      </c>
      <c r="P358" s="4" t="str">
        <f t="shared" si="75"/>
        <v/>
      </c>
      <c r="Q358" s="4" t="str">
        <f t="shared" si="75"/>
        <v/>
      </c>
      <c r="R358" s="4" t="str">
        <f t="shared" si="75"/>
        <v/>
      </c>
      <c r="S358" s="4" t="str">
        <f t="shared" si="75"/>
        <v/>
      </c>
      <c r="T358" s="4" t="str">
        <f t="shared" si="75"/>
        <v/>
      </c>
      <c r="U358" s="4" t="str">
        <f t="shared" si="75"/>
        <v/>
      </c>
      <c r="V358" s="4" t="str">
        <f t="shared" si="70"/>
        <v/>
      </c>
      <c r="W358" s="4" t="str">
        <f t="shared" si="78"/>
        <v/>
      </c>
      <c r="X358" s="4" t="str">
        <f t="shared" si="78"/>
        <v/>
      </c>
      <c r="Y358" s="4" t="str">
        <f t="shared" si="78"/>
        <v/>
      </c>
      <c r="Z358" s="4" t="str">
        <f t="shared" si="78"/>
        <v/>
      </c>
      <c r="AA358" s="4" t="str">
        <f t="shared" si="78"/>
        <v/>
      </c>
      <c r="AB358" s="4">
        <f t="shared" si="78"/>
        <v>1</v>
      </c>
      <c r="AC358" s="5" t="str">
        <f t="shared" si="78"/>
        <v/>
      </c>
      <c r="AD358" s="3" t="str">
        <f t="shared" si="76"/>
        <v/>
      </c>
      <c r="AE358" s="4" t="str">
        <f t="shared" si="76"/>
        <v/>
      </c>
      <c r="AF358" s="4" t="str">
        <f t="shared" si="76"/>
        <v/>
      </c>
      <c r="AG358" s="4" t="str">
        <f t="shared" si="76"/>
        <v/>
      </c>
      <c r="AH358" s="4" t="str">
        <f t="shared" si="76"/>
        <v/>
      </c>
      <c r="AI358" s="4" t="str">
        <f t="shared" si="76"/>
        <v/>
      </c>
      <c r="AJ358" s="4" t="str">
        <f t="shared" si="76"/>
        <v/>
      </c>
      <c r="AK358" s="4" t="str">
        <f t="shared" si="76"/>
        <v/>
      </c>
      <c r="AL358" s="4" t="str">
        <f t="shared" si="72"/>
        <v/>
      </c>
      <c r="AM358" s="4" t="str">
        <f t="shared" si="79"/>
        <v/>
      </c>
      <c r="AN358" s="4" t="str">
        <f t="shared" si="79"/>
        <v/>
      </c>
      <c r="AO358" s="4" t="str">
        <f t="shared" si="79"/>
        <v/>
      </c>
      <c r="AP358" s="4" t="str">
        <f t="shared" si="79"/>
        <v/>
      </c>
      <c r="AQ358" s="4" t="str">
        <f t="shared" si="79"/>
        <v/>
      </c>
      <c r="AR358" s="4" t="str">
        <f t="shared" si="79"/>
        <v/>
      </c>
      <c r="AS358" s="5" t="str">
        <f t="shared" si="79"/>
        <v/>
      </c>
      <c r="AT358" s="3" t="str">
        <f t="shared" si="77"/>
        <v/>
      </c>
      <c r="AU358" s="4" t="str">
        <f t="shared" si="77"/>
        <v/>
      </c>
      <c r="AV358" s="4" t="str">
        <f t="shared" si="77"/>
        <v/>
      </c>
      <c r="AW358" s="4" t="str">
        <f t="shared" si="77"/>
        <v/>
      </c>
      <c r="AX358" s="4" t="str">
        <f t="shared" si="77"/>
        <v/>
      </c>
      <c r="AY358" s="4" t="str">
        <f t="shared" si="77"/>
        <v/>
      </c>
      <c r="AZ358" s="4" t="str">
        <f t="shared" si="77"/>
        <v/>
      </c>
      <c r="BA358" s="4" t="str">
        <f t="shared" si="77"/>
        <v/>
      </c>
      <c r="BB358" s="4" t="str">
        <f t="shared" si="74"/>
        <v/>
      </c>
      <c r="BC358" s="4" t="str">
        <f t="shared" si="80"/>
        <v/>
      </c>
      <c r="BD358" s="4" t="str">
        <f t="shared" si="80"/>
        <v/>
      </c>
      <c r="BE358" s="4" t="str">
        <f t="shared" si="80"/>
        <v/>
      </c>
      <c r="BF358" s="4" t="str">
        <f t="shared" si="80"/>
        <v/>
      </c>
      <c r="BG358" s="4" t="str">
        <f t="shared" si="80"/>
        <v/>
      </c>
      <c r="BH358" s="4" t="str">
        <f t="shared" si="80"/>
        <v/>
      </c>
      <c r="BI358" s="5" t="str">
        <f t="shared" si="80"/>
        <v/>
      </c>
    </row>
    <row r="359" spans="1:61" x14ac:dyDescent="0.25">
      <c r="A359">
        <v>221491</v>
      </c>
      <c r="B359" t="s">
        <v>15</v>
      </c>
      <c r="C359" t="s">
        <v>16</v>
      </c>
      <c r="D359">
        <v>63653</v>
      </c>
      <c r="E359">
        <v>1171</v>
      </c>
      <c r="F359">
        <v>1</v>
      </c>
      <c r="G359">
        <v>20114</v>
      </c>
      <c r="H359" t="s">
        <v>18</v>
      </c>
      <c r="I359">
        <v>1817285.4369999999</v>
      </c>
      <c r="J359">
        <v>61390</v>
      </c>
      <c r="K359">
        <v>11731295.939999999</v>
      </c>
      <c r="L359">
        <v>11691624.07</v>
      </c>
      <c r="M359">
        <v>39671.870000000003</v>
      </c>
      <c r="N359" s="3" t="str">
        <f t="shared" si="75"/>
        <v/>
      </c>
      <c r="O359" s="4" t="str">
        <f t="shared" si="75"/>
        <v/>
      </c>
      <c r="P359" s="4" t="str">
        <f t="shared" si="75"/>
        <v/>
      </c>
      <c r="Q359" s="4" t="str">
        <f t="shared" si="75"/>
        <v/>
      </c>
      <c r="R359" s="4" t="str">
        <f t="shared" si="75"/>
        <v/>
      </c>
      <c r="S359" s="4" t="str">
        <f t="shared" si="75"/>
        <v/>
      </c>
      <c r="T359" s="4" t="str">
        <f t="shared" si="75"/>
        <v/>
      </c>
      <c r="U359" s="4" t="str">
        <f t="shared" si="75"/>
        <v/>
      </c>
      <c r="V359" s="4" t="str">
        <f t="shared" si="70"/>
        <v/>
      </c>
      <c r="W359" s="4" t="str">
        <f t="shared" si="78"/>
        <v/>
      </c>
      <c r="X359" s="4" t="str">
        <f t="shared" si="78"/>
        <v/>
      </c>
      <c r="Y359" s="4" t="str">
        <f t="shared" si="78"/>
        <v/>
      </c>
      <c r="Z359" s="4" t="str">
        <f t="shared" si="78"/>
        <v/>
      </c>
      <c r="AA359" s="4" t="str">
        <f t="shared" si="78"/>
        <v/>
      </c>
      <c r="AB359" s="4" t="str">
        <f t="shared" si="78"/>
        <v/>
      </c>
      <c r="AC359" s="5">
        <f t="shared" si="78"/>
        <v>1</v>
      </c>
      <c r="AD359" s="3" t="str">
        <f t="shared" si="76"/>
        <v/>
      </c>
      <c r="AE359" s="4" t="str">
        <f t="shared" si="76"/>
        <v/>
      </c>
      <c r="AF359" s="4" t="str">
        <f t="shared" si="76"/>
        <v/>
      </c>
      <c r="AG359" s="4" t="str">
        <f t="shared" si="76"/>
        <v/>
      </c>
      <c r="AH359" s="4" t="str">
        <f t="shared" si="76"/>
        <v/>
      </c>
      <c r="AI359" s="4" t="str">
        <f t="shared" si="76"/>
        <v/>
      </c>
      <c r="AJ359" s="4" t="str">
        <f t="shared" si="76"/>
        <v/>
      </c>
      <c r="AK359" s="4" t="str">
        <f t="shared" si="76"/>
        <v/>
      </c>
      <c r="AL359" s="4" t="str">
        <f t="shared" si="72"/>
        <v/>
      </c>
      <c r="AM359" s="4" t="str">
        <f t="shared" si="79"/>
        <v/>
      </c>
      <c r="AN359" s="4" t="str">
        <f t="shared" si="79"/>
        <v/>
      </c>
      <c r="AO359" s="4" t="str">
        <f t="shared" si="79"/>
        <v/>
      </c>
      <c r="AP359" s="4" t="str">
        <f t="shared" si="79"/>
        <v/>
      </c>
      <c r="AQ359" s="4" t="str">
        <f t="shared" si="79"/>
        <v/>
      </c>
      <c r="AR359" s="4" t="str">
        <f t="shared" si="79"/>
        <v/>
      </c>
      <c r="AS359" s="5" t="str">
        <f t="shared" si="79"/>
        <v/>
      </c>
      <c r="AT359" s="3" t="str">
        <f t="shared" si="77"/>
        <v/>
      </c>
      <c r="AU359" s="4" t="str">
        <f t="shared" si="77"/>
        <v/>
      </c>
      <c r="AV359" s="4" t="str">
        <f t="shared" si="77"/>
        <v/>
      </c>
      <c r="AW359" s="4" t="str">
        <f t="shared" si="77"/>
        <v/>
      </c>
      <c r="AX359" s="4" t="str">
        <f t="shared" si="77"/>
        <v/>
      </c>
      <c r="AY359" s="4" t="str">
        <f t="shared" si="77"/>
        <v/>
      </c>
      <c r="AZ359" s="4" t="str">
        <f t="shared" si="77"/>
        <v/>
      </c>
      <c r="BA359" s="4" t="str">
        <f t="shared" si="77"/>
        <v/>
      </c>
      <c r="BB359" s="4" t="str">
        <f t="shared" si="74"/>
        <v/>
      </c>
      <c r="BC359" s="4" t="str">
        <f t="shared" si="80"/>
        <v/>
      </c>
      <c r="BD359" s="4" t="str">
        <f t="shared" si="80"/>
        <v/>
      </c>
      <c r="BE359" s="4" t="str">
        <f t="shared" si="80"/>
        <v/>
      </c>
      <c r="BF359" s="4" t="str">
        <f t="shared" si="80"/>
        <v/>
      </c>
      <c r="BG359" s="4" t="str">
        <f t="shared" si="80"/>
        <v/>
      </c>
      <c r="BH359" s="4" t="str">
        <f t="shared" si="80"/>
        <v/>
      </c>
      <c r="BI359" s="5" t="str">
        <f t="shared" si="80"/>
        <v/>
      </c>
    </row>
    <row r="360" spans="1:61" x14ac:dyDescent="0.25">
      <c r="A360">
        <v>221492</v>
      </c>
      <c r="B360" t="s">
        <v>15</v>
      </c>
      <c r="C360" t="s">
        <v>16</v>
      </c>
      <c r="D360">
        <v>63653</v>
      </c>
      <c r="E360">
        <v>1171</v>
      </c>
      <c r="F360">
        <v>3</v>
      </c>
      <c r="G360">
        <v>20111</v>
      </c>
      <c r="H360" t="s">
        <v>18</v>
      </c>
      <c r="I360">
        <v>3678</v>
      </c>
      <c r="J360">
        <v>132</v>
      </c>
      <c r="K360">
        <v>22286.63</v>
      </c>
      <c r="L360">
        <v>21919.24</v>
      </c>
      <c r="M360">
        <v>367.39</v>
      </c>
      <c r="N360" s="3" t="str">
        <f t="shared" si="75"/>
        <v/>
      </c>
      <c r="O360" s="4" t="str">
        <f t="shared" si="75"/>
        <v/>
      </c>
      <c r="P360" s="4" t="str">
        <f t="shared" si="75"/>
        <v/>
      </c>
      <c r="Q360" s="4" t="str">
        <f t="shared" si="75"/>
        <v/>
      </c>
      <c r="R360" s="4" t="str">
        <f t="shared" si="75"/>
        <v/>
      </c>
      <c r="S360" s="4" t="str">
        <f t="shared" si="75"/>
        <v/>
      </c>
      <c r="T360" s="4" t="str">
        <f t="shared" si="75"/>
        <v/>
      </c>
      <c r="U360" s="4" t="str">
        <f t="shared" si="75"/>
        <v/>
      </c>
      <c r="V360" s="4" t="str">
        <f t="shared" si="70"/>
        <v/>
      </c>
      <c r="W360" s="4" t="str">
        <f t="shared" si="78"/>
        <v/>
      </c>
      <c r="X360" s="4" t="str">
        <f t="shared" si="78"/>
        <v/>
      </c>
      <c r="Y360" s="4" t="str">
        <f t="shared" si="78"/>
        <v/>
      </c>
      <c r="Z360" s="4">
        <f t="shared" si="78"/>
        <v>1</v>
      </c>
      <c r="AA360" s="4" t="str">
        <f t="shared" si="78"/>
        <v/>
      </c>
      <c r="AB360" s="4" t="str">
        <f t="shared" si="78"/>
        <v/>
      </c>
      <c r="AC360" s="5" t="str">
        <f t="shared" si="78"/>
        <v/>
      </c>
      <c r="AD360" s="3" t="str">
        <f t="shared" si="76"/>
        <v/>
      </c>
      <c r="AE360" s="4" t="str">
        <f t="shared" si="76"/>
        <v/>
      </c>
      <c r="AF360" s="4" t="str">
        <f t="shared" si="76"/>
        <v/>
      </c>
      <c r="AG360" s="4" t="str">
        <f t="shared" si="76"/>
        <v/>
      </c>
      <c r="AH360" s="4" t="str">
        <f t="shared" si="76"/>
        <v/>
      </c>
      <c r="AI360" s="4" t="str">
        <f t="shared" si="76"/>
        <v/>
      </c>
      <c r="AJ360" s="4" t="str">
        <f t="shared" si="76"/>
        <v/>
      </c>
      <c r="AK360" s="4" t="str">
        <f t="shared" si="76"/>
        <v/>
      </c>
      <c r="AL360" s="4" t="str">
        <f t="shared" si="72"/>
        <v/>
      </c>
      <c r="AM360" s="4" t="str">
        <f t="shared" si="79"/>
        <v/>
      </c>
      <c r="AN360" s="4" t="str">
        <f t="shared" si="79"/>
        <v/>
      </c>
      <c r="AO360" s="4" t="str">
        <f t="shared" si="79"/>
        <v/>
      </c>
      <c r="AP360" s="4" t="str">
        <f t="shared" si="79"/>
        <v/>
      </c>
      <c r="AQ360" s="4" t="str">
        <f t="shared" si="79"/>
        <v/>
      </c>
      <c r="AR360" s="4" t="str">
        <f t="shared" si="79"/>
        <v/>
      </c>
      <c r="AS360" s="5" t="str">
        <f t="shared" si="79"/>
        <v/>
      </c>
      <c r="AT360" s="3" t="str">
        <f t="shared" si="77"/>
        <v/>
      </c>
      <c r="AU360" s="4" t="str">
        <f t="shared" si="77"/>
        <v/>
      </c>
      <c r="AV360" s="4" t="str">
        <f t="shared" si="77"/>
        <v/>
      </c>
      <c r="AW360" s="4" t="str">
        <f t="shared" si="77"/>
        <v/>
      </c>
      <c r="AX360" s="4" t="str">
        <f t="shared" si="77"/>
        <v/>
      </c>
      <c r="AY360" s="4" t="str">
        <f t="shared" si="77"/>
        <v/>
      </c>
      <c r="AZ360" s="4" t="str">
        <f t="shared" si="77"/>
        <v/>
      </c>
      <c r="BA360" s="4" t="str">
        <f t="shared" si="77"/>
        <v/>
      </c>
      <c r="BB360" s="4" t="str">
        <f t="shared" si="74"/>
        <v/>
      </c>
      <c r="BC360" s="4" t="str">
        <f t="shared" si="80"/>
        <v/>
      </c>
      <c r="BD360" s="4" t="str">
        <f t="shared" si="80"/>
        <v/>
      </c>
      <c r="BE360" s="4" t="str">
        <f t="shared" si="80"/>
        <v/>
      </c>
      <c r="BF360" s="4" t="str">
        <f t="shared" si="80"/>
        <v/>
      </c>
      <c r="BG360" s="4" t="str">
        <f t="shared" si="80"/>
        <v/>
      </c>
      <c r="BH360" s="4" t="str">
        <f t="shared" si="80"/>
        <v/>
      </c>
      <c r="BI360" s="5" t="str">
        <f t="shared" si="80"/>
        <v/>
      </c>
    </row>
    <row r="361" spans="1:61" x14ac:dyDescent="0.25">
      <c r="A361">
        <v>221493</v>
      </c>
      <c r="B361" t="s">
        <v>15</v>
      </c>
      <c r="C361" t="s">
        <v>16</v>
      </c>
      <c r="D361">
        <v>63653</v>
      </c>
      <c r="E361">
        <v>1171</v>
      </c>
      <c r="F361">
        <v>3</v>
      </c>
      <c r="G361">
        <v>20112</v>
      </c>
      <c r="H361" t="s">
        <v>18</v>
      </c>
      <c r="I361">
        <v>3841</v>
      </c>
      <c r="J361">
        <v>152</v>
      </c>
      <c r="K361">
        <v>25187.29</v>
      </c>
      <c r="L361">
        <v>25172.29</v>
      </c>
      <c r="M361">
        <v>15</v>
      </c>
      <c r="N361" s="3" t="str">
        <f t="shared" si="75"/>
        <v/>
      </c>
      <c r="O361" s="4" t="str">
        <f t="shared" si="75"/>
        <v/>
      </c>
      <c r="P361" s="4" t="str">
        <f t="shared" si="75"/>
        <v/>
      </c>
      <c r="Q361" s="4" t="str">
        <f t="shared" si="75"/>
        <v/>
      </c>
      <c r="R361" s="4" t="str">
        <f t="shared" si="75"/>
        <v/>
      </c>
      <c r="S361" s="4" t="str">
        <f t="shared" si="75"/>
        <v/>
      </c>
      <c r="T361" s="4" t="str">
        <f t="shared" si="75"/>
        <v/>
      </c>
      <c r="U361" s="4" t="str">
        <f t="shared" si="75"/>
        <v/>
      </c>
      <c r="V361" s="4" t="str">
        <f t="shared" si="70"/>
        <v/>
      </c>
      <c r="W361" s="4" t="str">
        <f t="shared" si="78"/>
        <v/>
      </c>
      <c r="X361" s="4" t="str">
        <f t="shared" si="78"/>
        <v/>
      </c>
      <c r="Y361" s="4" t="str">
        <f t="shared" si="78"/>
        <v/>
      </c>
      <c r="Z361" s="4" t="str">
        <f t="shared" si="78"/>
        <v/>
      </c>
      <c r="AA361" s="4">
        <f t="shared" si="78"/>
        <v>1</v>
      </c>
      <c r="AB361" s="4" t="str">
        <f t="shared" si="78"/>
        <v/>
      </c>
      <c r="AC361" s="5" t="str">
        <f t="shared" si="78"/>
        <v/>
      </c>
      <c r="AD361" s="3" t="str">
        <f t="shared" si="76"/>
        <v/>
      </c>
      <c r="AE361" s="4" t="str">
        <f t="shared" si="76"/>
        <v/>
      </c>
      <c r="AF361" s="4" t="str">
        <f t="shared" si="76"/>
        <v/>
      </c>
      <c r="AG361" s="4" t="str">
        <f t="shared" si="76"/>
        <v/>
      </c>
      <c r="AH361" s="4" t="str">
        <f t="shared" si="76"/>
        <v/>
      </c>
      <c r="AI361" s="4" t="str">
        <f t="shared" si="76"/>
        <v/>
      </c>
      <c r="AJ361" s="4" t="str">
        <f t="shared" si="76"/>
        <v/>
      </c>
      <c r="AK361" s="4" t="str">
        <f t="shared" si="76"/>
        <v/>
      </c>
      <c r="AL361" s="4" t="str">
        <f t="shared" si="72"/>
        <v/>
      </c>
      <c r="AM361" s="4" t="str">
        <f t="shared" si="79"/>
        <v/>
      </c>
      <c r="AN361" s="4" t="str">
        <f t="shared" si="79"/>
        <v/>
      </c>
      <c r="AO361" s="4" t="str">
        <f t="shared" si="79"/>
        <v/>
      </c>
      <c r="AP361" s="4" t="str">
        <f t="shared" si="79"/>
        <v/>
      </c>
      <c r="AQ361" s="4" t="str">
        <f t="shared" si="79"/>
        <v/>
      </c>
      <c r="AR361" s="4" t="str">
        <f t="shared" si="79"/>
        <v/>
      </c>
      <c r="AS361" s="5" t="str">
        <f t="shared" si="79"/>
        <v/>
      </c>
      <c r="AT361" s="3" t="str">
        <f t="shared" si="77"/>
        <v/>
      </c>
      <c r="AU361" s="4" t="str">
        <f t="shared" si="77"/>
        <v/>
      </c>
      <c r="AV361" s="4" t="str">
        <f t="shared" si="77"/>
        <v/>
      </c>
      <c r="AW361" s="4" t="str">
        <f t="shared" si="77"/>
        <v/>
      </c>
      <c r="AX361" s="4" t="str">
        <f t="shared" si="77"/>
        <v/>
      </c>
      <c r="AY361" s="4" t="str">
        <f t="shared" si="77"/>
        <v/>
      </c>
      <c r="AZ361" s="4" t="str">
        <f t="shared" si="77"/>
        <v/>
      </c>
      <c r="BA361" s="4" t="str">
        <f t="shared" si="77"/>
        <v/>
      </c>
      <c r="BB361" s="4" t="str">
        <f t="shared" si="74"/>
        <v/>
      </c>
      <c r="BC361" s="4" t="str">
        <f t="shared" si="80"/>
        <v/>
      </c>
      <c r="BD361" s="4" t="str">
        <f t="shared" si="80"/>
        <v/>
      </c>
      <c r="BE361" s="4" t="str">
        <f t="shared" si="80"/>
        <v/>
      </c>
      <c r="BF361" s="4" t="str">
        <f t="shared" si="80"/>
        <v/>
      </c>
      <c r="BG361" s="4" t="str">
        <f t="shared" si="80"/>
        <v/>
      </c>
      <c r="BH361" s="4" t="str">
        <f t="shared" si="80"/>
        <v/>
      </c>
      <c r="BI361" s="5" t="str">
        <f t="shared" si="80"/>
        <v/>
      </c>
    </row>
    <row r="362" spans="1:61" x14ac:dyDescent="0.25">
      <c r="A362">
        <v>221494</v>
      </c>
      <c r="B362" t="s">
        <v>15</v>
      </c>
      <c r="C362" t="s">
        <v>16</v>
      </c>
      <c r="D362">
        <v>63653</v>
      </c>
      <c r="E362">
        <v>1171</v>
      </c>
      <c r="F362">
        <v>3</v>
      </c>
      <c r="G362">
        <v>20113</v>
      </c>
      <c r="H362" t="s">
        <v>18</v>
      </c>
      <c r="I362">
        <v>5018.08</v>
      </c>
      <c r="J362">
        <v>180</v>
      </c>
      <c r="K362">
        <v>30832.34</v>
      </c>
      <c r="L362">
        <v>29542.44</v>
      </c>
      <c r="M362">
        <v>1289.9000000000001</v>
      </c>
      <c r="N362" s="3" t="str">
        <f t="shared" si="75"/>
        <v/>
      </c>
      <c r="O362" s="4" t="str">
        <f t="shared" si="75"/>
        <v/>
      </c>
      <c r="P362" s="4" t="str">
        <f t="shared" si="75"/>
        <v/>
      </c>
      <c r="Q362" s="4" t="str">
        <f t="shared" si="75"/>
        <v/>
      </c>
      <c r="R362" s="4" t="str">
        <f t="shared" si="75"/>
        <v/>
      </c>
      <c r="S362" s="4" t="str">
        <f t="shared" si="75"/>
        <v/>
      </c>
      <c r="T362" s="4" t="str">
        <f t="shared" si="75"/>
        <v/>
      </c>
      <c r="U362" s="4" t="str">
        <f t="shared" si="75"/>
        <v/>
      </c>
      <c r="V362" s="4" t="str">
        <f t="shared" si="70"/>
        <v/>
      </c>
      <c r="W362" s="4" t="str">
        <f t="shared" si="78"/>
        <v/>
      </c>
      <c r="X362" s="4" t="str">
        <f t="shared" si="78"/>
        <v/>
      </c>
      <c r="Y362" s="4" t="str">
        <f t="shared" si="78"/>
        <v/>
      </c>
      <c r="Z362" s="4" t="str">
        <f t="shared" si="78"/>
        <v/>
      </c>
      <c r="AA362" s="4" t="str">
        <f t="shared" si="78"/>
        <v/>
      </c>
      <c r="AB362" s="4">
        <f t="shared" si="78"/>
        <v>1</v>
      </c>
      <c r="AC362" s="5" t="str">
        <f t="shared" si="78"/>
        <v/>
      </c>
      <c r="AD362" s="3" t="str">
        <f t="shared" si="76"/>
        <v/>
      </c>
      <c r="AE362" s="4" t="str">
        <f t="shared" si="76"/>
        <v/>
      </c>
      <c r="AF362" s="4" t="str">
        <f t="shared" si="76"/>
        <v/>
      </c>
      <c r="AG362" s="4" t="str">
        <f t="shared" si="76"/>
        <v/>
      </c>
      <c r="AH362" s="4" t="str">
        <f t="shared" si="76"/>
        <v/>
      </c>
      <c r="AI362" s="4" t="str">
        <f t="shared" si="76"/>
        <v/>
      </c>
      <c r="AJ362" s="4" t="str">
        <f t="shared" si="76"/>
        <v/>
      </c>
      <c r="AK362" s="4" t="str">
        <f t="shared" si="76"/>
        <v/>
      </c>
      <c r="AL362" s="4" t="str">
        <f t="shared" si="72"/>
        <v/>
      </c>
      <c r="AM362" s="4" t="str">
        <f t="shared" si="79"/>
        <v/>
      </c>
      <c r="AN362" s="4" t="str">
        <f t="shared" si="79"/>
        <v/>
      </c>
      <c r="AO362" s="4" t="str">
        <f t="shared" si="79"/>
        <v/>
      </c>
      <c r="AP362" s="4" t="str">
        <f t="shared" si="79"/>
        <v/>
      </c>
      <c r="AQ362" s="4" t="str">
        <f t="shared" si="79"/>
        <v/>
      </c>
      <c r="AR362" s="4" t="str">
        <f t="shared" si="79"/>
        <v/>
      </c>
      <c r="AS362" s="5" t="str">
        <f t="shared" si="79"/>
        <v/>
      </c>
      <c r="AT362" s="3" t="str">
        <f t="shared" si="77"/>
        <v/>
      </c>
      <c r="AU362" s="4" t="str">
        <f t="shared" si="77"/>
        <v/>
      </c>
      <c r="AV362" s="4" t="str">
        <f t="shared" si="77"/>
        <v/>
      </c>
      <c r="AW362" s="4" t="str">
        <f t="shared" si="77"/>
        <v/>
      </c>
      <c r="AX362" s="4" t="str">
        <f t="shared" si="77"/>
        <v/>
      </c>
      <c r="AY362" s="4" t="str">
        <f t="shared" si="77"/>
        <v/>
      </c>
      <c r="AZ362" s="4" t="str">
        <f t="shared" si="77"/>
        <v/>
      </c>
      <c r="BA362" s="4" t="str">
        <f t="shared" si="77"/>
        <v/>
      </c>
      <c r="BB362" s="4" t="str">
        <f t="shared" si="74"/>
        <v/>
      </c>
      <c r="BC362" s="4" t="str">
        <f t="shared" si="80"/>
        <v/>
      </c>
      <c r="BD362" s="4" t="str">
        <f t="shared" si="80"/>
        <v/>
      </c>
      <c r="BE362" s="4" t="str">
        <f t="shared" si="80"/>
        <v/>
      </c>
      <c r="BF362" s="4" t="str">
        <f t="shared" si="80"/>
        <v/>
      </c>
      <c r="BG362" s="4" t="str">
        <f t="shared" si="80"/>
        <v/>
      </c>
      <c r="BH362" s="4" t="str">
        <f t="shared" si="80"/>
        <v/>
      </c>
      <c r="BI362" s="5" t="str">
        <f t="shared" si="80"/>
        <v/>
      </c>
    </row>
    <row r="363" spans="1:61" x14ac:dyDescent="0.25">
      <c r="A363">
        <v>221495</v>
      </c>
      <c r="B363" t="s">
        <v>15</v>
      </c>
      <c r="C363" t="s">
        <v>16</v>
      </c>
      <c r="D363">
        <v>63653</v>
      </c>
      <c r="E363">
        <v>1171</v>
      </c>
      <c r="F363">
        <v>3</v>
      </c>
      <c r="G363">
        <v>20114</v>
      </c>
      <c r="H363" t="s">
        <v>18</v>
      </c>
      <c r="I363">
        <v>7327</v>
      </c>
      <c r="J363">
        <v>216</v>
      </c>
      <c r="K363">
        <v>40270.519999999997</v>
      </c>
      <c r="L363">
        <v>39013.86</v>
      </c>
      <c r="M363">
        <v>1256.6600000000001</v>
      </c>
      <c r="N363" s="3" t="str">
        <f t="shared" si="75"/>
        <v/>
      </c>
      <c r="O363" s="4" t="str">
        <f t="shared" si="75"/>
        <v/>
      </c>
      <c r="P363" s="4" t="str">
        <f t="shared" si="75"/>
        <v/>
      </c>
      <c r="Q363" s="4" t="str">
        <f t="shared" si="75"/>
        <v/>
      </c>
      <c r="R363" s="4" t="str">
        <f t="shared" si="75"/>
        <v/>
      </c>
      <c r="S363" s="4" t="str">
        <f t="shared" si="75"/>
        <v/>
      </c>
      <c r="T363" s="4" t="str">
        <f t="shared" si="75"/>
        <v/>
      </c>
      <c r="U363" s="4" t="str">
        <f t="shared" si="75"/>
        <v/>
      </c>
      <c r="V363" s="4" t="str">
        <f t="shared" si="70"/>
        <v/>
      </c>
      <c r="W363" s="4" t="str">
        <f t="shared" si="78"/>
        <v/>
      </c>
      <c r="X363" s="4" t="str">
        <f t="shared" si="78"/>
        <v/>
      </c>
      <c r="Y363" s="4" t="str">
        <f t="shared" si="78"/>
        <v/>
      </c>
      <c r="Z363" s="4" t="str">
        <f t="shared" si="78"/>
        <v/>
      </c>
      <c r="AA363" s="4" t="str">
        <f t="shared" si="78"/>
        <v/>
      </c>
      <c r="AB363" s="4" t="str">
        <f t="shared" si="78"/>
        <v/>
      </c>
      <c r="AC363" s="5">
        <f t="shared" si="78"/>
        <v>1</v>
      </c>
      <c r="AD363" s="3" t="str">
        <f t="shared" si="76"/>
        <v/>
      </c>
      <c r="AE363" s="4" t="str">
        <f t="shared" si="76"/>
        <v/>
      </c>
      <c r="AF363" s="4" t="str">
        <f t="shared" si="76"/>
        <v/>
      </c>
      <c r="AG363" s="4" t="str">
        <f t="shared" si="76"/>
        <v/>
      </c>
      <c r="AH363" s="4" t="str">
        <f t="shared" si="76"/>
        <v/>
      </c>
      <c r="AI363" s="4" t="str">
        <f t="shared" si="76"/>
        <v/>
      </c>
      <c r="AJ363" s="4" t="str">
        <f t="shared" si="76"/>
        <v/>
      </c>
      <c r="AK363" s="4" t="str">
        <f t="shared" si="76"/>
        <v/>
      </c>
      <c r="AL363" s="4" t="str">
        <f t="shared" si="72"/>
        <v/>
      </c>
      <c r="AM363" s="4" t="str">
        <f t="shared" si="79"/>
        <v/>
      </c>
      <c r="AN363" s="4" t="str">
        <f t="shared" si="79"/>
        <v/>
      </c>
      <c r="AO363" s="4" t="str">
        <f t="shared" si="79"/>
        <v/>
      </c>
      <c r="AP363" s="4" t="str">
        <f t="shared" si="79"/>
        <v/>
      </c>
      <c r="AQ363" s="4" t="str">
        <f t="shared" si="79"/>
        <v/>
      </c>
      <c r="AR363" s="4" t="str">
        <f t="shared" si="79"/>
        <v/>
      </c>
      <c r="AS363" s="5" t="str">
        <f t="shared" si="79"/>
        <v/>
      </c>
      <c r="AT363" s="3" t="str">
        <f t="shared" si="77"/>
        <v/>
      </c>
      <c r="AU363" s="4" t="str">
        <f t="shared" si="77"/>
        <v/>
      </c>
      <c r="AV363" s="4" t="str">
        <f t="shared" si="77"/>
        <v/>
      </c>
      <c r="AW363" s="4" t="str">
        <f t="shared" si="77"/>
        <v/>
      </c>
      <c r="AX363" s="4" t="str">
        <f t="shared" si="77"/>
        <v/>
      </c>
      <c r="AY363" s="4" t="str">
        <f t="shared" si="77"/>
        <v/>
      </c>
      <c r="AZ363" s="4" t="str">
        <f t="shared" si="77"/>
        <v/>
      </c>
      <c r="BA363" s="4" t="str">
        <f t="shared" si="77"/>
        <v/>
      </c>
      <c r="BB363" s="4" t="str">
        <f t="shared" si="74"/>
        <v/>
      </c>
      <c r="BC363" s="4" t="str">
        <f t="shared" si="80"/>
        <v/>
      </c>
      <c r="BD363" s="4" t="str">
        <f t="shared" si="80"/>
        <v/>
      </c>
      <c r="BE363" s="4" t="str">
        <f t="shared" si="80"/>
        <v/>
      </c>
      <c r="BF363" s="4" t="str">
        <f t="shared" si="80"/>
        <v/>
      </c>
      <c r="BG363" s="4" t="str">
        <f t="shared" si="80"/>
        <v/>
      </c>
      <c r="BH363" s="4" t="str">
        <f t="shared" si="80"/>
        <v/>
      </c>
      <c r="BI363" s="5" t="str">
        <f t="shared" si="80"/>
        <v/>
      </c>
    </row>
    <row r="364" spans="1:61" x14ac:dyDescent="0.25">
      <c r="A364">
        <v>221496</v>
      </c>
      <c r="B364" t="s">
        <v>15</v>
      </c>
      <c r="C364" t="s">
        <v>16</v>
      </c>
      <c r="D364">
        <v>63653</v>
      </c>
      <c r="E364">
        <v>1171</v>
      </c>
      <c r="F364">
        <v>5</v>
      </c>
      <c r="G364">
        <v>20111</v>
      </c>
      <c r="H364" t="s">
        <v>18</v>
      </c>
      <c r="I364">
        <v>168160.601</v>
      </c>
      <c r="J364">
        <v>6011</v>
      </c>
      <c r="K364">
        <v>1933927.12</v>
      </c>
      <c r="L364">
        <v>1927873.65</v>
      </c>
      <c r="M364">
        <v>6053.47</v>
      </c>
      <c r="N364" s="3" t="str">
        <f t="shared" si="75"/>
        <v/>
      </c>
      <c r="O364" s="4" t="str">
        <f t="shared" si="75"/>
        <v/>
      </c>
      <c r="P364" s="4" t="str">
        <f t="shared" si="75"/>
        <v/>
      </c>
      <c r="Q364" s="4" t="str">
        <f t="shared" si="75"/>
        <v/>
      </c>
      <c r="R364" s="4" t="str">
        <f t="shared" si="75"/>
        <v/>
      </c>
      <c r="S364" s="4" t="str">
        <f t="shared" si="75"/>
        <v/>
      </c>
      <c r="T364" s="4" t="str">
        <f t="shared" si="75"/>
        <v/>
      </c>
      <c r="U364" s="4" t="str">
        <f t="shared" si="75"/>
        <v/>
      </c>
      <c r="V364" s="4" t="str">
        <f t="shared" si="70"/>
        <v/>
      </c>
      <c r="W364" s="4" t="str">
        <f t="shared" si="78"/>
        <v/>
      </c>
      <c r="X364" s="4" t="str">
        <f t="shared" si="78"/>
        <v/>
      </c>
      <c r="Y364" s="4" t="str">
        <f t="shared" si="78"/>
        <v/>
      </c>
      <c r="Z364" s="4">
        <f t="shared" si="78"/>
        <v>1</v>
      </c>
      <c r="AA364" s="4" t="str">
        <f t="shared" si="78"/>
        <v/>
      </c>
      <c r="AB364" s="4" t="str">
        <f t="shared" si="78"/>
        <v/>
      </c>
      <c r="AC364" s="5" t="str">
        <f t="shared" si="78"/>
        <v/>
      </c>
      <c r="AD364" s="3" t="str">
        <f t="shared" si="76"/>
        <v/>
      </c>
      <c r="AE364" s="4" t="str">
        <f t="shared" si="76"/>
        <v/>
      </c>
      <c r="AF364" s="4" t="str">
        <f t="shared" si="76"/>
        <v/>
      </c>
      <c r="AG364" s="4" t="str">
        <f t="shared" si="76"/>
        <v/>
      </c>
      <c r="AH364" s="4" t="str">
        <f t="shared" si="76"/>
        <v/>
      </c>
      <c r="AI364" s="4" t="str">
        <f t="shared" si="76"/>
        <v/>
      </c>
      <c r="AJ364" s="4" t="str">
        <f t="shared" si="76"/>
        <v/>
      </c>
      <c r="AK364" s="4" t="str">
        <f t="shared" si="76"/>
        <v/>
      </c>
      <c r="AL364" s="4" t="str">
        <f t="shared" si="72"/>
        <v/>
      </c>
      <c r="AM364" s="4" t="str">
        <f t="shared" si="79"/>
        <v/>
      </c>
      <c r="AN364" s="4" t="str">
        <f t="shared" si="79"/>
        <v/>
      </c>
      <c r="AO364" s="4" t="str">
        <f t="shared" si="79"/>
        <v/>
      </c>
      <c r="AP364" s="4" t="str">
        <f t="shared" si="79"/>
        <v/>
      </c>
      <c r="AQ364" s="4" t="str">
        <f t="shared" si="79"/>
        <v/>
      </c>
      <c r="AR364" s="4" t="str">
        <f t="shared" si="79"/>
        <v/>
      </c>
      <c r="AS364" s="5" t="str">
        <f t="shared" si="79"/>
        <v/>
      </c>
      <c r="AT364" s="3" t="str">
        <f t="shared" si="77"/>
        <v/>
      </c>
      <c r="AU364" s="4" t="str">
        <f t="shared" si="77"/>
        <v/>
      </c>
      <c r="AV364" s="4" t="str">
        <f t="shared" si="77"/>
        <v/>
      </c>
      <c r="AW364" s="4" t="str">
        <f t="shared" si="77"/>
        <v/>
      </c>
      <c r="AX364" s="4" t="str">
        <f t="shared" si="77"/>
        <v/>
      </c>
      <c r="AY364" s="4" t="str">
        <f t="shared" si="77"/>
        <v/>
      </c>
      <c r="AZ364" s="4" t="str">
        <f t="shared" si="77"/>
        <v/>
      </c>
      <c r="BA364" s="4" t="str">
        <f t="shared" si="77"/>
        <v/>
      </c>
      <c r="BB364" s="4" t="str">
        <f t="shared" si="74"/>
        <v/>
      </c>
      <c r="BC364" s="4" t="str">
        <f t="shared" si="80"/>
        <v/>
      </c>
      <c r="BD364" s="4" t="str">
        <f t="shared" si="80"/>
        <v/>
      </c>
      <c r="BE364" s="4" t="str">
        <f t="shared" si="80"/>
        <v/>
      </c>
      <c r="BF364" s="4" t="str">
        <f t="shared" si="80"/>
        <v/>
      </c>
      <c r="BG364" s="4" t="str">
        <f t="shared" si="80"/>
        <v/>
      </c>
      <c r="BH364" s="4" t="str">
        <f t="shared" si="80"/>
        <v/>
      </c>
      <c r="BI364" s="5" t="str">
        <f t="shared" si="80"/>
        <v/>
      </c>
    </row>
    <row r="365" spans="1:61" x14ac:dyDescent="0.25">
      <c r="A365">
        <v>221497</v>
      </c>
      <c r="B365" t="s">
        <v>15</v>
      </c>
      <c r="C365" t="s">
        <v>16</v>
      </c>
      <c r="D365">
        <v>63653</v>
      </c>
      <c r="E365">
        <v>1171</v>
      </c>
      <c r="F365">
        <v>5</v>
      </c>
      <c r="G365">
        <v>20112</v>
      </c>
      <c r="H365" t="s">
        <v>18</v>
      </c>
      <c r="I365">
        <v>197085</v>
      </c>
      <c r="J365">
        <v>6722</v>
      </c>
      <c r="K365">
        <v>2526569.4300000002</v>
      </c>
      <c r="L365">
        <v>2519027.62</v>
      </c>
      <c r="M365">
        <v>7541.81</v>
      </c>
      <c r="N365" s="3" t="str">
        <f t="shared" si="75"/>
        <v/>
      </c>
      <c r="O365" s="4" t="str">
        <f t="shared" si="75"/>
        <v/>
      </c>
      <c r="P365" s="4" t="str">
        <f t="shared" si="75"/>
        <v/>
      </c>
      <c r="Q365" s="4" t="str">
        <f t="shared" si="75"/>
        <v/>
      </c>
      <c r="R365" s="4" t="str">
        <f t="shared" si="75"/>
        <v/>
      </c>
      <c r="S365" s="4" t="str">
        <f t="shared" si="75"/>
        <v/>
      </c>
      <c r="T365" s="4" t="str">
        <f t="shared" si="75"/>
        <v/>
      </c>
      <c r="U365" s="4" t="str">
        <f t="shared" si="75"/>
        <v/>
      </c>
      <c r="V365" s="4" t="str">
        <f t="shared" si="70"/>
        <v/>
      </c>
      <c r="W365" s="4" t="str">
        <f t="shared" si="78"/>
        <v/>
      </c>
      <c r="X365" s="4" t="str">
        <f t="shared" si="78"/>
        <v/>
      </c>
      <c r="Y365" s="4" t="str">
        <f t="shared" si="78"/>
        <v/>
      </c>
      <c r="Z365" s="4" t="str">
        <f t="shared" si="78"/>
        <v/>
      </c>
      <c r="AA365" s="4">
        <f t="shared" si="78"/>
        <v>1</v>
      </c>
      <c r="AB365" s="4" t="str">
        <f t="shared" si="78"/>
        <v/>
      </c>
      <c r="AC365" s="5" t="str">
        <f t="shared" si="78"/>
        <v/>
      </c>
      <c r="AD365" s="3" t="str">
        <f t="shared" si="76"/>
        <v/>
      </c>
      <c r="AE365" s="4" t="str">
        <f t="shared" si="76"/>
        <v/>
      </c>
      <c r="AF365" s="4" t="str">
        <f t="shared" si="76"/>
        <v/>
      </c>
      <c r="AG365" s="4" t="str">
        <f t="shared" si="76"/>
        <v/>
      </c>
      <c r="AH365" s="4" t="str">
        <f t="shared" si="76"/>
        <v/>
      </c>
      <c r="AI365" s="4" t="str">
        <f t="shared" si="76"/>
        <v/>
      </c>
      <c r="AJ365" s="4" t="str">
        <f t="shared" si="76"/>
        <v/>
      </c>
      <c r="AK365" s="4" t="str">
        <f t="shared" si="76"/>
        <v/>
      </c>
      <c r="AL365" s="4" t="str">
        <f t="shared" si="72"/>
        <v/>
      </c>
      <c r="AM365" s="4" t="str">
        <f t="shared" si="79"/>
        <v/>
      </c>
      <c r="AN365" s="4" t="str">
        <f t="shared" si="79"/>
        <v/>
      </c>
      <c r="AO365" s="4" t="str">
        <f t="shared" si="79"/>
        <v/>
      </c>
      <c r="AP365" s="4" t="str">
        <f t="shared" si="79"/>
        <v/>
      </c>
      <c r="AQ365" s="4" t="str">
        <f t="shared" si="79"/>
        <v/>
      </c>
      <c r="AR365" s="4" t="str">
        <f t="shared" si="79"/>
        <v/>
      </c>
      <c r="AS365" s="5" t="str">
        <f t="shared" si="79"/>
        <v/>
      </c>
      <c r="AT365" s="3" t="str">
        <f t="shared" si="77"/>
        <v/>
      </c>
      <c r="AU365" s="4" t="str">
        <f t="shared" si="77"/>
        <v/>
      </c>
      <c r="AV365" s="4" t="str">
        <f t="shared" si="77"/>
        <v/>
      </c>
      <c r="AW365" s="4" t="str">
        <f t="shared" si="77"/>
        <v/>
      </c>
      <c r="AX365" s="4" t="str">
        <f t="shared" si="77"/>
        <v/>
      </c>
      <c r="AY365" s="4" t="str">
        <f t="shared" si="77"/>
        <v/>
      </c>
      <c r="AZ365" s="4" t="str">
        <f t="shared" si="77"/>
        <v/>
      </c>
      <c r="BA365" s="4" t="str">
        <f t="shared" si="77"/>
        <v/>
      </c>
      <c r="BB365" s="4" t="str">
        <f t="shared" si="74"/>
        <v/>
      </c>
      <c r="BC365" s="4" t="str">
        <f t="shared" si="80"/>
        <v/>
      </c>
      <c r="BD365" s="4" t="str">
        <f t="shared" si="80"/>
        <v/>
      </c>
      <c r="BE365" s="4" t="str">
        <f t="shared" si="80"/>
        <v/>
      </c>
      <c r="BF365" s="4" t="str">
        <f t="shared" si="80"/>
        <v/>
      </c>
      <c r="BG365" s="4" t="str">
        <f t="shared" si="80"/>
        <v/>
      </c>
      <c r="BH365" s="4" t="str">
        <f t="shared" si="80"/>
        <v/>
      </c>
      <c r="BI365" s="5" t="str">
        <f t="shared" si="80"/>
        <v/>
      </c>
    </row>
    <row r="366" spans="1:61" x14ac:dyDescent="0.25">
      <c r="A366">
        <v>221498</v>
      </c>
      <c r="B366" t="s">
        <v>15</v>
      </c>
      <c r="C366" t="s">
        <v>16</v>
      </c>
      <c r="D366">
        <v>63653</v>
      </c>
      <c r="E366">
        <v>1171</v>
      </c>
      <c r="F366">
        <v>5</v>
      </c>
      <c r="G366">
        <v>20113</v>
      </c>
      <c r="H366" t="s">
        <v>18</v>
      </c>
      <c r="I366">
        <v>196578.00099999999</v>
      </c>
      <c r="J366">
        <v>6511</v>
      </c>
      <c r="K366">
        <v>2627260.17</v>
      </c>
      <c r="L366">
        <v>2620716.64</v>
      </c>
      <c r="M366">
        <v>6543.53</v>
      </c>
      <c r="N366" s="3" t="str">
        <f t="shared" si="75"/>
        <v/>
      </c>
      <c r="O366" s="4" t="str">
        <f t="shared" si="75"/>
        <v/>
      </c>
      <c r="P366" s="4" t="str">
        <f t="shared" si="75"/>
        <v/>
      </c>
      <c r="Q366" s="4" t="str">
        <f t="shared" si="75"/>
        <v/>
      </c>
      <c r="R366" s="4" t="str">
        <f t="shared" si="75"/>
        <v/>
      </c>
      <c r="S366" s="4" t="str">
        <f t="shared" si="75"/>
        <v/>
      </c>
      <c r="T366" s="4" t="str">
        <f t="shared" si="75"/>
        <v/>
      </c>
      <c r="U366" s="4" t="str">
        <f t="shared" si="75"/>
        <v/>
      </c>
      <c r="V366" s="4" t="str">
        <f t="shared" si="70"/>
        <v/>
      </c>
      <c r="W366" s="4" t="str">
        <f t="shared" si="78"/>
        <v/>
      </c>
      <c r="X366" s="4" t="str">
        <f t="shared" si="78"/>
        <v/>
      </c>
      <c r="Y366" s="4" t="str">
        <f t="shared" si="78"/>
        <v/>
      </c>
      <c r="Z366" s="4" t="str">
        <f t="shared" si="78"/>
        <v/>
      </c>
      <c r="AA366" s="4" t="str">
        <f t="shared" si="78"/>
        <v/>
      </c>
      <c r="AB366" s="4">
        <f t="shared" si="78"/>
        <v>1</v>
      </c>
      <c r="AC366" s="5" t="str">
        <f t="shared" si="78"/>
        <v/>
      </c>
      <c r="AD366" s="3" t="str">
        <f t="shared" si="76"/>
        <v/>
      </c>
      <c r="AE366" s="4" t="str">
        <f t="shared" si="76"/>
        <v/>
      </c>
      <c r="AF366" s="4" t="str">
        <f t="shared" si="76"/>
        <v/>
      </c>
      <c r="AG366" s="4" t="str">
        <f t="shared" si="76"/>
        <v/>
      </c>
      <c r="AH366" s="4" t="str">
        <f t="shared" si="76"/>
        <v/>
      </c>
      <c r="AI366" s="4" t="str">
        <f t="shared" si="76"/>
        <v/>
      </c>
      <c r="AJ366" s="4" t="str">
        <f t="shared" si="76"/>
        <v/>
      </c>
      <c r="AK366" s="4" t="str">
        <f t="shared" si="76"/>
        <v/>
      </c>
      <c r="AL366" s="4" t="str">
        <f t="shared" si="72"/>
        <v/>
      </c>
      <c r="AM366" s="4" t="str">
        <f t="shared" si="79"/>
        <v/>
      </c>
      <c r="AN366" s="4" t="str">
        <f t="shared" si="79"/>
        <v/>
      </c>
      <c r="AO366" s="4" t="str">
        <f t="shared" si="79"/>
        <v/>
      </c>
      <c r="AP366" s="4" t="str">
        <f t="shared" si="79"/>
        <v/>
      </c>
      <c r="AQ366" s="4" t="str">
        <f t="shared" si="79"/>
        <v/>
      </c>
      <c r="AR366" s="4" t="str">
        <f t="shared" si="79"/>
        <v/>
      </c>
      <c r="AS366" s="5" t="str">
        <f t="shared" si="79"/>
        <v/>
      </c>
      <c r="AT366" s="3" t="str">
        <f t="shared" si="77"/>
        <v/>
      </c>
      <c r="AU366" s="4" t="str">
        <f t="shared" si="77"/>
        <v/>
      </c>
      <c r="AV366" s="4" t="str">
        <f t="shared" si="77"/>
        <v/>
      </c>
      <c r="AW366" s="4" t="str">
        <f t="shared" si="77"/>
        <v/>
      </c>
      <c r="AX366" s="4" t="str">
        <f t="shared" si="77"/>
        <v/>
      </c>
      <c r="AY366" s="4" t="str">
        <f t="shared" si="77"/>
        <v/>
      </c>
      <c r="AZ366" s="4" t="str">
        <f t="shared" si="77"/>
        <v/>
      </c>
      <c r="BA366" s="4" t="str">
        <f t="shared" si="77"/>
        <v/>
      </c>
      <c r="BB366" s="4" t="str">
        <f t="shared" si="74"/>
        <v/>
      </c>
      <c r="BC366" s="4" t="str">
        <f t="shared" si="80"/>
        <v/>
      </c>
      <c r="BD366" s="4" t="str">
        <f t="shared" si="80"/>
        <v/>
      </c>
      <c r="BE366" s="4" t="str">
        <f t="shared" si="80"/>
        <v/>
      </c>
      <c r="BF366" s="4" t="str">
        <f t="shared" si="80"/>
        <v/>
      </c>
      <c r="BG366" s="4" t="str">
        <f t="shared" si="80"/>
        <v/>
      </c>
      <c r="BH366" s="4" t="str">
        <f t="shared" si="80"/>
        <v/>
      </c>
      <c r="BI366" s="5" t="str">
        <f t="shared" si="80"/>
        <v/>
      </c>
    </row>
    <row r="367" spans="1:61" x14ac:dyDescent="0.25">
      <c r="A367">
        <v>221499</v>
      </c>
      <c r="B367" t="s">
        <v>15</v>
      </c>
      <c r="C367" t="s">
        <v>16</v>
      </c>
      <c r="D367">
        <v>63653</v>
      </c>
      <c r="E367">
        <v>1171</v>
      </c>
      <c r="F367">
        <v>5</v>
      </c>
      <c r="G367">
        <v>20114</v>
      </c>
      <c r="H367" t="s">
        <v>18</v>
      </c>
      <c r="I367">
        <v>433923.82799999998</v>
      </c>
      <c r="J367">
        <v>14751</v>
      </c>
      <c r="K367">
        <v>3974244.27</v>
      </c>
      <c r="L367">
        <v>3964482.56</v>
      </c>
      <c r="M367">
        <v>9761.7099999999991</v>
      </c>
      <c r="N367" s="3" t="str">
        <f t="shared" si="75"/>
        <v/>
      </c>
      <c r="O367" s="4" t="str">
        <f t="shared" si="75"/>
        <v/>
      </c>
      <c r="P367" s="4" t="str">
        <f t="shared" si="75"/>
        <v/>
      </c>
      <c r="Q367" s="4" t="str">
        <f t="shared" si="75"/>
        <v/>
      </c>
      <c r="R367" s="4" t="str">
        <f t="shared" si="75"/>
        <v/>
      </c>
      <c r="S367" s="4" t="str">
        <f t="shared" si="75"/>
        <v/>
      </c>
      <c r="T367" s="4" t="str">
        <f t="shared" si="75"/>
        <v/>
      </c>
      <c r="U367" s="4" t="str">
        <f t="shared" si="75"/>
        <v/>
      </c>
      <c r="V367" s="4" t="str">
        <f t="shared" si="70"/>
        <v/>
      </c>
      <c r="W367" s="4" t="str">
        <f t="shared" si="78"/>
        <v/>
      </c>
      <c r="X367" s="4" t="str">
        <f t="shared" si="78"/>
        <v/>
      </c>
      <c r="Y367" s="4" t="str">
        <f t="shared" si="78"/>
        <v/>
      </c>
      <c r="Z367" s="4" t="str">
        <f t="shared" si="78"/>
        <v/>
      </c>
      <c r="AA367" s="4" t="str">
        <f t="shared" si="78"/>
        <v/>
      </c>
      <c r="AB367" s="4" t="str">
        <f t="shared" si="78"/>
        <v/>
      </c>
      <c r="AC367" s="5">
        <f t="shared" si="78"/>
        <v>1</v>
      </c>
      <c r="AD367" s="3" t="str">
        <f t="shared" si="76"/>
        <v/>
      </c>
      <c r="AE367" s="4" t="str">
        <f t="shared" si="76"/>
        <v/>
      </c>
      <c r="AF367" s="4" t="str">
        <f t="shared" si="76"/>
        <v/>
      </c>
      <c r="AG367" s="4" t="str">
        <f t="shared" si="76"/>
        <v/>
      </c>
      <c r="AH367" s="4" t="str">
        <f t="shared" si="76"/>
        <v/>
      </c>
      <c r="AI367" s="4" t="str">
        <f t="shared" si="76"/>
        <v/>
      </c>
      <c r="AJ367" s="4" t="str">
        <f t="shared" si="76"/>
        <v/>
      </c>
      <c r="AK367" s="4" t="str">
        <f t="shared" si="76"/>
        <v/>
      </c>
      <c r="AL367" s="4" t="str">
        <f t="shared" si="72"/>
        <v/>
      </c>
      <c r="AM367" s="4" t="str">
        <f t="shared" si="79"/>
        <v/>
      </c>
      <c r="AN367" s="4" t="str">
        <f t="shared" si="79"/>
        <v/>
      </c>
      <c r="AO367" s="4" t="str">
        <f t="shared" si="79"/>
        <v/>
      </c>
      <c r="AP367" s="4" t="str">
        <f t="shared" si="79"/>
        <v/>
      </c>
      <c r="AQ367" s="4" t="str">
        <f t="shared" si="79"/>
        <v/>
      </c>
      <c r="AR367" s="4" t="str">
        <f t="shared" si="79"/>
        <v/>
      </c>
      <c r="AS367" s="5" t="str">
        <f t="shared" si="79"/>
        <v/>
      </c>
      <c r="AT367" s="3" t="str">
        <f t="shared" si="77"/>
        <v/>
      </c>
      <c r="AU367" s="4" t="str">
        <f t="shared" si="77"/>
        <v/>
      </c>
      <c r="AV367" s="4" t="str">
        <f t="shared" si="77"/>
        <v/>
      </c>
      <c r="AW367" s="4" t="str">
        <f t="shared" si="77"/>
        <v/>
      </c>
      <c r="AX367" s="4" t="str">
        <f t="shared" si="77"/>
        <v/>
      </c>
      <c r="AY367" s="4" t="str">
        <f t="shared" si="77"/>
        <v/>
      </c>
      <c r="AZ367" s="4" t="str">
        <f t="shared" si="77"/>
        <v/>
      </c>
      <c r="BA367" s="4" t="str">
        <f t="shared" si="77"/>
        <v/>
      </c>
      <c r="BB367" s="4" t="str">
        <f t="shared" si="74"/>
        <v/>
      </c>
      <c r="BC367" s="4" t="str">
        <f t="shared" si="80"/>
        <v/>
      </c>
      <c r="BD367" s="4" t="str">
        <f t="shared" si="80"/>
        <v/>
      </c>
      <c r="BE367" s="4" t="str">
        <f t="shared" si="80"/>
        <v/>
      </c>
      <c r="BF367" s="4" t="str">
        <f t="shared" si="80"/>
        <v/>
      </c>
      <c r="BG367" s="4" t="str">
        <f t="shared" si="80"/>
        <v/>
      </c>
      <c r="BH367" s="4" t="str">
        <f t="shared" si="80"/>
        <v/>
      </c>
      <c r="BI367" s="5" t="str">
        <f t="shared" si="80"/>
        <v/>
      </c>
    </row>
    <row r="368" spans="1:61" x14ac:dyDescent="0.25">
      <c r="A368">
        <v>221500</v>
      </c>
      <c r="B368" t="s">
        <v>15</v>
      </c>
      <c r="C368" t="s">
        <v>16</v>
      </c>
      <c r="D368">
        <v>63653</v>
      </c>
      <c r="E368">
        <v>1171</v>
      </c>
      <c r="F368">
        <v>6</v>
      </c>
      <c r="G368">
        <v>20111</v>
      </c>
      <c r="H368" t="s">
        <v>18</v>
      </c>
      <c r="I368">
        <v>1326782.405</v>
      </c>
      <c r="J368">
        <v>44268</v>
      </c>
      <c r="K368">
        <v>7852169.8300000001</v>
      </c>
      <c r="L368">
        <v>7823371.9900000002</v>
      </c>
      <c r="M368">
        <v>28797.84</v>
      </c>
      <c r="N368" s="3" t="str">
        <f t="shared" si="75"/>
        <v/>
      </c>
      <c r="O368" s="4" t="str">
        <f t="shared" si="75"/>
        <v/>
      </c>
      <c r="P368" s="4" t="str">
        <f t="shared" si="75"/>
        <v/>
      </c>
      <c r="Q368" s="4" t="str">
        <f t="shared" si="75"/>
        <v/>
      </c>
      <c r="R368" s="4" t="str">
        <f t="shared" si="75"/>
        <v/>
      </c>
      <c r="S368" s="4" t="str">
        <f t="shared" si="75"/>
        <v/>
      </c>
      <c r="T368" s="4" t="str">
        <f t="shared" si="75"/>
        <v/>
      </c>
      <c r="U368" s="4" t="str">
        <f t="shared" si="75"/>
        <v/>
      </c>
      <c r="V368" s="4" t="str">
        <f t="shared" si="70"/>
        <v/>
      </c>
      <c r="W368" s="4" t="str">
        <f t="shared" si="78"/>
        <v/>
      </c>
      <c r="X368" s="4" t="str">
        <f t="shared" si="78"/>
        <v/>
      </c>
      <c r="Y368" s="4" t="str">
        <f t="shared" si="78"/>
        <v/>
      </c>
      <c r="Z368" s="4">
        <f t="shared" si="78"/>
        <v>1</v>
      </c>
      <c r="AA368" s="4" t="str">
        <f t="shared" si="78"/>
        <v/>
      </c>
      <c r="AB368" s="4" t="str">
        <f t="shared" si="78"/>
        <v/>
      </c>
      <c r="AC368" s="5" t="str">
        <f t="shared" si="78"/>
        <v/>
      </c>
      <c r="AD368" s="3" t="str">
        <f t="shared" si="76"/>
        <v/>
      </c>
      <c r="AE368" s="4" t="str">
        <f t="shared" si="76"/>
        <v/>
      </c>
      <c r="AF368" s="4" t="str">
        <f t="shared" si="76"/>
        <v/>
      </c>
      <c r="AG368" s="4" t="str">
        <f t="shared" si="76"/>
        <v/>
      </c>
      <c r="AH368" s="4" t="str">
        <f t="shared" si="76"/>
        <v/>
      </c>
      <c r="AI368" s="4" t="str">
        <f t="shared" si="76"/>
        <v/>
      </c>
      <c r="AJ368" s="4" t="str">
        <f t="shared" si="76"/>
        <v/>
      </c>
      <c r="AK368" s="4" t="str">
        <f t="shared" si="76"/>
        <v/>
      </c>
      <c r="AL368" s="4" t="str">
        <f t="shared" si="72"/>
        <v/>
      </c>
      <c r="AM368" s="4" t="str">
        <f t="shared" si="79"/>
        <v/>
      </c>
      <c r="AN368" s="4" t="str">
        <f t="shared" si="79"/>
        <v/>
      </c>
      <c r="AO368" s="4" t="str">
        <f t="shared" si="79"/>
        <v/>
      </c>
      <c r="AP368" s="4" t="str">
        <f t="shared" si="79"/>
        <v/>
      </c>
      <c r="AQ368" s="4" t="str">
        <f t="shared" si="79"/>
        <v/>
      </c>
      <c r="AR368" s="4" t="str">
        <f t="shared" si="79"/>
        <v/>
      </c>
      <c r="AS368" s="5" t="str">
        <f t="shared" si="79"/>
        <v/>
      </c>
      <c r="AT368" s="3" t="str">
        <f t="shared" si="77"/>
        <v/>
      </c>
      <c r="AU368" s="4" t="str">
        <f t="shared" si="77"/>
        <v/>
      </c>
      <c r="AV368" s="4" t="str">
        <f t="shared" si="77"/>
        <v/>
      </c>
      <c r="AW368" s="4" t="str">
        <f t="shared" si="77"/>
        <v/>
      </c>
      <c r="AX368" s="4" t="str">
        <f t="shared" si="77"/>
        <v/>
      </c>
      <c r="AY368" s="4" t="str">
        <f t="shared" si="77"/>
        <v/>
      </c>
      <c r="AZ368" s="4" t="str">
        <f t="shared" si="77"/>
        <v/>
      </c>
      <c r="BA368" s="4" t="str">
        <f t="shared" si="77"/>
        <v/>
      </c>
      <c r="BB368" s="4" t="str">
        <f t="shared" si="74"/>
        <v/>
      </c>
      <c r="BC368" s="4" t="str">
        <f t="shared" si="80"/>
        <v/>
      </c>
      <c r="BD368" s="4" t="str">
        <f t="shared" si="80"/>
        <v/>
      </c>
      <c r="BE368" s="4" t="str">
        <f t="shared" si="80"/>
        <v/>
      </c>
      <c r="BF368" s="4" t="str">
        <f t="shared" si="80"/>
        <v/>
      </c>
      <c r="BG368" s="4" t="str">
        <f t="shared" si="80"/>
        <v/>
      </c>
      <c r="BH368" s="4" t="str">
        <f t="shared" si="80"/>
        <v/>
      </c>
      <c r="BI368" s="5" t="str">
        <f t="shared" si="80"/>
        <v/>
      </c>
    </row>
    <row r="369" spans="1:61" x14ac:dyDescent="0.25">
      <c r="A369">
        <v>221501</v>
      </c>
      <c r="B369" t="s">
        <v>15</v>
      </c>
      <c r="C369" t="s">
        <v>16</v>
      </c>
      <c r="D369">
        <v>63653</v>
      </c>
      <c r="E369">
        <v>1171</v>
      </c>
      <c r="F369">
        <v>6</v>
      </c>
      <c r="G369">
        <v>20112</v>
      </c>
      <c r="H369" t="s">
        <v>18</v>
      </c>
      <c r="I369">
        <v>1451232.5020000001</v>
      </c>
      <c r="J369">
        <v>47631</v>
      </c>
      <c r="K369">
        <v>9040376.0600000005</v>
      </c>
      <c r="L369">
        <v>9003339.25</v>
      </c>
      <c r="M369">
        <v>37036.81</v>
      </c>
      <c r="N369" s="3" t="str">
        <f t="shared" si="75"/>
        <v/>
      </c>
      <c r="O369" s="4" t="str">
        <f t="shared" si="75"/>
        <v/>
      </c>
      <c r="P369" s="4" t="str">
        <f t="shared" si="75"/>
        <v/>
      </c>
      <c r="Q369" s="4" t="str">
        <f t="shared" si="75"/>
        <v/>
      </c>
      <c r="R369" s="4" t="str">
        <f t="shared" si="75"/>
        <v/>
      </c>
      <c r="S369" s="4" t="str">
        <f t="shared" si="75"/>
        <v/>
      </c>
      <c r="T369" s="4" t="str">
        <f t="shared" si="75"/>
        <v/>
      </c>
      <c r="U369" s="4" t="str">
        <f t="shared" si="75"/>
        <v/>
      </c>
      <c r="V369" s="4" t="str">
        <f t="shared" si="70"/>
        <v/>
      </c>
      <c r="W369" s="4" t="str">
        <f t="shared" si="78"/>
        <v/>
      </c>
      <c r="X369" s="4" t="str">
        <f t="shared" si="78"/>
        <v/>
      </c>
      <c r="Y369" s="4" t="str">
        <f t="shared" si="78"/>
        <v/>
      </c>
      <c r="Z369" s="4" t="str">
        <f t="shared" si="78"/>
        <v/>
      </c>
      <c r="AA369" s="4">
        <f t="shared" si="78"/>
        <v>1</v>
      </c>
      <c r="AB369" s="4" t="str">
        <f t="shared" si="78"/>
        <v/>
      </c>
      <c r="AC369" s="5" t="str">
        <f t="shared" si="78"/>
        <v/>
      </c>
      <c r="AD369" s="3" t="str">
        <f t="shared" si="76"/>
        <v/>
      </c>
      <c r="AE369" s="4" t="str">
        <f t="shared" si="76"/>
        <v/>
      </c>
      <c r="AF369" s="4" t="str">
        <f t="shared" si="76"/>
        <v/>
      </c>
      <c r="AG369" s="4" t="str">
        <f t="shared" si="76"/>
        <v/>
      </c>
      <c r="AH369" s="4" t="str">
        <f t="shared" si="76"/>
        <v/>
      </c>
      <c r="AI369" s="4" t="str">
        <f t="shared" si="76"/>
        <v/>
      </c>
      <c r="AJ369" s="4" t="str">
        <f t="shared" si="76"/>
        <v/>
      </c>
      <c r="AK369" s="4" t="str">
        <f t="shared" si="76"/>
        <v/>
      </c>
      <c r="AL369" s="4" t="str">
        <f t="shared" si="72"/>
        <v/>
      </c>
      <c r="AM369" s="4" t="str">
        <f t="shared" si="79"/>
        <v/>
      </c>
      <c r="AN369" s="4" t="str">
        <f t="shared" si="79"/>
        <v/>
      </c>
      <c r="AO369" s="4" t="str">
        <f t="shared" si="79"/>
        <v/>
      </c>
      <c r="AP369" s="4" t="str">
        <f t="shared" si="79"/>
        <v/>
      </c>
      <c r="AQ369" s="4" t="str">
        <f t="shared" si="79"/>
        <v/>
      </c>
      <c r="AR369" s="4" t="str">
        <f t="shared" si="79"/>
        <v/>
      </c>
      <c r="AS369" s="5" t="str">
        <f t="shared" si="79"/>
        <v/>
      </c>
      <c r="AT369" s="3" t="str">
        <f t="shared" si="77"/>
        <v/>
      </c>
      <c r="AU369" s="4" t="str">
        <f t="shared" si="77"/>
        <v/>
      </c>
      <c r="AV369" s="4" t="str">
        <f t="shared" si="77"/>
        <v/>
      </c>
      <c r="AW369" s="4" t="str">
        <f t="shared" si="77"/>
        <v/>
      </c>
      <c r="AX369" s="4" t="str">
        <f t="shared" si="77"/>
        <v/>
      </c>
      <c r="AY369" s="4" t="str">
        <f t="shared" si="77"/>
        <v/>
      </c>
      <c r="AZ369" s="4" t="str">
        <f t="shared" si="77"/>
        <v/>
      </c>
      <c r="BA369" s="4" t="str">
        <f t="shared" si="77"/>
        <v/>
      </c>
      <c r="BB369" s="4" t="str">
        <f t="shared" si="74"/>
        <v/>
      </c>
      <c r="BC369" s="4" t="str">
        <f t="shared" si="80"/>
        <v/>
      </c>
      <c r="BD369" s="4" t="str">
        <f t="shared" si="80"/>
        <v/>
      </c>
      <c r="BE369" s="4" t="str">
        <f t="shared" si="80"/>
        <v/>
      </c>
      <c r="BF369" s="4" t="str">
        <f t="shared" si="80"/>
        <v/>
      </c>
      <c r="BG369" s="4" t="str">
        <f t="shared" si="80"/>
        <v/>
      </c>
      <c r="BH369" s="4" t="str">
        <f t="shared" si="80"/>
        <v/>
      </c>
      <c r="BI369" s="5" t="str">
        <f t="shared" si="80"/>
        <v/>
      </c>
    </row>
    <row r="370" spans="1:61" x14ac:dyDescent="0.25">
      <c r="A370">
        <v>221502</v>
      </c>
      <c r="B370" t="s">
        <v>15</v>
      </c>
      <c r="C370" t="s">
        <v>16</v>
      </c>
      <c r="D370">
        <v>63653</v>
      </c>
      <c r="E370">
        <v>1171</v>
      </c>
      <c r="F370">
        <v>6</v>
      </c>
      <c r="G370">
        <v>20113</v>
      </c>
      <c r="H370" t="s">
        <v>18</v>
      </c>
      <c r="I370">
        <v>1514919.003</v>
      </c>
      <c r="J370">
        <v>50058</v>
      </c>
      <c r="K370">
        <v>9498039.5099999998</v>
      </c>
      <c r="L370">
        <v>9458884.9299999997</v>
      </c>
      <c r="M370">
        <v>39154.58</v>
      </c>
      <c r="N370" s="3" t="str">
        <f t="shared" si="75"/>
        <v/>
      </c>
      <c r="O370" s="4" t="str">
        <f t="shared" si="75"/>
        <v/>
      </c>
      <c r="P370" s="4" t="str">
        <f t="shared" si="75"/>
        <v/>
      </c>
      <c r="Q370" s="4" t="str">
        <f t="shared" si="75"/>
        <v/>
      </c>
      <c r="R370" s="4" t="str">
        <f t="shared" si="75"/>
        <v/>
      </c>
      <c r="S370" s="4" t="str">
        <f t="shared" ref="N370:U402" si="81">IF(AND($B370=S$3, $G370=S$2, $H370=S$1), 1, "")</f>
        <v/>
      </c>
      <c r="T370" s="4" t="str">
        <f t="shared" si="81"/>
        <v/>
      </c>
      <c r="U370" s="4" t="str">
        <f t="shared" si="81"/>
        <v/>
      </c>
      <c r="V370" s="4" t="str">
        <f t="shared" ref="V370:V433" si="82">IF(AND($B370=V$3, $G370=V$2, LEFT($H370, 6)=V$1), 1, "")</f>
        <v/>
      </c>
      <c r="W370" s="4" t="str">
        <f t="shared" si="78"/>
        <v/>
      </c>
      <c r="X370" s="4" t="str">
        <f t="shared" si="78"/>
        <v/>
      </c>
      <c r="Y370" s="4" t="str">
        <f t="shared" si="78"/>
        <v/>
      </c>
      <c r="Z370" s="4" t="str">
        <f t="shared" si="78"/>
        <v/>
      </c>
      <c r="AA370" s="4" t="str">
        <f t="shared" si="78"/>
        <v/>
      </c>
      <c r="AB370" s="4">
        <f t="shared" si="78"/>
        <v>1</v>
      </c>
      <c r="AC370" s="5" t="str">
        <f t="shared" si="78"/>
        <v/>
      </c>
      <c r="AD370" s="3" t="str">
        <f t="shared" si="76"/>
        <v/>
      </c>
      <c r="AE370" s="4" t="str">
        <f t="shared" si="76"/>
        <v/>
      </c>
      <c r="AF370" s="4" t="str">
        <f t="shared" si="76"/>
        <v/>
      </c>
      <c r="AG370" s="4" t="str">
        <f t="shared" si="76"/>
        <v/>
      </c>
      <c r="AH370" s="4" t="str">
        <f t="shared" si="76"/>
        <v/>
      </c>
      <c r="AI370" s="4" t="str">
        <f t="shared" ref="AD370:AK402" si="83">IF(AND($B370=AI$3, $G370=AI$2, $H370=AI$1), 1, "")</f>
        <v/>
      </c>
      <c r="AJ370" s="4" t="str">
        <f t="shared" si="83"/>
        <v/>
      </c>
      <c r="AK370" s="4" t="str">
        <f t="shared" si="83"/>
        <v/>
      </c>
      <c r="AL370" s="4" t="str">
        <f t="shared" ref="AL370:AL433" si="84">IF(AND($B370=AL$3, $G370=AL$2, LEFT($H370, 6)=AL$1), 1, "")</f>
        <v/>
      </c>
      <c r="AM370" s="4" t="str">
        <f t="shared" si="79"/>
        <v/>
      </c>
      <c r="AN370" s="4" t="str">
        <f t="shared" si="79"/>
        <v/>
      </c>
      <c r="AO370" s="4" t="str">
        <f t="shared" si="79"/>
        <v/>
      </c>
      <c r="AP370" s="4" t="str">
        <f t="shared" si="79"/>
        <v/>
      </c>
      <c r="AQ370" s="4" t="str">
        <f t="shared" si="79"/>
        <v/>
      </c>
      <c r="AR370" s="4" t="str">
        <f t="shared" si="79"/>
        <v/>
      </c>
      <c r="AS370" s="5" t="str">
        <f t="shared" si="79"/>
        <v/>
      </c>
      <c r="AT370" s="3" t="str">
        <f t="shared" si="77"/>
        <v/>
      </c>
      <c r="AU370" s="4" t="str">
        <f t="shared" si="77"/>
        <v/>
      </c>
      <c r="AV370" s="4" t="str">
        <f t="shared" si="77"/>
        <v/>
      </c>
      <c r="AW370" s="4" t="str">
        <f t="shared" si="77"/>
        <v/>
      </c>
      <c r="AX370" s="4" t="str">
        <f t="shared" si="77"/>
        <v/>
      </c>
      <c r="AY370" s="4" t="str">
        <f t="shared" ref="AT370:BA402" si="85">IF(AND($B370=AY$3, $G370=AY$2, $H370=AY$1), 1, "")</f>
        <v/>
      </c>
      <c r="AZ370" s="4" t="str">
        <f t="shared" si="85"/>
        <v/>
      </c>
      <c r="BA370" s="4" t="str">
        <f t="shared" si="85"/>
        <v/>
      </c>
      <c r="BB370" s="4" t="str">
        <f t="shared" ref="BB370:BB433" si="86">IF(AND($B370=BB$3, $G370=BB$2, LEFT($H370, 6)=BB$1), 1, "")</f>
        <v/>
      </c>
      <c r="BC370" s="4" t="str">
        <f t="shared" si="80"/>
        <v/>
      </c>
      <c r="BD370" s="4" t="str">
        <f t="shared" si="80"/>
        <v/>
      </c>
      <c r="BE370" s="4" t="str">
        <f t="shared" si="80"/>
        <v/>
      </c>
      <c r="BF370" s="4" t="str">
        <f t="shared" si="80"/>
        <v/>
      </c>
      <c r="BG370" s="4" t="str">
        <f t="shared" si="80"/>
        <v/>
      </c>
      <c r="BH370" s="4" t="str">
        <f t="shared" si="80"/>
        <v/>
      </c>
      <c r="BI370" s="5" t="str">
        <f t="shared" si="80"/>
        <v/>
      </c>
    </row>
    <row r="371" spans="1:61" x14ac:dyDescent="0.25">
      <c r="A371">
        <v>221503</v>
      </c>
      <c r="B371" t="s">
        <v>15</v>
      </c>
      <c r="C371" t="s">
        <v>16</v>
      </c>
      <c r="D371">
        <v>63653</v>
      </c>
      <c r="E371">
        <v>1171</v>
      </c>
      <c r="F371">
        <v>6</v>
      </c>
      <c r="G371">
        <v>20114</v>
      </c>
      <c r="H371" t="s">
        <v>18</v>
      </c>
      <c r="I371">
        <v>2778012.34</v>
      </c>
      <c r="J371">
        <v>93693</v>
      </c>
      <c r="K371">
        <v>17292680.210000001</v>
      </c>
      <c r="L371">
        <v>17242564.370000001</v>
      </c>
      <c r="M371">
        <v>50115.839999999997</v>
      </c>
      <c r="N371" s="3" t="str">
        <f t="shared" si="81"/>
        <v/>
      </c>
      <c r="O371" s="4" t="str">
        <f t="shared" si="81"/>
        <v/>
      </c>
      <c r="P371" s="4" t="str">
        <f t="shared" si="81"/>
        <v/>
      </c>
      <c r="Q371" s="4" t="str">
        <f t="shared" si="81"/>
        <v/>
      </c>
      <c r="R371" s="4" t="str">
        <f t="shared" si="81"/>
        <v/>
      </c>
      <c r="S371" s="4" t="str">
        <f t="shared" si="81"/>
        <v/>
      </c>
      <c r="T371" s="4" t="str">
        <f t="shared" si="81"/>
        <v/>
      </c>
      <c r="U371" s="4" t="str">
        <f t="shared" si="81"/>
        <v/>
      </c>
      <c r="V371" s="4" t="str">
        <f t="shared" si="82"/>
        <v/>
      </c>
      <c r="W371" s="4" t="str">
        <f t="shared" si="78"/>
        <v/>
      </c>
      <c r="X371" s="4" t="str">
        <f t="shared" si="78"/>
        <v/>
      </c>
      <c r="Y371" s="4" t="str">
        <f t="shared" si="78"/>
        <v/>
      </c>
      <c r="Z371" s="4" t="str">
        <f t="shared" si="78"/>
        <v/>
      </c>
      <c r="AA371" s="4" t="str">
        <f t="shared" si="78"/>
        <v/>
      </c>
      <c r="AB371" s="4" t="str">
        <f t="shared" si="78"/>
        <v/>
      </c>
      <c r="AC371" s="5">
        <f t="shared" si="78"/>
        <v>1</v>
      </c>
      <c r="AD371" s="3" t="str">
        <f t="shared" si="83"/>
        <v/>
      </c>
      <c r="AE371" s="4" t="str">
        <f t="shared" si="83"/>
        <v/>
      </c>
      <c r="AF371" s="4" t="str">
        <f t="shared" si="83"/>
        <v/>
      </c>
      <c r="AG371" s="4" t="str">
        <f t="shared" si="83"/>
        <v/>
      </c>
      <c r="AH371" s="4" t="str">
        <f t="shared" si="83"/>
        <v/>
      </c>
      <c r="AI371" s="4" t="str">
        <f t="shared" si="83"/>
        <v/>
      </c>
      <c r="AJ371" s="4" t="str">
        <f t="shared" si="83"/>
        <v/>
      </c>
      <c r="AK371" s="4" t="str">
        <f t="shared" si="83"/>
        <v/>
      </c>
      <c r="AL371" s="4" t="str">
        <f t="shared" si="84"/>
        <v/>
      </c>
      <c r="AM371" s="4" t="str">
        <f t="shared" si="79"/>
        <v/>
      </c>
      <c r="AN371" s="4" t="str">
        <f t="shared" si="79"/>
        <v/>
      </c>
      <c r="AO371" s="4" t="str">
        <f t="shared" si="79"/>
        <v/>
      </c>
      <c r="AP371" s="4" t="str">
        <f t="shared" si="79"/>
        <v/>
      </c>
      <c r="AQ371" s="4" t="str">
        <f t="shared" si="79"/>
        <v/>
      </c>
      <c r="AR371" s="4" t="str">
        <f t="shared" si="79"/>
        <v/>
      </c>
      <c r="AS371" s="5" t="str">
        <f t="shared" si="79"/>
        <v/>
      </c>
      <c r="AT371" s="3" t="str">
        <f t="shared" si="85"/>
        <v/>
      </c>
      <c r="AU371" s="4" t="str">
        <f t="shared" si="85"/>
        <v/>
      </c>
      <c r="AV371" s="4" t="str">
        <f t="shared" si="85"/>
        <v/>
      </c>
      <c r="AW371" s="4" t="str">
        <f t="shared" si="85"/>
        <v/>
      </c>
      <c r="AX371" s="4" t="str">
        <f t="shared" si="85"/>
        <v/>
      </c>
      <c r="AY371" s="4" t="str">
        <f t="shared" si="85"/>
        <v/>
      </c>
      <c r="AZ371" s="4" t="str">
        <f t="shared" si="85"/>
        <v/>
      </c>
      <c r="BA371" s="4" t="str">
        <f t="shared" si="85"/>
        <v/>
      </c>
      <c r="BB371" s="4" t="str">
        <f t="shared" si="86"/>
        <v/>
      </c>
      <c r="BC371" s="4" t="str">
        <f t="shared" si="80"/>
        <v/>
      </c>
      <c r="BD371" s="4" t="str">
        <f t="shared" si="80"/>
        <v/>
      </c>
      <c r="BE371" s="4" t="str">
        <f t="shared" si="80"/>
        <v/>
      </c>
      <c r="BF371" s="4" t="str">
        <f t="shared" si="80"/>
        <v/>
      </c>
      <c r="BG371" s="4" t="str">
        <f t="shared" si="80"/>
        <v/>
      </c>
      <c r="BH371" s="4" t="str">
        <f t="shared" si="80"/>
        <v/>
      </c>
      <c r="BI371" s="5" t="str">
        <f t="shared" si="80"/>
        <v/>
      </c>
    </row>
    <row r="372" spans="1:61" x14ac:dyDescent="0.25">
      <c r="A372">
        <v>345600</v>
      </c>
      <c r="B372" t="s">
        <v>14</v>
      </c>
      <c r="C372" t="s">
        <v>16</v>
      </c>
      <c r="D372">
        <v>63653</v>
      </c>
      <c r="E372">
        <v>1171</v>
      </c>
      <c r="F372">
        <v>1</v>
      </c>
      <c r="G372">
        <v>20121</v>
      </c>
      <c r="H372" t="s">
        <v>18</v>
      </c>
      <c r="I372">
        <v>2447238.1770000001</v>
      </c>
      <c r="J372">
        <v>76624</v>
      </c>
      <c r="K372">
        <v>15963888.16</v>
      </c>
      <c r="L372">
        <v>15607197.01</v>
      </c>
      <c r="M372">
        <v>356691.15</v>
      </c>
      <c r="N372" s="3" t="str">
        <f t="shared" si="81"/>
        <v/>
      </c>
      <c r="O372" s="4" t="str">
        <f t="shared" si="81"/>
        <v/>
      </c>
      <c r="P372" s="4" t="str">
        <f t="shared" si="81"/>
        <v/>
      </c>
      <c r="Q372" s="4" t="str">
        <f t="shared" si="81"/>
        <v/>
      </c>
      <c r="R372" s="4" t="str">
        <f t="shared" si="81"/>
        <v/>
      </c>
      <c r="S372" s="4" t="str">
        <f t="shared" si="81"/>
        <v/>
      </c>
      <c r="T372" s="4" t="str">
        <f t="shared" si="81"/>
        <v/>
      </c>
      <c r="U372" s="4" t="str">
        <f t="shared" si="81"/>
        <v/>
      </c>
      <c r="V372" s="4" t="str">
        <f t="shared" si="82"/>
        <v/>
      </c>
      <c r="W372" s="4" t="str">
        <f t="shared" si="78"/>
        <v/>
      </c>
      <c r="X372" s="4" t="str">
        <f t="shared" si="78"/>
        <v/>
      </c>
      <c r="Y372" s="4" t="str">
        <f t="shared" si="78"/>
        <v/>
      </c>
      <c r="Z372" s="4" t="str">
        <f t="shared" si="78"/>
        <v/>
      </c>
      <c r="AA372" s="4" t="str">
        <f t="shared" si="78"/>
        <v/>
      </c>
      <c r="AB372" s="4" t="str">
        <f t="shared" si="78"/>
        <v/>
      </c>
      <c r="AC372" s="5" t="str">
        <f t="shared" si="78"/>
        <v/>
      </c>
      <c r="AD372" s="3" t="str">
        <f t="shared" si="83"/>
        <v/>
      </c>
      <c r="AE372" s="4" t="str">
        <f t="shared" si="83"/>
        <v/>
      </c>
      <c r="AF372" s="4" t="str">
        <f t="shared" si="83"/>
        <v/>
      </c>
      <c r="AG372" s="4" t="str">
        <f t="shared" si="83"/>
        <v/>
      </c>
      <c r="AH372" s="4" t="str">
        <f t="shared" si="83"/>
        <v/>
      </c>
      <c r="AI372" s="4" t="str">
        <f t="shared" si="83"/>
        <v/>
      </c>
      <c r="AJ372" s="4" t="str">
        <f t="shared" si="83"/>
        <v/>
      </c>
      <c r="AK372" s="4" t="str">
        <f t="shared" si="83"/>
        <v/>
      </c>
      <c r="AL372" s="4">
        <f t="shared" si="84"/>
        <v>1</v>
      </c>
      <c r="AM372" s="4" t="str">
        <f t="shared" si="79"/>
        <v/>
      </c>
      <c r="AN372" s="4" t="str">
        <f t="shared" si="79"/>
        <v/>
      </c>
      <c r="AO372" s="4" t="str">
        <f t="shared" si="79"/>
        <v/>
      </c>
      <c r="AP372" s="4" t="str">
        <f t="shared" si="79"/>
        <v/>
      </c>
      <c r="AQ372" s="4" t="str">
        <f t="shared" si="79"/>
        <v/>
      </c>
      <c r="AR372" s="4" t="str">
        <f t="shared" si="79"/>
        <v/>
      </c>
      <c r="AS372" s="5" t="str">
        <f t="shared" si="79"/>
        <v/>
      </c>
      <c r="AT372" s="3" t="str">
        <f t="shared" si="85"/>
        <v/>
      </c>
      <c r="AU372" s="4" t="str">
        <f t="shared" si="85"/>
        <v/>
      </c>
      <c r="AV372" s="4" t="str">
        <f t="shared" si="85"/>
        <v/>
      </c>
      <c r="AW372" s="4" t="str">
        <f t="shared" si="85"/>
        <v/>
      </c>
      <c r="AX372" s="4" t="str">
        <f t="shared" si="85"/>
        <v/>
      </c>
      <c r="AY372" s="4" t="str">
        <f t="shared" si="85"/>
        <v/>
      </c>
      <c r="AZ372" s="4" t="str">
        <f t="shared" si="85"/>
        <v/>
      </c>
      <c r="BA372" s="4" t="str">
        <f t="shared" si="85"/>
        <v/>
      </c>
      <c r="BB372" s="4" t="str">
        <f t="shared" si="86"/>
        <v/>
      </c>
      <c r="BC372" s="4" t="str">
        <f t="shared" si="80"/>
        <v/>
      </c>
      <c r="BD372" s="4" t="str">
        <f t="shared" si="80"/>
        <v/>
      </c>
      <c r="BE372" s="4" t="str">
        <f t="shared" si="80"/>
        <v/>
      </c>
      <c r="BF372" s="4" t="str">
        <f t="shared" si="80"/>
        <v/>
      </c>
      <c r="BG372" s="4" t="str">
        <f t="shared" si="80"/>
        <v/>
      </c>
      <c r="BH372" s="4" t="str">
        <f t="shared" si="80"/>
        <v/>
      </c>
      <c r="BI372" s="5" t="str">
        <f t="shared" si="80"/>
        <v/>
      </c>
    </row>
    <row r="373" spans="1:61" x14ac:dyDescent="0.25">
      <c r="A373">
        <v>345601</v>
      </c>
      <c r="B373" t="s">
        <v>14</v>
      </c>
      <c r="C373" t="s">
        <v>16</v>
      </c>
      <c r="D373">
        <v>63653</v>
      </c>
      <c r="E373">
        <v>1171</v>
      </c>
      <c r="F373">
        <v>1</v>
      </c>
      <c r="G373">
        <v>20122</v>
      </c>
      <c r="H373" t="s">
        <v>18</v>
      </c>
      <c r="I373">
        <v>1792633.919</v>
      </c>
      <c r="J373">
        <v>57280</v>
      </c>
      <c r="K373">
        <v>11825357.68</v>
      </c>
      <c r="L373">
        <v>11548126.6</v>
      </c>
      <c r="M373">
        <v>277231.08</v>
      </c>
      <c r="N373" s="3" t="str">
        <f t="shared" si="81"/>
        <v/>
      </c>
      <c r="O373" s="4" t="str">
        <f t="shared" si="81"/>
        <v/>
      </c>
      <c r="P373" s="4" t="str">
        <f t="shared" si="81"/>
        <v/>
      </c>
      <c r="Q373" s="4" t="str">
        <f t="shared" si="81"/>
        <v/>
      </c>
      <c r="R373" s="4" t="str">
        <f t="shared" si="81"/>
        <v/>
      </c>
      <c r="S373" s="4" t="str">
        <f t="shared" si="81"/>
        <v/>
      </c>
      <c r="T373" s="4" t="str">
        <f t="shared" si="81"/>
        <v/>
      </c>
      <c r="U373" s="4" t="str">
        <f t="shared" si="81"/>
        <v/>
      </c>
      <c r="V373" s="4" t="str">
        <f t="shared" si="82"/>
        <v/>
      </c>
      <c r="W373" s="4" t="str">
        <f t="shared" si="78"/>
        <v/>
      </c>
      <c r="X373" s="4" t="str">
        <f t="shared" si="78"/>
        <v/>
      </c>
      <c r="Y373" s="4" t="str">
        <f t="shared" si="78"/>
        <v/>
      </c>
      <c r="Z373" s="4" t="str">
        <f t="shared" si="78"/>
        <v/>
      </c>
      <c r="AA373" s="4" t="str">
        <f t="shared" si="78"/>
        <v/>
      </c>
      <c r="AB373" s="4" t="str">
        <f t="shared" si="78"/>
        <v/>
      </c>
      <c r="AC373" s="5" t="str">
        <f t="shared" si="78"/>
        <v/>
      </c>
      <c r="AD373" s="3" t="str">
        <f t="shared" si="83"/>
        <v/>
      </c>
      <c r="AE373" s="4" t="str">
        <f t="shared" si="83"/>
        <v/>
      </c>
      <c r="AF373" s="4" t="str">
        <f t="shared" si="83"/>
        <v/>
      </c>
      <c r="AG373" s="4" t="str">
        <f t="shared" si="83"/>
        <v/>
      </c>
      <c r="AH373" s="4" t="str">
        <f t="shared" si="83"/>
        <v/>
      </c>
      <c r="AI373" s="4" t="str">
        <f t="shared" si="83"/>
        <v/>
      </c>
      <c r="AJ373" s="4" t="str">
        <f t="shared" si="83"/>
        <v/>
      </c>
      <c r="AK373" s="4" t="str">
        <f t="shared" si="83"/>
        <v/>
      </c>
      <c r="AL373" s="4" t="str">
        <f t="shared" si="84"/>
        <v/>
      </c>
      <c r="AM373" s="4">
        <f t="shared" si="79"/>
        <v>1</v>
      </c>
      <c r="AN373" s="4" t="str">
        <f t="shared" si="79"/>
        <v/>
      </c>
      <c r="AO373" s="4" t="str">
        <f t="shared" si="79"/>
        <v/>
      </c>
      <c r="AP373" s="4" t="str">
        <f t="shared" si="79"/>
        <v/>
      </c>
      <c r="AQ373" s="4" t="str">
        <f t="shared" si="79"/>
        <v/>
      </c>
      <c r="AR373" s="4" t="str">
        <f t="shared" si="79"/>
        <v/>
      </c>
      <c r="AS373" s="5" t="str">
        <f t="shared" si="79"/>
        <v/>
      </c>
      <c r="AT373" s="3" t="str">
        <f t="shared" si="85"/>
        <v/>
      </c>
      <c r="AU373" s="4" t="str">
        <f t="shared" si="85"/>
        <v/>
      </c>
      <c r="AV373" s="4" t="str">
        <f t="shared" si="85"/>
        <v/>
      </c>
      <c r="AW373" s="4" t="str">
        <f t="shared" si="85"/>
        <v/>
      </c>
      <c r="AX373" s="4" t="str">
        <f t="shared" si="85"/>
        <v/>
      </c>
      <c r="AY373" s="4" t="str">
        <f t="shared" si="85"/>
        <v/>
      </c>
      <c r="AZ373" s="4" t="str">
        <f t="shared" si="85"/>
        <v/>
      </c>
      <c r="BA373" s="4" t="str">
        <f t="shared" si="85"/>
        <v/>
      </c>
      <c r="BB373" s="4" t="str">
        <f t="shared" si="86"/>
        <v/>
      </c>
      <c r="BC373" s="4" t="str">
        <f t="shared" si="80"/>
        <v/>
      </c>
      <c r="BD373" s="4" t="str">
        <f t="shared" si="80"/>
        <v/>
      </c>
      <c r="BE373" s="4" t="str">
        <f t="shared" si="80"/>
        <v/>
      </c>
      <c r="BF373" s="4" t="str">
        <f t="shared" si="80"/>
        <v/>
      </c>
      <c r="BG373" s="4" t="str">
        <f t="shared" si="80"/>
        <v/>
      </c>
      <c r="BH373" s="4" t="str">
        <f t="shared" si="80"/>
        <v/>
      </c>
      <c r="BI373" s="5" t="str">
        <f t="shared" si="80"/>
        <v/>
      </c>
    </row>
    <row r="374" spans="1:61" x14ac:dyDescent="0.25">
      <c r="A374">
        <v>345602</v>
      </c>
      <c r="B374" t="s">
        <v>14</v>
      </c>
      <c r="C374" t="s">
        <v>16</v>
      </c>
      <c r="D374">
        <v>63653</v>
      </c>
      <c r="E374">
        <v>1171</v>
      </c>
      <c r="F374">
        <v>1</v>
      </c>
      <c r="G374">
        <v>20123</v>
      </c>
      <c r="H374" t="s">
        <v>18</v>
      </c>
      <c r="I374">
        <v>442785.52299999999</v>
      </c>
      <c r="J374">
        <v>14355</v>
      </c>
      <c r="K374">
        <v>2794771.28</v>
      </c>
      <c r="L374">
        <v>2751391.26</v>
      </c>
      <c r="M374">
        <v>43380.02</v>
      </c>
      <c r="N374" s="3" t="str">
        <f t="shared" si="81"/>
        <v/>
      </c>
      <c r="O374" s="4" t="str">
        <f t="shared" si="81"/>
        <v/>
      </c>
      <c r="P374" s="4" t="str">
        <f t="shared" si="81"/>
        <v/>
      </c>
      <c r="Q374" s="4" t="str">
        <f t="shared" si="81"/>
        <v/>
      </c>
      <c r="R374" s="4" t="str">
        <f t="shared" si="81"/>
        <v/>
      </c>
      <c r="S374" s="4" t="str">
        <f t="shared" si="81"/>
        <v/>
      </c>
      <c r="T374" s="4" t="str">
        <f t="shared" si="81"/>
        <v/>
      </c>
      <c r="U374" s="4" t="str">
        <f t="shared" si="81"/>
        <v/>
      </c>
      <c r="V374" s="4" t="str">
        <f t="shared" si="82"/>
        <v/>
      </c>
      <c r="W374" s="4" t="str">
        <f t="shared" si="78"/>
        <v/>
      </c>
      <c r="X374" s="4" t="str">
        <f t="shared" si="78"/>
        <v/>
      </c>
      <c r="Y374" s="4" t="str">
        <f t="shared" si="78"/>
        <v/>
      </c>
      <c r="Z374" s="4" t="str">
        <f t="shared" si="78"/>
        <v/>
      </c>
      <c r="AA374" s="4" t="str">
        <f t="shared" si="78"/>
        <v/>
      </c>
      <c r="AB374" s="4" t="str">
        <f t="shared" si="78"/>
        <v/>
      </c>
      <c r="AC374" s="5" t="str">
        <f t="shared" si="78"/>
        <v/>
      </c>
      <c r="AD374" s="3" t="str">
        <f t="shared" si="83"/>
        <v/>
      </c>
      <c r="AE374" s="4" t="str">
        <f t="shared" si="83"/>
        <v/>
      </c>
      <c r="AF374" s="4" t="str">
        <f t="shared" si="83"/>
        <v/>
      </c>
      <c r="AG374" s="4" t="str">
        <f t="shared" si="83"/>
        <v/>
      </c>
      <c r="AH374" s="4" t="str">
        <f t="shared" si="83"/>
        <v/>
      </c>
      <c r="AI374" s="4" t="str">
        <f t="shared" si="83"/>
        <v/>
      </c>
      <c r="AJ374" s="4" t="str">
        <f t="shared" si="83"/>
        <v/>
      </c>
      <c r="AK374" s="4" t="str">
        <f t="shared" si="83"/>
        <v/>
      </c>
      <c r="AL374" s="4" t="str">
        <f t="shared" si="84"/>
        <v/>
      </c>
      <c r="AM374" s="4" t="str">
        <f t="shared" si="79"/>
        <v/>
      </c>
      <c r="AN374" s="4">
        <f t="shared" si="79"/>
        <v>1</v>
      </c>
      <c r="AO374" s="4" t="str">
        <f t="shared" si="79"/>
        <v/>
      </c>
      <c r="AP374" s="4" t="str">
        <f t="shared" si="79"/>
        <v/>
      </c>
      <c r="AQ374" s="4" t="str">
        <f t="shared" si="79"/>
        <v/>
      </c>
      <c r="AR374" s="4" t="str">
        <f t="shared" si="79"/>
        <v/>
      </c>
      <c r="AS374" s="5" t="str">
        <f t="shared" si="79"/>
        <v/>
      </c>
      <c r="AT374" s="3" t="str">
        <f t="shared" si="85"/>
        <v/>
      </c>
      <c r="AU374" s="4" t="str">
        <f t="shared" si="85"/>
        <v/>
      </c>
      <c r="AV374" s="4" t="str">
        <f t="shared" si="85"/>
        <v/>
      </c>
      <c r="AW374" s="4" t="str">
        <f t="shared" si="85"/>
        <v/>
      </c>
      <c r="AX374" s="4" t="str">
        <f t="shared" si="85"/>
        <v/>
      </c>
      <c r="AY374" s="4" t="str">
        <f t="shared" si="85"/>
        <v/>
      </c>
      <c r="AZ374" s="4" t="str">
        <f t="shared" si="85"/>
        <v/>
      </c>
      <c r="BA374" s="4" t="str">
        <f t="shared" si="85"/>
        <v/>
      </c>
      <c r="BB374" s="4" t="str">
        <f t="shared" si="86"/>
        <v/>
      </c>
      <c r="BC374" s="4" t="str">
        <f t="shared" si="80"/>
        <v/>
      </c>
      <c r="BD374" s="4" t="str">
        <f t="shared" si="80"/>
        <v/>
      </c>
      <c r="BE374" s="4" t="str">
        <f t="shared" si="80"/>
        <v/>
      </c>
      <c r="BF374" s="4" t="str">
        <f t="shared" si="80"/>
        <v/>
      </c>
      <c r="BG374" s="4" t="str">
        <f t="shared" si="80"/>
        <v/>
      </c>
      <c r="BH374" s="4" t="str">
        <f t="shared" si="80"/>
        <v/>
      </c>
      <c r="BI374" s="5" t="str">
        <f t="shared" si="80"/>
        <v/>
      </c>
    </row>
    <row r="375" spans="1:61" x14ac:dyDescent="0.25">
      <c r="A375">
        <v>345603</v>
      </c>
      <c r="B375" t="s">
        <v>14</v>
      </c>
      <c r="C375" t="s">
        <v>16</v>
      </c>
      <c r="D375">
        <v>63653</v>
      </c>
      <c r="E375">
        <v>1171</v>
      </c>
      <c r="F375">
        <v>1</v>
      </c>
      <c r="G375">
        <v>20124</v>
      </c>
      <c r="H375" t="s">
        <v>18</v>
      </c>
      <c r="I375">
        <v>95154.59</v>
      </c>
      <c r="J375">
        <v>3145</v>
      </c>
      <c r="K375">
        <v>591902.96</v>
      </c>
      <c r="L375">
        <v>580910.44999999995</v>
      </c>
      <c r="M375">
        <v>10992.51</v>
      </c>
      <c r="N375" s="3" t="str">
        <f t="shared" si="81"/>
        <v/>
      </c>
      <c r="O375" s="4" t="str">
        <f t="shared" si="81"/>
        <v/>
      </c>
      <c r="P375" s="4" t="str">
        <f t="shared" si="81"/>
        <v/>
      </c>
      <c r="Q375" s="4" t="str">
        <f t="shared" si="81"/>
        <v/>
      </c>
      <c r="R375" s="4" t="str">
        <f t="shared" si="81"/>
        <v/>
      </c>
      <c r="S375" s="4" t="str">
        <f t="shared" si="81"/>
        <v/>
      </c>
      <c r="T375" s="4" t="str">
        <f t="shared" si="81"/>
        <v/>
      </c>
      <c r="U375" s="4" t="str">
        <f t="shared" si="81"/>
        <v/>
      </c>
      <c r="V375" s="4" t="str">
        <f t="shared" si="82"/>
        <v/>
      </c>
      <c r="W375" s="4" t="str">
        <f t="shared" si="78"/>
        <v/>
      </c>
      <c r="X375" s="4" t="str">
        <f t="shared" si="78"/>
        <v/>
      </c>
      <c r="Y375" s="4" t="str">
        <f t="shared" si="78"/>
        <v/>
      </c>
      <c r="Z375" s="4" t="str">
        <f t="shared" si="78"/>
        <v/>
      </c>
      <c r="AA375" s="4" t="str">
        <f t="shared" si="78"/>
        <v/>
      </c>
      <c r="AB375" s="4" t="str">
        <f t="shared" si="78"/>
        <v/>
      </c>
      <c r="AC375" s="5" t="str">
        <f t="shared" si="78"/>
        <v/>
      </c>
      <c r="AD375" s="3" t="str">
        <f t="shared" si="83"/>
        <v/>
      </c>
      <c r="AE375" s="4" t="str">
        <f t="shared" si="83"/>
        <v/>
      </c>
      <c r="AF375" s="4" t="str">
        <f t="shared" si="83"/>
        <v/>
      </c>
      <c r="AG375" s="4" t="str">
        <f t="shared" si="83"/>
        <v/>
      </c>
      <c r="AH375" s="4" t="str">
        <f t="shared" si="83"/>
        <v/>
      </c>
      <c r="AI375" s="4" t="str">
        <f t="shared" si="83"/>
        <v/>
      </c>
      <c r="AJ375" s="4" t="str">
        <f t="shared" si="83"/>
        <v/>
      </c>
      <c r="AK375" s="4" t="str">
        <f t="shared" si="83"/>
        <v/>
      </c>
      <c r="AL375" s="4" t="str">
        <f t="shared" si="84"/>
        <v/>
      </c>
      <c r="AM375" s="4" t="str">
        <f t="shared" si="79"/>
        <v/>
      </c>
      <c r="AN375" s="4" t="str">
        <f t="shared" si="79"/>
        <v/>
      </c>
      <c r="AO375" s="4">
        <f t="shared" si="79"/>
        <v>1</v>
      </c>
      <c r="AP375" s="4" t="str">
        <f t="shared" si="79"/>
        <v/>
      </c>
      <c r="AQ375" s="4" t="str">
        <f t="shared" si="79"/>
        <v/>
      </c>
      <c r="AR375" s="4" t="str">
        <f t="shared" si="79"/>
        <v/>
      </c>
      <c r="AS375" s="5" t="str">
        <f t="shared" si="79"/>
        <v/>
      </c>
      <c r="AT375" s="3" t="str">
        <f t="shared" si="85"/>
        <v/>
      </c>
      <c r="AU375" s="4" t="str">
        <f t="shared" si="85"/>
        <v/>
      </c>
      <c r="AV375" s="4" t="str">
        <f t="shared" si="85"/>
        <v/>
      </c>
      <c r="AW375" s="4" t="str">
        <f t="shared" si="85"/>
        <v/>
      </c>
      <c r="AX375" s="4" t="str">
        <f t="shared" si="85"/>
        <v/>
      </c>
      <c r="AY375" s="4" t="str">
        <f t="shared" si="85"/>
        <v/>
      </c>
      <c r="AZ375" s="4" t="str">
        <f t="shared" si="85"/>
        <v/>
      </c>
      <c r="BA375" s="4" t="str">
        <f t="shared" si="85"/>
        <v/>
      </c>
      <c r="BB375" s="4" t="str">
        <f t="shared" si="86"/>
        <v/>
      </c>
      <c r="BC375" s="4" t="str">
        <f t="shared" si="80"/>
        <v/>
      </c>
      <c r="BD375" s="4" t="str">
        <f t="shared" si="80"/>
        <v/>
      </c>
      <c r="BE375" s="4" t="str">
        <f t="shared" si="80"/>
        <v/>
      </c>
      <c r="BF375" s="4" t="str">
        <f t="shared" si="80"/>
        <v/>
      </c>
      <c r="BG375" s="4" t="str">
        <f t="shared" si="80"/>
        <v/>
      </c>
      <c r="BH375" s="4" t="str">
        <f t="shared" si="80"/>
        <v/>
      </c>
      <c r="BI375" s="5" t="str">
        <f t="shared" si="80"/>
        <v/>
      </c>
    </row>
    <row r="376" spans="1:61" x14ac:dyDescent="0.25">
      <c r="A376">
        <v>345604</v>
      </c>
      <c r="B376" t="s">
        <v>14</v>
      </c>
      <c r="C376" t="s">
        <v>16</v>
      </c>
      <c r="D376">
        <v>63653</v>
      </c>
      <c r="E376">
        <v>1171</v>
      </c>
      <c r="F376">
        <v>3</v>
      </c>
      <c r="G376">
        <v>20121</v>
      </c>
      <c r="H376" t="s">
        <v>18</v>
      </c>
      <c r="I376">
        <v>61214.76</v>
      </c>
      <c r="J376">
        <v>2672</v>
      </c>
      <c r="K376">
        <v>393323.84</v>
      </c>
      <c r="L376">
        <v>375318.69</v>
      </c>
      <c r="M376">
        <v>18005.150000000001</v>
      </c>
      <c r="N376" s="3" t="str">
        <f t="shared" si="81"/>
        <v/>
      </c>
      <c r="O376" s="4" t="str">
        <f t="shared" si="81"/>
        <v/>
      </c>
      <c r="P376" s="4" t="str">
        <f t="shared" si="81"/>
        <v/>
      </c>
      <c r="Q376" s="4" t="str">
        <f t="shared" si="81"/>
        <v/>
      </c>
      <c r="R376" s="4" t="str">
        <f t="shared" si="81"/>
        <v/>
      </c>
      <c r="S376" s="4" t="str">
        <f t="shared" si="81"/>
        <v/>
      </c>
      <c r="T376" s="4" t="str">
        <f t="shared" si="81"/>
        <v/>
      </c>
      <c r="U376" s="4" t="str">
        <f t="shared" si="81"/>
        <v/>
      </c>
      <c r="V376" s="4" t="str">
        <f t="shared" si="82"/>
        <v/>
      </c>
      <c r="W376" s="4" t="str">
        <f t="shared" si="78"/>
        <v/>
      </c>
      <c r="X376" s="4" t="str">
        <f t="shared" si="78"/>
        <v/>
      </c>
      <c r="Y376" s="4" t="str">
        <f t="shared" si="78"/>
        <v/>
      </c>
      <c r="Z376" s="4" t="str">
        <f t="shared" si="78"/>
        <v/>
      </c>
      <c r="AA376" s="4" t="str">
        <f t="shared" si="78"/>
        <v/>
      </c>
      <c r="AB376" s="4" t="str">
        <f t="shared" si="78"/>
        <v/>
      </c>
      <c r="AC376" s="5" t="str">
        <f t="shared" si="78"/>
        <v/>
      </c>
      <c r="AD376" s="3" t="str">
        <f t="shared" si="83"/>
        <v/>
      </c>
      <c r="AE376" s="4" t="str">
        <f t="shared" si="83"/>
        <v/>
      </c>
      <c r="AF376" s="4" t="str">
        <f t="shared" si="83"/>
        <v/>
      </c>
      <c r="AG376" s="4" t="str">
        <f t="shared" si="83"/>
        <v/>
      </c>
      <c r="AH376" s="4" t="str">
        <f t="shared" si="83"/>
        <v/>
      </c>
      <c r="AI376" s="4" t="str">
        <f t="shared" si="83"/>
        <v/>
      </c>
      <c r="AJ376" s="4" t="str">
        <f t="shared" si="83"/>
        <v/>
      </c>
      <c r="AK376" s="4" t="str">
        <f t="shared" si="83"/>
        <v/>
      </c>
      <c r="AL376" s="4">
        <f t="shared" si="84"/>
        <v>1</v>
      </c>
      <c r="AM376" s="4" t="str">
        <f t="shared" si="79"/>
        <v/>
      </c>
      <c r="AN376" s="4" t="str">
        <f t="shared" si="79"/>
        <v/>
      </c>
      <c r="AO376" s="4" t="str">
        <f t="shared" si="79"/>
        <v/>
      </c>
      <c r="AP376" s="4" t="str">
        <f t="shared" si="79"/>
        <v/>
      </c>
      <c r="AQ376" s="4" t="str">
        <f t="shared" si="79"/>
        <v/>
      </c>
      <c r="AR376" s="4" t="str">
        <f t="shared" si="79"/>
        <v/>
      </c>
      <c r="AS376" s="5" t="str">
        <f t="shared" si="79"/>
        <v/>
      </c>
      <c r="AT376" s="3" t="str">
        <f t="shared" si="85"/>
        <v/>
      </c>
      <c r="AU376" s="4" t="str">
        <f t="shared" si="85"/>
        <v/>
      </c>
      <c r="AV376" s="4" t="str">
        <f t="shared" si="85"/>
        <v/>
      </c>
      <c r="AW376" s="4" t="str">
        <f t="shared" si="85"/>
        <v/>
      </c>
      <c r="AX376" s="4" t="str">
        <f t="shared" si="85"/>
        <v/>
      </c>
      <c r="AY376" s="4" t="str">
        <f t="shared" si="85"/>
        <v/>
      </c>
      <c r="AZ376" s="4" t="str">
        <f t="shared" si="85"/>
        <v/>
      </c>
      <c r="BA376" s="4" t="str">
        <f t="shared" si="85"/>
        <v/>
      </c>
      <c r="BB376" s="4" t="str">
        <f t="shared" si="86"/>
        <v/>
      </c>
      <c r="BC376" s="4" t="str">
        <f t="shared" si="80"/>
        <v/>
      </c>
      <c r="BD376" s="4" t="str">
        <f t="shared" si="80"/>
        <v/>
      </c>
      <c r="BE376" s="4" t="str">
        <f t="shared" si="80"/>
        <v/>
      </c>
      <c r="BF376" s="4" t="str">
        <f t="shared" si="80"/>
        <v/>
      </c>
      <c r="BG376" s="4" t="str">
        <f t="shared" si="80"/>
        <v/>
      </c>
      <c r="BH376" s="4" t="str">
        <f t="shared" si="80"/>
        <v/>
      </c>
      <c r="BI376" s="5" t="str">
        <f t="shared" si="80"/>
        <v/>
      </c>
    </row>
    <row r="377" spans="1:61" x14ac:dyDescent="0.25">
      <c r="A377">
        <v>345605</v>
      </c>
      <c r="B377" t="s">
        <v>14</v>
      </c>
      <c r="C377" t="s">
        <v>16</v>
      </c>
      <c r="D377">
        <v>63653</v>
      </c>
      <c r="E377">
        <v>1171</v>
      </c>
      <c r="F377">
        <v>3</v>
      </c>
      <c r="G377">
        <v>20122</v>
      </c>
      <c r="H377" t="s">
        <v>18</v>
      </c>
      <c r="I377">
        <v>53689.25</v>
      </c>
      <c r="J377">
        <v>2543</v>
      </c>
      <c r="K377">
        <v>354438.34</v>
      </c>
      <c r="L377">
        <v>340358</v>
      </c>
      <c r="M377">
        <v>14080.34</v>
      </c>
      <c r="N377" s="3" t="str">
        <f t="shared" si="81"/>
        <v/>
      </c>
      <c r="O377" s="4" t="str">
        <f t="shared" si="81"/>
        <v/>
      </c>
      <c r="P377" s="4" t="str">
        <f t="shared" si="81"/>
        <v/>
      </c>
      <c r="Q377" s="4" t="str">
        <f t="shared" si="81"/>
        <v/>
      </c>
      <c r="R377" s="4" t="str">
        <f t="shared" si="81"/>
        <v/>
      </c>
      <c r="S377" s="4" t="str">
        <f t="shared" si="81"/>
        <v/>
      </c>
      <c r="T377" s="4" t="str">
        <f t="shared" si="81"/>
        <v/>
      </c>
      <c r="U377" s="4" t="str">
        <f t="shared" si="81"/>
        <v/>
      </c>
      <c r="V377" s="4" t="str">
        <f t="shared" si="82"/>
        <v/>
      </c>
      <c r="W377" s="4" t="str">
        <f t="shared" si="78"/>
        <v/>
      </c>
      <c r="X377" s="4" t="str">
        <f t="shared" si="78"/>
        <v/>
      </c>
      <c r="Y377" s="4" t="str">
        <f t="shared" si="78"/>
        <v/>
      </c>
      <c r="Z377" s="4" t="str">
        <f t="shared" si="78"/>
        <v/>
      </c>
      <c r="AA377" s="4" t="str">
        <f t="shared" si="78"/>
        <v/>
      </c>
      <c r="AB377" s="4" t="str">
        <f t="shared" si="78"/>
        <v/>
      </c>
      <c r="AC377" s="5" t="str">
        <f t="shared" si="78"/>
        <v/>
      </c>
      <c r="AD377" s="3" t="str">
        <f t="shared" si="83"/>
        <v/>
      </c>
      <c r="AE377" s="4" t="str">
        <f t="shared" si="83"/>
        <v/>
      </c>
      <c r="AF377" s="4" t="str">
        <f t="shared" si="83"/>
        <v/>
      </c>
      <c r="AG377" s="4" t="str">
        <f t="shared" si="83"/>
        <v/>
      </c>
      <c r="AH377" s="4" t="str">
        <f t="shared" si="83"/>
        <v/>
      </c>
      <c r="AI377" s="4" t="str">
        <f t="shared" si="83"/>
        <v/>
      </c>
      <c r="AJ377" s="4" t="str">
        <f t="shared" si="83"/>
        <v/>
      </c>
      <c r="AK377" s="4" t="str">
        <f t="shared" si="83"/>
        <v/>
      </c>
      <c r="AL377" s="4" t="str">
        <f t="shared" si="84"/>
        <v/>
      </c>
      <c r="AM377" s="4">
        <f t="shared" si="79"/>
        <v>1</v>
      </c>
      <c r="AN377" s="4" t="str">
        <f t="shared" si="79"/>
        <v/>
      </c>
      <c r="AO377" s="4" t="str">
        <f t="shared" si="79"/>
        <v/>
      </c>
      <c r="AP377" s="4" t="str">
        <f t="shared" si="79"/>
        <v/>
      </c>
      <c r="AQ377" s="4" t="str">
        <f t="shared" si="79"/>
        <v/>
      </c>
      <c r="AR377" s="4" t="str">
        <f t="shared" si="79"/>
        <v/>
      </c>
      <c r="AS377" s="5" t="str">
        <f t="shared" si="79"/>
        <v/>
      </c>
      <c r="AT377" s="3" t="str">
        <f t="shared" si="85"/>
        <v/>
      </c>
      <c r="AU377" s="4" t="str">
        <f t="shared" si="85"/>
        <v/>
      </c>
      <c r="AV377" s="4" t="str">
        <f t="shared" si="85"/>
        <v/>
      </c>
      <c r="AW377" s="4" t="str">
        <f t="shared" si="85"/>
        <v/>
      </c>
      <c r="AX377" s="4" t="str">
        <f t="shared" si="85"/>
        <v/>
      </c>
      <c r="AY377" s="4" t="str">
        <f t="shared" si="85"/>
        <v/>
      </c>
      <c r="AZ377" s="4" t="str">
        <f t="shared" si="85"/>
        <v/>
      </c>
      <c r="BA377" s="4" t="str">
        <f t="shared" si="85"/>
        <v/>
      </c>
      <c r="BB377" s="4" t="str">
        <f t="shared" si="86"/>
        <v/>
      </c>
      <c r="BC377" s="4" t="str">
        <f t="shared" si="80"/>
        <v/>
      </c>
      <c r="BD377" s="4" t="str">
        <f t="shared" si="80"/>
        <v/>
      </c>
      <c r="BE377" s="4" t="str">
        <f t="shared" si="80"/>
        <v/>
      </c>
      <c r="BF377" s="4" t="str">
        <f t="shared" si="80"/>
        <v/>
      </c>
      <c r="BG377" s="4" t="str">
        <f t="shared" si="80"/>
        <v/>
      </c>
      <c r="BH377" s="4" t="str">
        <f t="shared" si="80"/>
        <v/>
      </c>
      <c r="BI377" s="5" t="str">
        <f t="shared" si="80"/>
        <v/>
      </c>
    </row>
    <row r="378" spans="1:61" x14ac:dyDescent="0.25">
      <c r="A378">
        <v>345606</v>
      </c>
      <c r="B378" t="s">
        <v>14</v>
      </c>
      <c r="C378" t="s">
        <v>16</v>
      </c>
      <c r="D378">
        <v>63653</v>
      </c>
      <c r="E378">
        <v>1171</v>
      </c>
      <c r="F378">
        <v>3</v>
      </c>
      <c r="G378">
        <v>20123</v>
      </c>
      <c r="H378" t="s">
        <v>18</v>
      </c>
      <c r="I378">
        <v>23540.300999999999</v>
      </c>
      <c r="J378">
        <v>1361</v>
      </c>
      <c r="K378">
        <v>151702.06</v>
      </c>
      <c r="L378">
        <v>144739.89000000001</v>
      </c>
      <c r="M378">
        <v>6962.17</v>
      </c>
      <c r="N378" s="3" t="str">
        <f t="shared" si="81"/>
        <v/>
      </c>
      <c r="O378" s="4" t="str">
        <f t="shared" si="81"/>
        <v/>
      </c>
      <c r="P378" s="4" t="str">
        <f t="shared" si="81"/>
        <v/>
      </c>
      <c r="Q378" s="4" t="str">
        <f t="shared" si="81"/>
        <v/>
      </c>
      <c r="R378" s="4" t="str">
        <f t="shared" si="81"/>
        <v/>
      </c>
      <c r="S378" s="4" t="str">
        <f t="shared" si="81"/>
        <v/>
      </c>
      <c r="T378" s="4" t="str">
        <f t="shared" si="81"/>
        <v/>
      </c>
      <c r="U378" s="4" t="str">
        <f t="shared" si="81"/>
        <v/>
      </c>
      <c r="V378" s="4" t="str">
        <f t="shared" si="82"/>
        <v/>
      </c>
      <c r="W378" s="4" t="str">
        <f t="shared" si="78"/>
        <v/>
      </c>
      <c r="X378" s="4" t="str">
        <f t="shared" si="78"/>
        <v/>
      </c>
      <c r="Y378" s="4" t="str">
        <f t="shared" si="78"/>
        <v/>
      </c>
      <c r="Z378" s="4" t="str">
        <f t="shared" si="78"/>
        <v/>
      </c>
      <c r="AA378" s="4" t="str">
        <f t="shared" si="78"/>
        <v/>
      </c>
      <c r="AB378" s="4" t="str">
        <f t="shared" ref="W378:AC415" si="87">IF(AND($B378=AB$3, $G378=AB$2, LEFT($H378, 6)=AB$1), 1, "")</f>
        <v/>
      </c>
      <c r="AC378" s="5" t="str">
        <f t="shared" si="87"/>
        <v/>
      </c>
      <c r="AD378" s="3" t="str">
        <f t="shared" si="83"/>
        <v/>
      </c>
      <c r="AE378" s="4" t="str">
        <f t="shared" si="83"/>
        <v/>
      </c>
      <c r="AF378" s="4" t="str">
        <f t="shared" si="83"/>
        <v/>
      </c>
      <c r="AG378" s="4" t="str">
        <f t="shared" si="83"/>
        <v/>
      </c>
      <c r="AH378" s="4" t="str">
        <f t="shared" si="83"/>
        <v/>
      </c>
      <c r="AI378" s="4" t="str">
        <f t="shared" si="83"/>
        <v/>
      </c>
      <c r="AJ378" s="4" t="str">
        <f t="shared" si="83"/>
        <v/>
      </c>
      <c r="AK378" s="4" t="str">
        <f t="shared" si="83"/>
        <v/>
      </c>
      <c r="AL378" s="4" t="str">
        <f t="shared" si="84"/>
        <v/>
      </c>
      <c r="AM378" s="4" t="str">
        <f t="shared" si="79"/>
        <v/>
      </c>
      <c r="AN378" s="4">
        <f t="shared" si="79"/>
        <v>1</v>
      </c>
      <c r="AO378" s="4" t="str">
        <f t="shared" si="79"/>
        <v/>
      </c>
      <c r="AP378" s="4" t="str">
        <f t="shared" si="79"/>
        <v/>
      </c>
      <c r="AQ378" s="4" t="str">
        <f t="shared" si="79"/>
        <v/>
      </c>
      <c r="AR378" s="4" t="str">
        <f t="shared" ref="AM378:AS415" si="88">IF(AND($B378=AR$3, $G378=AR$2, LEFT($H378, 6)=AR$1), 1, "")</f>
        <v/>
      </c>
      <c r="AS378" s="5" t="str">
        <f t="shared" si="88"/>
        <v/>
      </c>
      <c r="AT378" s="3" t="str">
        <f t="shared" si="85"/>
        <v/>
      </c>
      <c r="AU378" s="4" t="str">
        <f t="shared" si="85"/>
        <v/>
      </c>
      <c r="AV378" s="4" t="str">
        <f t="shared" si="85"/>
        <v/>
      </c>
      <c r="AW378" s="4" t="str">
        <f t="shared" si="85"/>
        <v/>
      </c>
      <c r="AX378" s="4" t="str">
        <f t="shared" si="85"/>
        <v/>
      </c>
      <c r="AY378" s="4" t="str">
        <f t="shared" si="85"/>
        <v/>
      </c>
      <c r="AZ378" s="4" t="str">
        <f t="shared" si="85"/>
        <v/>
      </c>
      <c r="BA378" s="4" t="str">
        <f t="shared" si="85"/>
        <v/>
      </c>
      <c r="BB378" s="4" t="str">
        <f t="shared" si="86"/>
        <v/>
      </c>
      <c r="BC378" s="4" t="str">
        <f t="shared" si="80"/>
        <v/>
      </c>
      <c r="BD378" s="4" t="str">
        <f t="shared" si="80"/>
        <v/>
      </c>
      <c r="BE378" s="4" t="str">
        <f t="shared" si="80"/>
        <v/>
      </c>
      <c r="BF378" s="4" t="str">
        <f t="shared" si="80"/>
        <v/>
      </c>
      <c r="BG378" s="4" t="str">
        <f t="shared" si="80"/>
        <v/>
      </c>
      <c r="BH378" s="4" t="str">
        <f t="shared" ref="BC378:BI415" si="89">IF(AND($B378=BH$3, $G378=BH$2, LEFT($H378, 6)=BH$1), 1, "")</f>
        <v/>
      </c>
      <c r="BI378" s="5" t="str">
        <f t="shared" si="89"/>
        <v/>
      </c>
    </row>
    <row r="379" spans="1:61" x14ac:dyDescent="0.25">
      <c r="A379">
        <v>345607</v>
      </c>
      <c r="B379" t="s">
        <v>14</v>
      </c>
      <c r="C379" t="s">
        <v>16</v>
      </c>
      <c r="D379">
        <v>63653</v>
      </c>
      <c r="E379">
        <v>1171</v>
      </c>
      <c r="F379">
        <v>3</v>
      </c>
      <c r="G379">
        <v>20124</v>
      </c>
      <c r="H379" t="s">
        <v>18</v>
      </c>
      <c r="I379">
        <v>10697.306</v>
      </c>
      <c r="J379">
        <v>892</v>
      </c>
      <c r="K379">
        <v>66991.710000000006</v>
      </c>
      <c r="L379">
        <v>65613.53</v>
      </c>
      <c r="M379">
        <v>1378.18</v>
      </c>
      <c r="N379" s="3" t="str">
        <f t="shared" si="81"/>
        <v/>
      </c>
      <c r="O379" s="4" t="str">
        <f t="shared" si="81"/>
        <v/>
      </c>
      <c r="P379" s="4" t="str">
        <f t="shared" si="81"/>
        <v/>
      </c>
      <c r="Q379" s="4" t="str">
        <f t="shared" si="81"/>
        <v/>
      </c>
      <c r="R379" s="4" t="str">
        <f t="shared" si="81"/>
        <v/>
      </c>
      <c r="S379" s="4" t="str">
        <f t="shared" si="81"/>
        <v/>
      </c>
      <c r="T379" s="4" t="str">
        <f t="shared" si="81"/>
        <v/>
      </c>
      <c r="U379" s="4" t="str">
        <f t="shared" si="81"/>
        <v/>
      </c>
      <c r="V379" s="4" t="str">
        <f t="shared" si="82"/>
        <v/>
      </c>
      <c r="W379" s="4" t="str">
        <f t="shared" si="87"/>
        <v/>
      </c>
      <c r="X379" s="4" t="str">
        <f t="shared" si="87"/>
        <v/>
      </c>
      <c r="Y379" s="4" t="str">
        <f t="shared" si="87"/>
        <v/>
      </c>
      <c r="Z379" s="4" t="str">
        <f t="shared" si="87"/>
        <v/>
      </c>
      <c r="AA379" s="4" t="str">
        <f t="shared" si="87"/>
        <v/>
      </c>
      <c r="AB379" s="4" t="str">
        <f t="shared" si="87"/>
        <v/>
      </c>
      <c r="AC379" s="5" t="str">
        <f t="shared" si="87"/>
        <v/>
      </c>
      <c r="AD379" s="3" t="str">
        <f t="shared" si="83"/>
        <v/>
      </c>
      <c r="AE379" s="4" t="str">
        <f t="shared" si="83"/>
        <v/>
      </c>
      <c r="AF379" s="4" t="str">
        <f t="shared" si="83"/>
        <v/>
      </c>
      <c r="AG379" s="4" t="str">
        <f t="shared" si="83"/>
        <v/>
      </c>
      <c r="AH379" s="4" t="str">
        <f t="shared" si="83"/>
        <v/>
      </c>
      <c r="AI379" s="4" t="str">
        <f t="shared" si="83"/>
        <v/>
      </c>
      <c r="AJ379" s="4" t="str">
        <f t="shared" si="83"/>
        <v/>
      </c>
      <c r="AK379" s="4" t="str">
        <f t="shared" si="83"/>
        <v/>
      </c>
      <c r="AL379" s="4" t="str">
        <f t="shared" si="84"/>
        <v/>
      </c>
      <c r="AM379" s="4" t="str">
        <f t="shared" si="88"/>
        <v/>
      </c>
      <c r="AN379" s="4" t="str">
        <f t="shared" si="88"/>
        <v/>
      </c>
      <c r="AO379" s="4">
        <f t="shared" si="88"/>
        <v>1</v>
      </c>
      <c r="AP379" s="4" t="str">
        <f t="shared" si="88"/>
        <v/>
      </c>
      <c r="AQ379" s="4" t="str">
        <f t="shared" si="88"/>
        <v/>
      </c>
      <c r="AR379" s="4" t="str">
        <f t="shared" si="88"/>
        <v/>
      </c>
      <c r="AS379" s="5" t="str">
        <f t="shared" si="88"/>
        <v/>
      </c>
      <c r="AT379" s="3" t="str">
        <f t="shared" si="85"/>
        <v/>
      </c>
      <c r="AU379" s="4" t="str">
        <f t="shared" si="85"/>
        <v/>
      </c>
      <c r="AV379" s="4" t="str">
        <f t="shared" si="85"/>
        <v/>
      </c>
      <c r="AW379" s="4" t="str">
        <f t="shared" si="85"/>
        <v/>
      </c>
      <c r="AX379" s="4" t="str">
        <f t="shared" si="85"/>
        <v/>
      </c>
      <c r="AY379" s="4" t="str">
        <f t="shared" si="85"/>
        <v/>
      </c>
      <c r="AZ379" s="4" t="str">
        <f t="shared" si="85"/>
        <v/>
      </c>
      <c r="BA379" s="4" t="str">
        <f t="shared" si="85"/>
        <v/>
      </c>
      <c r="BB379" s="4" t="str">
        <f t="shared" si="86"/>
        <v/>
      </c>
      <c r="BC379" s="4" t="str">
        <f t="shared" si="89"/>
        <v/>
      </c>
      <c r="BD379" s="4" t="str">
        <f t="shared" si="89"/>
        <v/>
      </c>
      <c r="BE379" s="4" t="str">
        <f t="shared" si="89"/>
        <v/>
      </c>
      <c r="BF379" s="4" t="str">
        <f t="shared" si="89"/>
        <v/>
      </c>
      <c r="BG379" s="4" t="str">
        <f t="shared" si="89"/>
        <v/>
      </c>
      <c r="BH379" s="4" t="str">
        <f t="shared" si="89"/>
        <v/>
      </c>
      <c r="BI379" s="5" t="str">
        <f t="shared" si="89"/>
        <v/>
      </c>
    </row>
    <row r="380" spans="1:61" x14ac:dyDescent="0.25">
      <c r="A380">
        <v>345608</v>
      </c>
      <c r="B380" t="s">
        <v>14</v>
      </c>
      <c r="C380" t="s">
        <v>16</v>
      </c>
      <c r="D380">
        <v>63653</v>
      </c>
      <c r="E380">
        <v>1171</v>
      </c>
      <c r="F380">
        <v>5</v>
      </c>
      <c r="G380">
        <v>20121</v>
      </c>
      <c r="H380" t="s">
        <v>18</v>
      </c>
      <c r="I380">
        <v>1096407.879</v>
      </c>
      <c r="J380">
        <v>36599</v>
      </c>
      <c r="K380">
        <v>7235467.9500000002</v>
      </c>
      <c r="L380">
        <v>7005934.1799999997</v>
      </c>
      <c r="M380">
        <v>229533.77</v>
      </c>
      <c r="N380" s="3" t="str">
        <f t="shared" si="81"/>
        <v/>
      </c>
      <c r="O380" s="4" t="str">
        <f t="shared" si="81"/>
        <v/>
      </c>
      <c r="P380" s="4" t="str">
        <f t="shared" si="81"/>
        <v/>
      </c>
      <c r="Q380" s="4" t="str">
        <f t="shared" si="81"/>
        <v/>
      </c>
      <c r="R380" s="4" t="str">
        <f t="shared" si="81"/>
        <v/>
      </c>
      <c r="S380" s="4" t="str">
        <f t="shared" si="81"/>
        <v/>
      </c>
      <c r="T380" s="4" t="str">
        <f t="shared" si="81"/>
        <v/>
      </c>
      <c r="U380" s="4" t="str">
        <f t="shared" si="81"/>
        <v/>
      </c>
      <c r="V380" s="4" t="str">
        <f t="shared" si="82"/>
        <v/>
      </c>
      <c r="W380" s="4" t="str">
        <f t="shared" si="87"/>
        <v/>
      </c>
      <c r="X380" s="4" t="str">
        <f t="shared" si="87"/>
        <v/>
      </c>
      <c r="Y380" s="4" t="str">
        <f t="shared" si="87"/>
        <v/>
      </c>
      <c r="Z380" s="4" t="str">
        <f t="shared" si="87"/>
        <v/>
      </c>
      <c r="AA380" s="4" t="str">
        <f t="shared" si="87"/>
        <v/>
      </c>
      <c r="AB380" s="4" t="str">
        <f t="shared" si="87"/>
        <v/>
      </c>
      <c r="AC380" s="5" t="str">
        <f t="shared" si="87"/>
        <v/>
      </c>
      <c r="AD380" s="3" t="str">
        <f t="shared" si="83"/>
        <v/>
      </c>
      <c r="AE380" s="4" t="str">
        <f t="shared" si="83"/>
        <v/>
      </c>
      <c r="AF380" s="4" t="str">
        <f t="shared" si="83"/>
        <v/>
      </c>
      <c r="AG380" s="4" t="str">
        <f t="shared" si="83"/>
        <v/>
      </c>
      <c r="AH380" s="4" t="str">
        <f t="shared" si="83"/>
        <v/>
      </c>
      <c r="AI380" s="4" t="str">
        <f t="shared" si="83"/>
        <v/>
      </c>
      <c r="AJ380" s="4" t="str">
        <f t="shared" si="83"/>
        <v/>
      </c>
      <c r="AK380" s="4" t="str">
        <f t="shared" si="83"/>
        <v/>
      </c>
      <c r="AL380" s="4">
        <f t="shared" si="84"/>
        <v>1</v>
      </c>
      <c r="AM380" s="4" t="str">
        <f t="shared" si="88"/>
        <v/>
      </c>
      <c r="AN380" s="4" t="str">
        <f t="shared" si="88"/>
        <v/>
      </c>
      <c r="AO380" s="4" t="str">
        <f t="shared" si="88"/>
        <v/>
      </c>
      <c r="AP380" s="4" t="str">
        <f t="shared" si="88"/>
        <v/>
      </c>
      <c r="AQ380" s="4" t="str">
        <f t="shared" si="88"/>
        <v/>
      </c>
      <c r="AR380" s="4" t="str">
        <f t="shared" si="88"/>
        <v/>
      </c>
      <c r="AS380" s="5" t="str">
        <f t="shared" si="88"/>
        <v/>
      </c>
      <c r="AT380" s="3" t="str">
        <f t="shared" si="85"/>
        <v/>
      </c>
      <c r="AU380" s="4" t="str">
        <f t="shared" si="85"/>
        <v/>
      </c>
      <c r="AV380" s="4" t="str">
        <f t="shared" si="85"/>
        <v/>
      </c>
      <c r="AW380" s="4" t="str">
        <f t="shared" si="85"/>
        <v/>
      </c>
      <c r="AX380" s="4" t="str">
        <f t="shared" si="85"/>
        <v/>
      </c>
      <c r="AY380" s="4" t="str">
        <f t="shared" si="85"/>
        <v/>
      </c>
      <c r="AZ380" s="4" t="str">
        <f t="shared" si="85"/>
        <v/>
      </c>
      <c r="BA380" s="4" t="str">
        <f t="shared" si="85"/>
        <v/>
      </c>
      <c r="BB380" s="4" t="str">
        <f t="shared" si="86"/>
        <v/>
      </c>
      <c r="BC380" s="4" t="str">
        <f t="shared" si="89"/>
        <v/>
      </c>
      <c r="BD380" s="4" t="str">
        <f t="shared" si="89"/>
        <v/>
      </c>
      <c r="BE380" s="4" t="str">
        <f t="shared" si="89"/>
        <v/>
      </c>
      <c r="BF380" s="4" t="str">
        <f t="shared" si="89"/>
        <v/>
      </c>
      <c r="BG380" s="4" t="str">
        <f t="shared" si="89"/>
        <v/>
      </c>
      <c r="BH380" s="4" t="str">
        <f t="shared" si="89"/>
        <v/>
      </c>
      <c r="BI380" s="5" t="str">
        <f t="shared" si="89"/>
        <v/>
      </c>
    </row>
    <row r="381" spans="1:61" x14ac:dyDescent="0.25">
      <c r="A381">
        <v>345609</v>
      </c>
      <c r="B381" t="s">
        <v>14</v>
      </c>
      <c r="C381" t="s">
        <v>16</v>
      </c>
      <c r="D381">
        <v>63653</v>
      </c>
      <c r="E381">
        <v>1171</v>
      </c>
      <c r="F381">
        <v>5</v>
      </c>
      <c r="G381">
        <v>20122</v>
      </c>
      <c r="H381" t="s">
        <v>18</v>
      </c>
      <c r="I381">
        <v>814943.4</v>
      </c>
      <c r="J381">
        <v>27919</v>
      </c>
      <c r="K381">
        <v>5445100.1200000001</v>
      </c>
      <c r="L381">
        <v>5247802.43</v>
      </c>
      <c r="M381">
        <v>197297.69</v>
      </c>
      <c r="N381" s="3" t="str">
        <f t="shared" si="81"/>
        <v/>
      </c>
      <c r="O381" s="4" t="str">
        <f t="shared" si="81"/>
        <v/>
      </c>
      <c r="P381" s="4" t="str">
        <f t="shared" si="81"/>
        <v/>
      </c>
      <c r="Q381" s="4" t="str">
        <f t="shared" si="81"/>
        <v/>
      </c>
      <c r="R381" s="4" t="str">
        <f t="shared" si="81"/>
        <v/>
      </c>
      <c r="S381" s="4" t="str">
        <f t="shared" si="81"/>
        <v/>
      </c>
      <c r="T381" s="4" t="str">
        <f t="shared" si="81"/>
        <v/>
      </c>
      <c r="U381" s="4" t="str">
        <f t="shared" si="81"/>
        <v/>
      </c>
      <c r="V381" s="4" t="str">
        <f t="shared" si="82"/>
        <v/>
      </c>
      <c r="W381" s="4" t="str">
        <f t="shared" si="87"/>
        <v/>
      </c>
      <c r="X381" s="4" t="str">
        <f t="shared" si="87"/>
        <v/>
      </c>
      <c r="Y381" s="4" t="str">
        <f t="shared" si="87"/>
        <v/>
      </c>
      <c r="Z381" s="4" t="str">
        <f t="shared" si="87"/>
        <v/>
      </c>
      <c r="AA381" s="4" t="str">
        <f t="shared" si="87"/>
        <v/>
      </c>
      <c r="AB381" s="4" t="str">
        <f t="shared" si="87"/>
        <v/>
      </c>
      <c r="AC381" s="5" t="str">
        <f t="shared" si="87"/>
        <v/>
      </c>
      <c r="AD381" s="3" t="str">
        <f t="shared" si="83"/>
        <v/>
      </c>
      <c r="AE381" s="4" t="str">
        <f t="shared" si="83"/>
        <v/>
      </c>
      <c r="AF381" s="4" t="str">
        <f t="shared" si="83"/>
        <v/>
      </c>
      <c r="AG381" s="4" t="str">
        <f t="shared" si="83"/>
        <v/>
      </c>
      <c r="AH381" s="4" t="str">
        <f t="shared" si="83"/>
        <v/>
      </c>
      <c r="AI381" s="4" t="str">
        <f t="shared" si="83"/>
        <v/>
      </c>
      <c r="AJ381" s="4" t="str">
        <f t="shared" si="83"/>
        <v/>
      </c>
      <c r="AK381" s="4" t="str">
        <f t="shared" si="83"/>
        <v/>
      </c>
      <c r="AL381" s="4" t="str">
        <f t="shared" si="84"/>
        <v/>
      </c>
      <c r="AM381" s="4">
        <f t="shared" si="88"/>
        <v>1</v>
      </c>
      <c r="AN381" s="4" t="str">
        <f t="shared" si="88"/>
        <v/>
      </c>
      <c r="AO381" s="4" t="str">
        <f t="shared" si="88"/>
        <v/>
      </c>
      <c r="AP381" s="4" t="str">
        <f t="shared" si="88"/>
        <v/>
      </c>
      <c r="AQ381" s="4" t="str">
        <f t="shared" si="88"/>
        <v/>
      </c>
      <c r="AR381" s="4" t="str">
        <f t="shared" si="88"/>
        <v/>
      </c>
      <c r="AS381" s="5" t="str">
        <f t="shared" si="88"/>
        <v/>
      </c>
      <c r="AT381" s="3" t="str">
        <f t="shared" si="85"/>
        <v/>
      </c>
      <c r="AU381" s="4" t="str">
        <f t="shared" si="85"/>
        <v/>
      </c>
      <c r="AV381" s="4" t="str">
        <f t="shared" si="85"/>
        <v/>
      </c>
      <c r="AW381" s="4" t="str">
        <f t="shared" si="85"/>
        <v/>
      </c>
      <c r="AX381" s="4" t="str">
        <f t="shared" si="85"/>
        <v/>
      </c>
      <c r="AY381" s="4" t="str">
        <f t="shared" si="85"/>
        <v/>
      </c>
      <c r="AZ381" s="4" t="str">
        <f t="shared" si="85"/>
        <v/>
      </c>
      <c r="BA381" s="4" t="str">
        <f t="shared" si="85"/>
        <v/>
      </c>
      <c r="BB381" s="4" t="str">
        <f t="shared" si="86"/>
        <v/>
      </c>
      <c r="BC381" s="4" t="str">
        <f t="shared" si="89"/>
        <v/>
      </c>
      <c r="BD381" s="4" t="str">
        <f t="shared" si="89"/>
        <v/>
      </c>
      <c r="BE381" s="4" t="str">
        <f t="shared" si="89"/>
        <v/>
      </c>
      <c r="BF381" s="4" t="str">
        <f t="shared" si="89"/>
        <v/>
      </c>
      <c r="BG381" s="4" t="str">
        <f t="shared" si="89"/>
        <v/>
      </c>
      <c r="BH381" s="4" t="str">
        <f t="shared" si="89"/>
        <v/>
      </c>
      <c r="BI381" s="5" t="str">
        <f t="shared" si="89"/>
        <v/>
      </c>
    </row>
    <row r="382" spans="1:61" x14ac:dyDescent="0.25">
      <c r="A382">
        <v>345610</v>
      </c>
      <c r="B382" t="s">
        <v>14</v>
      </c>
      <c r="C382" t="s">
        <v>16</v>
      </c>
      <c r="D382">
        <v>63653</v>
      </c>
      <c r="E382">
        <v>1171</v>
      </c>
      <c r="F382">
        <v>5</v>
      </c>
      <c r="G382">
        <v>20123</v>
      </c>
      <c r="H382" t="s">
        <v>18</v>
      </c>
      <c r="I382">
        <v>166150.04999999999</v>
      </c>
      <c r="J382">
        <v>5908</v>
      </c>
      <c r="K382">
        <v>1081214.8400000001</v>
      </c>
      <c r="L382">
        <v>1042928.79</v>
      </c>
      <c r="M382">
        <v>38286.050000000003</v>
      </c>
      <c r="N382" s="3" t="str">
        <f t="shared" si="81"/>
        <v/>
      </c>
      <c r="O382" s="4" t="str">
        <f t="shared" si="81"/>
        <v/>
      </c>
      <c r="P382" s="4" t="str">
        <f t="shared" si="81"/>
        <v/>
      </c>
      <c r="Q382" s="4" t="str">
        <f t="shared" si="81"/>
        <v/>
      </c>
      <c r="R382" s="4" t="str">
        <f t="shared" si="81"/>
        <v/>
      </c>
      <c r="S382" s="4" t="str">
        <f t="shared" si="81"/>
        <v/>
      </c>
      <c r="T382" s="4" t="str">
        <f t="shared" si="81"/>
        <v/>
      </c>
      <c r="U382" s="4" t="str">
        <f t="shared" si="81"/>
        <v/>
      </c>
      <c r="V382" s="4" t="str">
        <f t="shared" si="82"/>
        <v/>
      </c>
      <c r="W382" s="4" t="str">
        <f t="shared" si="87"/>
        <v/>
      </c>
      <c r="X382" s="4" t="str">
        <f t="shared" si="87"/>
        <v/>
      </c>
      <c r="Y382" s="4" t="str">
        <f t="shared" si="87"/>
        <v/>
      </c>
      <c r="Z382" s="4" t="str">
        <f t="shared" si="87"/>
        <v/>
      </c>
      <c r="AA382" s="4" t="str">
        <f t="shared" si="87"/>
        <v/>
      </c>
      <c r="AB382" s="4" t="str">
        <f t="shared" si="87"/>
        <v/>
      </c>
      <c r="AC382" s="5" t="str">
        <f t="shared" si="87"/>
        <v/>
      </c>
      <c r="AD382" s="3" t="str">
        <f t="shared" si="83"/>
        <v/>
      </c>
      <c r="AE382" s="4" t="str">
        <f t="shared" si="83"/>
        <v/>
      </c>
      <c r="AF382" s="4" t="str">
        <f t="shared" si="83"/>
        <v/>
      </c>
      <c r="AG382" s="4" t="str">
        <f t="shared" si="83"/>
        <v/>
      </c>
      <c r="AH382" s="4" t="str">
        <f t="shared" si="83"/>
        <v/>
      </c>
      <c r="AI382" s="4" t="str">
        <f t="shared" si="83"/>
        <v/>
      </c>
      <c r="AJ382" s="4" t="str">
        <f t="shared" si="83"/>
        <v/>
      </c>
      <c r="AK382" s="4" t="str">
        <f t="shared" si="83"/>
        <v/>
      </c>
      <c r="AL382" s="4" t="str">
        <f t="shared" si="84"/>
        <v/>
      </c>
      <c r="AM382" s="4" t="str">
        <f t="shared" si="88"/>
        <v/>
      </c>
      <c r="AN382" s="4">
        <f t="shared" si="88"/>
        <v>1</v>
      </c>
      <c r="AO382" s="4" t="str">
        <f t="shared" si="88"/>
        <v/>
      </c>
      <c r="AP382" s="4" t="str">
        <f t="shared" si="88"/>
        <v/>
      </c>
      <c r="AQ382" s="4" t="str">
        <f t="shared" si="88"/>
        <v/>
      </c>
      <c r="AR382" s="4" t="str">
        <f t="shared" si="88"/>
        <v/>
      </c>
      <c r="AS382" s="5" t="str">
        <f t="shared" si="88"/>
        <v/>
      </c>
      <c r="AT382" s="3" t="str">
        <f t="shared" si="85"/>
        <v/>
      </c>
      <c r="AU382" s="4" t="str">
        <f t="shared" si="85"/>
        <v/>
      </c>
      <c r="AV382" s="4" t="str">
        <f t="shared" si="85"/>
        <v/>
      </c>
      <c r="AW382" s="4" t="str">
        <f t="shared" si="85"/>
        <v/>
      </c>
      <c r="AX382" s="4" t="str">
        <f t="shared" si="85"/>
        <v/>
      </c>
      <c r="AY382" s="4" t="str">
        <f t="shared" si="85"/>
        <v/>
      </c>
      <c r="AZ382" s="4" t="str">
        <f t="shared" si="85"/>
        <v/>
      </c>
      <c r="BA382" s="4" t="str">
        <f t="shared" si="85"/>
        <v/>
      </c>
      <c r="BB382" s="4" t="str">
        <f t="shared" si="86"/>
        <v/>
      </c>
      <c r="BC382" s="4" t="str">
        <f t="shared" si="89"/>
        <v/>
      </c>
      <c r="BD382" s="4" t="str">
        <f t="shared" si="89"/>
        <v/>
      </c>
      <c r="BE382" s="4" t="str">
        <f t="shared" si="89"/>
        <v/>
      </c>
      <c r="BF382" s="4" t="str">
        <f t="shared" si="89"/>
        <v/>
      </c>
      <c r="BG382" s="4" t="str">
        <f t="shared" si="89"/>
        <v/>
      </c>
      <c r="BH382" s="4" t="str">
        <f t="shared" si="89"/>
        <v/>
      </c>
      <c r="BI382" s="5" t="str">
        <f t="shared" si="89"/>
        <v/>
      </c>
    </row>
    <row r="383" spans="1:61" x14ac:dyDescent="0.25">
      <c r="A383">
        <v>345611</v>
      </c>
      <c r="B383" t="s">
        <v>14</v>
      </c>
      <c r="C383" t="s">
        <v>16</v>
      </c>
      <c r="D383">
        <v>63653</v>
      </c>
      <c r="E383">
        <v>1171</v>
      </c>
      <c r="F383">
        <v>5</v>
      </c>
      <c r="G383">
        <v>20124</v>
      </c>
      <c r="H383" t="s">
        <v>18</v>
      </c>
      <c r="I383">
        <v>45578.2</v>
      </c>
      <c r="J383">
        <v>1620</v>
      </c>
      <c r="K383">
        <v>297696.05</v>
      </c>
      <c r="L383">
        <v>285290.23</v>
      </c>
      <c r="M383">
        <v>12405.82</v>
      </c>
      <c r="N383" s="3" t="str">
        <f t="shared" si="81"/>
        <v/>
      </c>
      <c r="O383" s="4" t="str">
        <f t="shared" si="81"/>
        <v/>
      </c>
      <c r="P383" s="4" t="str">
        <f t="shared" si="81"/>
        <v/>
      </c>
      <c r="Q383" s="4" t="str">
        <f t="shared" si="81"/>
        <v/>
      </c>
      <c r="R383" s="4" t="str">
        <f t="shared" si="81"/>
        <v/>
      </c>
      <c r="S383" s="4" t="str">
        <f t="shared" si="81"/>
        <v/>
      </c>
      <c r="T383" s="4" t="str">
        <f t="shared" si="81"/>
        <v/>
      </c>
      <c r="U383" s="4" t="str">
        <f t="shared" si="81"/>
        <v/>
      </c>
      <c r="V383" s="4" t="str">
        <f t="shared" si="82"/>
        <v/>
      </c>
      <c r="W383" s="4" t="str">
        <f t="shared" si="87"/>
        <v/>
      </c>
      <c r="X383" s="4" t="str">
        <f t="shared" si="87"/>
        <v/>
      </c>
      <c r="Y383" s="4" t="str">
        <f t="shared" si="87"/>
        <v/>
      </c>
      <c r="Z383" s="4" t="str">
        <f t="shared" si="87"/>
        <v/>
      </c>
      <c r="AA383" s="4" t="str">
        <f t="shared" si="87"/>
        <v/>
      </c>
      <c r="AB383" s="4" t="str">
        <f t="shared" si="87"/>
        <v/>
      </c>
      <c r="AC383" s="5" t="str">
        <f t="shared" si="87"/>
        <v/>
      </c>
      <c r="AD383" s="3" t="str">
        <f t="shared" si="83"/>
        <v/>
      </c>
      <c r="AE383" s="4" t="str">
        <f t="shared" si="83"/>
        <v/>
      </c>
      <c r="AF383" s="4" t="str">
        <f t="shared" si="83"/>
        <v/>
      </c>
      <c r="AG383" s="4" t="str">
        <f t="shared" si="83"/>
        <v/>
      </c>
      <c r="AH383" s="4" t="str">
        <f t="shared" si="83"/>
        <v/>
      </c>
      <c r="AI383" s="4" t="str">
        <f t="shared" si="83"/>
        <v/>
      </c>
      <c r="AJ383" s="4" t="str">
        <f t="shared" si="83"/>
        <v/>
      </c>
      <c r="AK383" s="4" t="str">
        <f t="shared" si="83"/>
        <v/>
      </c>
      <c r="AL383" s="4" t="str">
        <f t="shared" si="84"/>
        <v/>
      </c>
      <c r="AM383" s="4" t="str">
        <f t="shared" si="88"/>
        <v/>
      </c>
      <c r="AN383" s="4" t="str">
        <f t="shared" si="88"/>
        <v/>
      </c>
      <c r="AO383" s="4">
        <f t="shared" si="88"/>
        <v>1</v>
      </c>
      <c r="AP383" s="4" t="str">
        <f t="shared" si="88"/>
        <v/>
      </c>
      <c r="AQ383" s="4" t="str">
        <f t="shared" si="88"/>
        <v/>
      </c>
      <c r="AR383" s="4" t="str">
        <f t="shared" si="88"/>
        <v/>
      </c>
      <c r="AS383" s="5" t="str">
        <f t="shared" si="88"/>
        <v/>
      </c>
      <c r="AT383" s="3" t="str">
        <f t="shared" si="85"/>
        <v/>
      </c>
      <c r="AU383" s="4" t="str">
        <f t="shared" si="85"/>
        <v/>
      </c>
      <c r="AV383" s="4" t="str">
        <f t="shared" si="85"/>
        <v/>
      </c>
      <c r="AW383" s="4" t="str">
        <f t="shared" si="85"/>
        <v/>
      </c>
      <c r="AX383" s="4" t="str">
        <f t="shared" si="85"/>
        <v/>
      </c>
      <c r="AY383" s="4" t="str">
        <f t="shared" si="85"/>
        <v/>
      </c>
      <c r="AZ383" s="4" t="str">
        <f t="shared" si="85"/>
        <v/>
      </c>
      <c r="BA383" s="4" t="str">
        <f t="shared" si="85"/>
        <v/>
      </c>
      <c r="BB383" s="4" t="str">
        <f t="shared" si="86"/>
        <v/>
      </c>
      <c r="BC383" s="4" t="str">
        <f t="shared" si="89"/>
        <v/>
      </c>
      <c r="BD383" s="4" t="str">
        <f t="shared" si="89"/>
        <v/>
      </c>
      <c r="BE383" s="4" t="str">
        <f t="shared" si="89"/>
        <v/>
      </c>
      <c r="BF383" s="4" t="str">
        <f t="shared" si="89"/>
        <v/>
      </c>
      <c r="BG383" s="4" t="str">
        <f t="shared" si="89"/>
        <v/>
      </c>
      <c r="BH383" s="4" t="str">
        <f t="shared" si="89"/>
        <v/>
      </c>
      <c r="BI383" s="5" t="str">
        <f t="shared" si="89"/>
        <v/>
      </c>
    </row>
    <row r="384" spans="1:61" x14ac:dyDescent="0.25">
      <c r="A384">
        <v>345612</v>
      </c>
      <c r="B384" t="s">
        <v>14</v>
      </c>
      <c r="C384" t="s">
        <v>16</v>
      </c>
      <c r="D384">
        <v>63653</v>
      </c>
      <c r="E384">
        <v>1171</v>
      </c>
      <c r="F384">
        <v>6</v>
      </c>
      <c r="G384">
        <v>20121</v>
      </c>
      <c r="H384" t="s">
        <v>18</v>
      </c>
      <c r="I384">
        <v>3819011.665</v>
      </c>
      <c r="J384">
        <v>118864</v>
      </c>
      <c r="K384">
        <v>25264704.809999999</v>
      </c>
      <c r="L384">
        <v>24676486.469999999</v>
      </c>
      <c r="M384">
        <v>588218.34</v>
      </c>
      <c r="N384" s="3" t="str">
        <f t="shared" si="81"/>
        <v/>
      </c>
      <c r="O384" s="4" t="str">
        <f t="shared" si="81"/>
        <v/>
      </c>
      <c r="P384" s="4" t="str">
        <f t="shared" si="81"/>
        <v/>
      </c>
      <c r="Q384" s="4" t="str">
        <f t="shared" si="81"/>
        <v/>
      </c>
      <c r="R384" s="4" t="str">
        <f t="shared" si="81"/>
        <v/>
      </c>
      <c r="S384" s="4" t="str">
        <f t="shared" si="81"/>
        <v/>
      </c>
      <c r="T384" s="4" t="str">
        <f t="shared" si="81"/>
        <v/>
      </c>
      <c r="U384" s="4" t="str">
        <f t="shared" si="81"/>
        <v/>
      </c>
      <c r="V384" s="4" t="str">
        <f t="shared" si="82"/>
        <v/>
      </c>
      <c r="W384" s="4" t="str">
        <f t="shared" si="87"/>
        <v/>
      </c>
      <c r="X384" s="4" t="str">
        <f t="shared" si="87"/>
        <v/>
      </c>
      <c r="Y384" s="4" t="str">
        <f t="shared" si="87"/>
        <v/>
      </c>
      <c r="Z384" s="4" t="str">
        <f t="shared" si="87"/>
        <v/>
      </c>
      <c r="AA384" s="4" t="str">
        <f t="shared" si="87"/>
        <v/>
      </c>
      <c r="AB384" s="4" t="str">
        <f t="shared" si="87"/>
        <v/>
      </c>
      <c r="AC384" s="5" t="str">
        <f t="shared" si="87"/>
        <v/>
      </c>
      <c r="AD384" s="3" t="str">
        <f t="shared" si="83"/>
        <v/>
      </c>
      <c r="AE384" s="4" t="str">
        <f t="shared" si="83"/>
        <v/>
      </c>
      <c r="AF384" s="4" t="str">
        <f t="shared" si="83"/>
        <v/>
      </c>
      <c r="AG384" s="4" t="str">
        <f t="shared" si="83"/>
        <v/>
      </c>
      <c r="AH384" s="4" t="str">
        <f t="shared" si="83"/>
        <v/>
      </c>
      <c r="AI384" s="4" t="str">
        <f t="shared" si="83"/>
        <v/>
      </c>
      <c r="AJ384" s="4" t="str">
        <f t="shared" si="83"/>
        <v/>
      </c>
      <c r="AK384" s="4" t="str">
        <f t="shared" si="83"/>
        <v/>
      </c>
      <c r="AL384" s="4">
        <f t="shared" si="84"/>
        <v>1</v>
      </c>
      <c r="AM384" s="4" t="str">
        <f t="shared" si="88"/>
        <v/>
      </c>
      <c r="AN384" s="4" t="str">
        <f t="shared" si="88"/>
        <v/>
      </c>
      <c r="AO384" s="4" t="str">
        <f t="shared" si="88"/>
        <v/>
      </c>
      <c r="AP384" s="4" t="str">
        <f t="shared" si="88"/>
        <v/>
      </c>
      <c r="AQ384" s="4" t="str">
        <f t="shared" si="88"/>
        <v/>
      </c>
      <c r="AR384" s="4" t="str">
        <f t="shared" si="88"/>
        <v/>
      </c>
      <c r="AS384" s="5" t="str">
        <f t="shared" si="88"/>
        <v/>
      </c>
      <c r="AT384" s="3" t="str">
        <f t="shared" si="85"/>
        <v/>
      </c>
      <c r="AU384" s="4" t="str">
        <f t="shared" si="85"/>
        <v/>
      </c>
      <c r="AV384" s="4" t="str">
        <f t="shared" si="85"/>
        <v/>
      </c>
      <c r="AW384" s="4" t="str">
        <f t="shared" si="85"/>
        <v/>
      </c>
      <c r="AX384" s="4" t="str">
        <f t="shared" si="85"/>
        <v/>
      </c>
      <c r="AY384" s="4" t="str">
        <f t="shared" si="85"/>
        <v/>
      </c>
      <c r="AZ384" s="4" t="str">
        <f t="shared" si="85"/>
        <v/>
      </c>
      <c r="BA384" s="4" t="str">
        <f t="shared" si="85"/>
        <v/>
      </c>
      <c r="BB384" s="4" t="str">
        <f t="shared" si="86"/>
        <v/>
      </c>
      <c r="BC384" s="4" t="str">
        <f t="shared" si="89"/>
        <v/>
      </c>
      <c r="BD384" s="4" t="str">
        <f t="shared" si="89"/>
        <v/>
      </c>
      <c r="BE384" s="4" t="str">
        <f t="shared" si="89"/>
        <v/>
      </c>
      <c r="BF384" s="4" t="str">
        <f t="shared" si="89"/>
        <v/>
      </c>
      <c r="BG384" s="4" t="str">
        <f t="shared" si="89"/>
        <v/>
      </c>
      <c r="BH384" s="4" t="str">
        <f t="shared" si="89"/>
        <v/>
      </c>
      <c r="BI384" s="5" t="str">
        <f t="shared" si="89"/>
        <v/>
      </c>
    </row>
    <row r="385" spans="1:61" x14ac:dyDescent="0.25">
      <c r="A385">
        <v>345613</v>
      </c>
      <c r="B385" t="s">
        <v>14</v>
      </c>
      <c r="C385" t="s">
        <v>16</v>
      </c>
      <c r="D385">
        <v>63653</v>
      </c>
      <c r="E385">
        <v>1171</v>
      </c>
      <c r="F385">
        <v>6</v>
      </c>
      <c r="G385">
        <v>20122</v>
      </c>
      <c r="H385" t="s">
        <v>18</v>
      </c>
      <c r="I385">
        <v>2650982.8539999998</v>
      </c>
      <c r="J385">
        <v>83467</v>
      </c>
      <c r="K385">
        <v>17710061.32</v>
      </c>
      <c r="L385">
        <v>17277830.190000001</v>
      </c>
      <c r="M385">
        <v>432231.13</v>
      </c>
      <c r="N385" s="3" t="str">
        <f t="shared" si="81"/>
        <v/>
      </c>
      <c r="O385" s="4" t="str">
        <f t="shared" si="81"/>
        <v/>
      </c>
      <c r="P385" s="4" t="str">
        <f t="shared" si="81"/>
        <v/>
      </c>
      <c r="Q385" s="4" t="str">
        <f t="shared" si="81"/>
        <v/>
      </c>
      <c r="R385" s="4" t="str">
        <f t="shared" si="81"/>
        <v/>
      </c>
      <c r="S385" s="4" t="str">
        <f t="shared" si="81"/>
        <v/>
      </c>
      <c r="T385" s="4" t="str">
        <f t="shared" si="81"/>
        <v/>
      </c>
      <c r="U385" s="4" t="str">
        <f t="shared" si="81"/>
        <v/>
      </c>
      <c r="V385" s="4" t="str">
        <f t="shared" si="82"/>
        <v/>
      </c>
      <c r="W385" s="4" t="str">
        <f t="shared" si="87"/>
        <v/>
      </c>
      <c r="X385" s="4" t="str">
        <f t="shared" si="87"/>
        <v/>
      </c>
      <c r="Y385" s="4" t="str">
        <f t="shared" si="87"/>
        <v/>
      </c>
      <c r="Z385" s="4" t="str">
        <f t="shared" si="87"/>
        <v/>
      </c>
      <c r="AA385" s="4" t="str">
        <f t="shared" si="87"/>
        <v/>
      </c>
      <c r="AB385" s="4" t="str">
        <f t="shared" si="87"/>
        <v/>
      </c>
      <c r="AC385" s="5" t="str">
        <f t="shared" si="87"/>
        <v/>
      </c>
      <c r="AD385" s="3" t="str">
        <f t="shared" si="83"/>
        <v/>
      </c>
      <c r="AE385" s="4" t="str">
        <f t="shared" si="83"/>
        <v/>
      </c>
      <c r="AF385" s="4" t="str">
        <f t="shared" si="83"/>
        <v/>
      </c>
      <c r="AG385" s="4" t="str">
        <f t="shared" si="83"/>
        <v/>
      </c>
      <c r="AH385" s="4" t="str">
        <f t="shared" si="83"/>
        <v/>
      </c>
      <c r="AI385" s="4" t="str">
        <f t="shared" si="83"/>
        <v/>
      </c>
      <c r="AJ385" s="4" t="str">
        <f t="shared" si="83"/>
        <v/>
      </c>
      <c r="AK385" s="4" t="str">
        <f t="shared" si="83"/>
        <v/>
      </c>
      <c r="AL385" s="4" t="str">
        <f t="shared" si="84"/>
        <v/>
      </c>
      <c r="AM385" s="4">
        <f t="shared" si="88"/>
        <v>1</v>
      </c>
      <c r="AN385" s="4" t="str">
        <f t="shared" si="88"/>
        <v/>
      </c>
      <c r="AO385" s="4" t="str">
        <f t="shared" si="88"/>
        <v/>
      </c>
      <c r="AP385" s="4" t="str">
        <f t="shared" si="88"/>
        <v/>
      </c>
      <c r="AQ385" s="4" t="str">
        <f t="shared" si="88"/>
        <v/>
      </c>
      <c r="AR385" s="4" t="str">
        <f t="shared" si="88"/>
        <v/>
      </c>
      <c r="AS385" s="5" t="str">
        <f t="shared" si="88"/>
        <v/>
      </c>
      <c r="AT385" s="3" t="str">
        <f t="shared" si="85"/>
        <v/>
      </c>
      <c r="AU385" s="4" t="str">
        <f t="shared" si="85"/>
        <v/>
      </c>
      <c r="AV385" s="4" t="str">
        <f t="shared" si="85"/>
        <v/>
      </c>
      <c r="AW385" s="4" t="str">
        <f t="shared" si="85"/>
        <v/>
      </c>
      <c r="AX385" s="4" t="str">
        <f t="shared" si="85"/>
        <v/>
      </c>
      <c r="AY385" s="4" t="str">
        <f t="shared" si="85"/>
        <v/>
      </c>
      <c r="AZ385" s="4" t="str">
        <f t="shared" si="85"/>
        <v/>
      </c>
      <c r="BA385" s="4" t="str">
        <f t="shared" si="85"/>
        <v/>
      </c>
      <c r="BB385" s="4" t="str">
        <f t="shared" si="86"/>
        <v/>
      </c>
      <c r="BC385" s="4" t="str">
        <f t="shared" si="89"/>
        <v/>
      </c>
      <c r="BD385" s="4" t="str">
        <f t="shared" si="89"/>
        <v/>
      </c>
      <c r="BE385" s="4" t="str">
        <f t="shared" si="89"/>
        <v/>
      </c>
      <c r="BF385" s="4" t="str">
        <f t="shared" si="89"/>
        <v/>
      </c>
      <c r="BG385" s="4" t="str">
        <f t="shared" si="89"/>
        <v/>
      </c>
      <c r="BH385" s="4" t="str">
        <f t="shared" si="89"/>
        <v/>
      </c>
      <c r="BI385" s="5" t="str">
        <f t="shared" si="89"/>
        <v/>
      </c>
    </row>
    <row r="386" spans="1:61" x14ac:dyDescent="0.25">
      <c r="A386">
        <v>345614</v>
      </c>
      <c r="B386" t="s">
        <v>14</v>
      </c>
      <c r="C386" t="s">
        <v>16</v>
      </c>
      <c r="D386">
        <v>63653</v>
      </c>
      <c r="E386">
        <v>1171</v>
      </c>
      <c r="F386">
        <v>6</v>
      </c>
      <c r="G386">
        <v>20123</v>
      </c>
      <c r="H386" t="s">
        <v>18</v>
      </c>
      <c r="I386">
        <v>588145.69999999995</v>
      </c>
      <c r="J386">
        <v>18544</v>
      </c>
      <c r="K386">
        <v>3747075.27</v>
      </c>
      <c r="L386">
        <v>3693664.52</v>
      </c>
      <c r="M386">
        <v>53410.75</v>
      </c>
      <c r="N386" s="3" t="str">
        <f t="shared" si="81"/>
        <v/>
      </c>
      <c r="O386" s="4" t="str">
        <f t="shared" si="81"/>
        <v/>
      </c>
      <c r="P386" s="4" t="str">
        <f t="shared" si="81"/>
        <v/>
      </c>
      <c r="Q386" s="4" t="str">
        <f t="shared" si="81"/>
        <v/>
      </c>
      <c r="R386" s="4" t="str">
        <f t="shared" si="81"/>
        <v/>
      </c>
      <c r="S386" s="4" t="str">
        <f t="shared" si="81"/>
        <v/>
      </c>
      <c r="T386" s="4" t="str">
        <f t="shared" si="81"/>
        <v/>
      </c>
      <c r="U386" s="4" t="str">
        <f t="shared" si="81"/>
        <v/>
      </c>
      <c r="V386" s="4" t="str">
        <f t="shared" si="82"/>
        <v/>
      </c>
      <c r="W386" s="4" t="str">
        <f t="shared" si="87"/>
        <v/>
      </c>
      <c r="X386" s="4" t="str">
        <f t="shared" si="87"/>
        <v/>
      </c>
      <c r="Y386" s="4" t="str">
        <f t="shared" si="87"/>
        <v/>
      </c>
      <c r="Z386" s="4" t="str">
        <f t="shared" si="87"/>
        <v/>
      </c>
      <c r="AA386" s="4" t="str">
        <f t="shared" si="87"/>
        <v/>
      </c>
      <c r="AB386" s="4" t="str">
        <f t="shared" si="87"/>
        <v/>
      </c>
      <c r="AC386" s="5" t="str">
        <f t="shared" si="87"/>
        <v/>
      </c>
      <c r="AD386" s="3" t="str">
        <f t="shared" si="83"/>
        <v/>
      </c>
      <c r="AE386" s="4" t="str">
        <f t="shared" si="83"/>
        <v/>
      </c>
      <c r="AF386" s="4" t="str">
        <f t="shared" si="83"/>
        <v/>
      </c>
      <c r="AG386" s="4" t="str">
        <f t="shared" si="83"/>
        <v/>
      </c>
      <c r="AH386" s="4" t="str">
        <f t="shared" si="83"/>
        <v/>
      </c>
      <c r="AI386" s="4" t="str">
        <f t="shared" si="83"/>
        <v/>
      </c>
      <c r="AJ386" s="4" t="str">
        <f t="shared" si="83"/>
        <v/>
      </c>
      <c r="AK386" s="4" t="str">
        <f t="shared" si="83"/>
        <v/>
      </c>
      <c r="AL386" s="4" t="str">
        <f t="shared" si="84"/>
        <v/>
      </c>
      <c r="AM386" s="4" t="str">
        <f t="shared" si="88"/>
        <v/>
      </c>
      <c r="AN386" s="4">
        <f t="shared" si="88"/>
        <v>1</v>
      </c>
      <c r="AO386" s="4" t="str">
        <f t="shared" si="88"/>
        <v/>
      </c>
      <c r="AP386" s="4" t="str">
        <f t="shared" si="88"/>
        <v/>
      </c>
      <c r="AQ386" s="4" t="str">
        <f t="shared" si="88"/>
        <v/>
      </c>
      <c r="AR386" s="4" t="str">
        <f t="shared" si="88"/>
        <v/>
      </c>
      <c r="AS386" s="5" t="str">
        <f t="shared" si="88"/>
        <v/>
      </c>
      <c r="AT386" s="3" t="str">
        <f t="shared" si="85"/>
        <v/>
      </c>
      <c r="AU386" s="4" t="str">
        <f t="shared" si="85"/>
        <v/>
      </c>
      <c r="AV386" s="4" t="str">
        <f t="shared" si="85"/>
        <v/>
      </c>
      <c r="AW386" s="4" t="str">
        <f t="shared" si="85"/>
        <v/>
      </c>
      <c r="AX386" s="4" t="str">
        <f t="shared" si="85"/>
        <v/>
      </c>
      <c r="AY386" s="4" t="str">
        <f t="shared" si="85"/>
        <v/>
      </c>
      <c r="AZ386" s="4" t="str">
        <f t="shared" si="85"/>
        <v/>
      </c>
      <c r="BA386" s="4" t="str">
        <f t="shared" si="85"/>
        <v/>
      </c>
      <c r="BB386" s="4" t="str">
        <f t="shared" si="86"/>
        <v/>
      </c>
      <c r="BC386" s="4" t="str">
        <f t="shared" si="89"/>
        <v/>
      </c>
      <c r="BD386" s="4" t="str">
        <f t="shared" si="89"/>
        <v/>
      </c>
      <c r="BE386" s="4" t="str">
        <f t="shared" si="89"/>
        <v/>
      </c>
      <c r="BF386" s="4" t="str">
        <f t="shared" si="89"/>
        <v/>
      </c>
      <c r="BG386" s="4" t="str">
        <f t="shared" si="89"/>
        <v/>
      </c>
      <c r="BH386" s="4" t="str">
        <f t="shared" si="89"/>
        <v/>
      </c>
      <c r="BI386" s="5" t="str">
        <f t="shared" si="89"/>
        <v/>
      </c>
    </row>
    <row r="387" spans="1:61" x14ac:dyDescent="0.25">
      <c r="A387">
        <v>345615</v>
      </c>
      <c r="B387" t="s">
        <v>14</v>
      </c>
      <c r="C387" t="s">
        <v>16</v>
      </c>
      <c r="D387">
        <v>63653</v>
      </c>
      <c r="E387">
        <v>1171</v>
      </c>
      <c r="F387">
        <v>6</v>
      </c>
      <c r="G387">
        <v>20124</v>
      </c>
      <c r="H387" t="s">
        <v>18</v>
      </c>
      <c r="I387">
        <v>137231.48000000001</v>
      </c>
      <c r="J387">
        <v>4312</v>
      </c>
      <c r="K387">
        <v>882264.41</v>
      </c>
      <c r="L387">
        <v>867991.19</v>
      </c>
      <c r="M387">
        <v>14273.22</v>
      </c>
      <c r="N387" s="3" t="str">
        <f t="shared" si="81"/>
        <v/>
      </c>
      <c r="O387" s="4" t="str">
        <f t="shared" si="81"/>
        <v/>
      </c>
      <c r="P387" s="4" t="str">
        <f t="shared" si="81"/>
        <v/>
      </c>
      <c r="Q387" s="4" t="str">
        <f t="shared" si="81"/>
        <v/>
      </c>
      <c r="R387" s="4" t="str">
        <f t="shared" si="81"/>
        <v/>
      </c>
      <c r="S387" s="4" t="str">
        <f t="shared" si="81"/>
        <v/>
      </c>
      <c r="T387" s="4" t="str">
        <f t="shared" si="81"/>
        <v/>
      </c>
      <c r="U387" s="4" t="str">
        <f t="shared" si="81"/>
        <v/>
      </c>
      <c r="V387" s="4" t="str">
        <f t="shared" si="82"/>
        <v/>
      </c>
      <c r="W387" s="4" t="str">
        <f t="shared" si="87"/>
        <v/>
      </c>
      <c r="X387" s="4" t="str">
        <f t="shared" si="87"/>
        <v/>
      </c>
      <c r="Y387" s="4" t="str">
        <f t="shared" si="87"/>
        <v/>
      </c>
      <c r="Z387" s="4" t="str">
        <f t="shared" si="87"/>
        <v/>
      </c>
      <c r="AA387" s="4" t="str">
        <f t="shared" si="87"/>
        <v/>
      </c>
      <c r="AB387" s="4" t="str">
        <f t="shared" si="87"/>
        <v/>
      </c>
      <c r="AC387" s="5" t="str">
        <f t="shared" si="87"/>
        <v/>
      </c>
      <c r="AD387" s="3" t="str">
        <f t="shared" si="83"/>
        <v/>
      </c>
      <c r="AE387" s="4" t="str">
        <f t="shared" si="83"/>
        <v/>
      </c>
      <c r="AF387" s="4" t="str">
        <f t="shared" si="83"/>
        <v/>
      </c>
      <c r="AG387" s="4" t="str">
        <f t="shared" si="83"/>
        <v/>
      </c>
      <c r="AH387" s="4" t="str">
        <f t="shared" si="83"/>
        <v/>
      </c>
      <c r="AI387" s="4" t="str">
        <f t="shared" si="83"/>
        <v/>
      </c>
      <c r="AJ387" s="4" t="str">
        <f t="shared" si="83"/>
        <v/>
      </c>
      <c r="AK387" s="4" t="str">
        <f t="shared" si="83"/>
        <v/>
      </c>
      <c r="AL387" s="4" t="str">
        <f t="shared" si="84"/>
        <v/>
      </c>
      <c r="AM387" s="4" t="str">
        <f t="shared" si="88"/>
        <v/>
      </c>
      <c r="AN387" s="4" t="str">
        <f t="shared" si="88"/>
        <v/>
      </c>
      <c r="AO387" s="4">
        <f t="shared" si="88"/>
        <v>1</v>
      </c>
      <c r="AP387" s="4" t="str">
        <f t="shared" si="88"/>
        <v/>
      </c>
      <c r="AQ387" s="4" t="str">
        <f t="shared" si="88"/>
        <v/>
      </c>
      <c r="AR387" s="4" t="str">
        <f t="shared" si="88"/>
        <v/>
      </c>
      <c r="AS387" s="5" t="str">
        <f t="shared" si="88"/>
        <v/>
      </c>
      <c r="AT387" s="3" t="str">
        <f t="shared" si="85"/>
        <v/>
      </c>
      <c r="AU387" s="4" t="str">
        <f t="shared" si="85"/>
        <v/>
      </c>
      <c r="AV387" s="4" t="str">
        <f t="shared" si="85"/>
        <v/>
      </c>
      <c r="AW387" s="4" t="str">
        <f t="shared" si="85"/>
        <v/>
      </c>
      <c r="AX387" s="4" t="str">
        <f t="shared" si="85"/>
        <v/>
      </c>
      <c r="AY387" s="4" t="str">
        <f t="shared" si="85"/>
        <v/>
      </c>
      <c r="AZ387" s="4" t="str">
        <f t="shared" si="85"/>
        <v/>
      </c>
      <c r="BA387" s="4" t="str">
        <f t="shared" si="85"/>
        <v/>
      </c>
      <c r="BB387" s="4" t="str">
        <f t="shared" si="86"/>
        <v/>
      </c>
      <c r="BC387" s="4" t="str">
        <f t="shared" si="89"/>
        <v/>
      </c>
      <c r="BD387" s="4" t="str">
        <f t="shared" si="89"/>
        <v/>
      </c>
      <c r="BE387" s="4" t="str">
        <f t="shared" si="89"/>
        <v/>
      </c>
      <c r="BF387" s="4" t="str">
        <f t="shared" si="89"/>
        <v/>
      </c>
      <c r="BG387" s="4" t="str">
        <f t="shared" si="89"/>
        <v/>
      </c>
      <c r="BH387" s="4" t="str">
        <f t="shared" si="89"/>
        <v/>
      </c>
      <c r="BI387" s="5" t="str">
        <f t="shared" si="89"/>
        <v/>
      </c>
    </row>
    <row r="388" spans="1:61" x14ac:dyDescent="0.25">
      <c r="A388">
        <v>466610</v>
      </c>
      <c r="B388" t="s">
        <v>15</v>
      </c>
      <c r="C388" t="s">
        <v>16</v>
      </c>
      <c r="D388">
        <v>63653</v>
      </c>
      <c r="E388">
        <v>1171</v>
      </c>
      <c r="F388">
        <v>1</v>
      </c>
      <c r="G388">
        <v>20121</v>
      </c>
      <c r="H388" t="s">
        <v>18</v>
      </c>
      <c r="I388">
        <v>1891659.0179999999</v>
      </c>
      <c r="J388">
        <v>62068</v>
      </c>
      <c r="K388">
        <v>12536539.939999999</v>
      </c>
      <c r="L388">
        <v>12481484.49</v>
      </c>
      <c r="M388">
        <v>55055.45</v>
      </c>
      <c r="N388" s="3" t="str">
        <f t="shared" si="81"/>
        <v/>
      </c>
      <c r="O388" s="4" t="str">
        <f t="shared" si="81"/>
        <v/>
      </c>
      <c r="P388" s="4" t="str">
        <f t="shared" si="81"/>
        <v/>
      </c>
      <c r="Q388" s="4" t="str">
        <f t="shared" si="81"/>
        <v/>
      </c>
      <c r="R388" s="4" t="str">
        <f t="shared" si="81"/>
        <v/>
      </c>
      <c r="S388" s="4" t="str">
        <f t="shared" si="81"/>
        <v/>
      </c>
      <c r="T388" s="4" t="str">
        <f t="shared" si="81"/>
        <v/>
      </c>
      <c r="U388" s="4" t="str">
        <f t="shared" si="81"/>
        <v/>
      </c>
      <c r="V388" s="4" t="str">
        <f t="shared" si="82"/>
        <v/>
      </c>
      <c r="W388" s="4" t="str">
        <f t="shared" si="87"/>
        <v/>
      </c>
      <c r="X388" s="4" t="str">
        <f t="shared" si="87"/>
        <v/>
      </c>
      <c r="Y388" s="4" t="str">
        <f t="shared" si="87"/>
        <v/>
      </c>
      <c r="Z388" s="4" t="str">
        <f t="shared" si="87"/>
        <v/>
      </c>
      <c r="AA388" s="4" t="str">
        <f t="shared" si="87"/>
        <v/>
      </c>
      <c r="AB388" s="4" t="str">
        <f t="shared" si="87"/>
        <v/>
      </c>
      <c r="AC388" s="5" t="str">
        <f t="shared" si="87"/>
        <v/>
      </c>
      <c r="AD388" s="3" t="str">
        <f t="shared" si="83"/>
        <v/>
      </c>
      <c r="AE388" s="4" t="str">
        <f t="shared" si="83"/>
        <v/>
      </c>
      <c r="AF388" s="4" t="str">
        <f t="shared" si="83"/>
        <v/>
      </c>
      <c r="AG388" s="4" t="str">
        <f t="shared" si="83"/>
        <v/>
      </c>
      <c r="AH388" s="4" t="str">
        <f t="shared" si="83"/>
        <v/>
      </c>
      <c r="AI388" s="4" t="str">
        <f t="shared" si="83"/>
        <v/>
      </c>
      <c r="AJ388" s="4" t="str">
        <f t="shared" si="83"/>
        <v/>
      </c>
      <c r="AK388" s="4" t="str">
        <f t="shared" si="83"/>
        <v/>
      </c>
      <c r="AL388" s="4" t="str">
        <f t="shared" si="84"/>
        <v/>
      </c>
      <c r="AM388" s="4" t="str">
        <f t="shared" si="88"/>
        <v/>
      </c>
      <c r="AN388" s="4" t="str">
        <f t="shared" si="88"/>
        <v/>
      </c>
      <c r="AO388" s="4" t="str">
        <f t="shared" si="88"/>
        <v/>
      </c>
      <c r="AP388" s="4">
        <f t="shared" si="88"/>
        <v>1</v>
      </c>
      <c r="AQ388" s="4" t="str">
        <f t="shared" si="88"/>
        <v/>
      </c>
      <c r="AR388" s="4" t="str">
        <f t="shared" si="88"/>
        <v/>
      </c>
      <c r="AS388" s="5" t="str">
        <f t="shared" si="88"/>
        <v/>
      </c>
      <c r="AT388" s="3" t="str">
        <f t="shared" si="85"/>
        <v/>
      </c>
      <c r="AU388" s="4" t="str">
        <f t="shared" si="85"/>
        <v/>
      </c>
      <c r="AV388" s="4" t="str">
        <f t="shared" si="85"/>
        <v/>
      </c>
      <c r="AW388" s="4" t="str">
        <f t="shared" si="85"/>
        <v/>
      </c>
      <c r="AX388" s="4" t="str">
        <f t="shared" si="85"/>
        <v/>
      </c>
      <c r="AY388" s="4" t="str">
        <f t="shared" si="85"/>
        <v/>
      </c>
      <c r="AZ388" s="4" t="str">
        <f t="shared" si="85"/>
        <v/>
      </c>
      <c r="BA388" s="4" t="str">
        <f t="shared" si="85"/>
        <v/>
      </c>
      <c r="BB388" s="4" t="str">
        <f t="shared" si="86"/>
        <v/>
      </c>
      <c r="BC388" s="4" t="str">
        <f t="shared" si="89"/>
        <v/>
      </c>
      <c r="BD388" s="4" t="str">
        <f t="shared" si="89"/>
        <v/>
      </c>
      <c r="BE388" s="4" t="str">
        <f t="shared" si="89"/>
        <v/>
      </c>
      <c r="BF388" s="4" t="str">
        <f t="shared" si="89"/>
        <v/>
      </c>
      <c r="BG388" s="4" t="str">
        <f t="shared" si="89"/>
        <v/>
      </c>
      <c r="BH388" s="4" t="str">
        <f t="shared" si="89"/>
        <v/>
      </c>
      <c r="BI388" s="5" t="str">
        <f t="shared" si="89"/>
        <v/>
      </c>
    </row>
    <row r="389" spans="1:61" x14ac:dyDescent="0.25">
      <c r="A389">
        <v>466611</v>
      </c>
      <c r="B389" t="s">
        <v>15</v>
      </c>
      <c r="C389" t="s">
        <v>16</v>
      </c>
      <c r="D389">
        <v>63653</v>
      </c>
      <c r="E389">
        <v>1171</v>
      </c>
      <c r="F389">
        <v>1</v>
      </c>
      <c r="G389">
        <v>20122</v>
      </c>
      <c r="H389" t="s">
        <v>18</v>
      </c>
      <c r="I389">
        <v>1603819.4809999999</v>
      </c>
      <c r="J389">
        <v>53495</v>
      </c>
      <c r="K389">
        <v>10832683.16</v>
      </c>
      <c r="L389">
        <v>10452031.359999999</v>
      </c>
      <c r="M389">
        <v>380651.8</v>
      </c>
      <c r="N389" s="3" t="str">
        <f t="shared" si="81"/>
        <v/>
      </c>
      <c r="O389" s="4" t="str">
        <f t="shared" si="81"/>
        <v/>
      </c>
      <c r="P389" s="4" t="str">
        <f t="shared" si="81"/>
        <v/>
      </c>
      <c r="Q389" s="4" t="str">
        <f t="shared" si="81"/>
        <v/>
      </c>
      <c r="R389" s="4" t="str">
        <f t="shared" si="81"/>
        <v/>
      </c>
      <c r="S389" s="4" t="str">
        <f t="shared" si="81"/>
        <v/>
      </c>
      <c r="T389" s="4" t="str">
        <f t="shared" si="81"/>
        <v/>
      </c>
      <c r="U389" s="4" t="str">
        <f t="shared" si="81"/>
        <v/>
      </c>
      <c r="V389" s="4" t="str">
        <f t="shared" si="82"/>
        <v/>
      </c>
      <c r="W389" s="4" t="str">
        <f t="shared" si="87"/>
        <v/>
      </c>
      <c r="X389" s="4" t="str">
        <f t="shared" si="87"/>
        <v/>
      </c>
      <c r="Y389" s="4" t="str">
        <f t="shared" si="87"/>
        <v/>
      </c>
      <c r="Z389" s="4" t="str">
        <f t="shared" si="87"/>
        <v/>
      </c>
      <c r="AA389" s="4" t="str">
        <f t="shared" si="87"/>
        <v/>
      </c>
      <c r="AB389" s="4" t="str">
        <f t="shared" si="87"/>
        <v/>
      </c>
      <c r="AC389" s="5" t="str">
        <f t="shared" si="87"/>
        <v/>
      </c>
      <c r="AD389" s="3" t="str">
        <f t="shared" si="83"/>
        <v/>
      </c>
      <c r="AE389" s="4" t="str">
        <f t="shared" si="83"/>
        <v/>
      </c>
      <c r="AF389" s="4" t="str">
        <f t="shared" si="83"/>
        <v/>
      </c>
      <c r="AG389" s="4" t="str">
        <f t="shared" si="83"/>
        <v/>
      </c>
      <c r="AH389" s="4" t="str">
        <f t="shared" si="83"/>
        <v/>
      </c>
      <c r="AI389" s="4" t="str">
        <f t="shared" si="83"/>
        <v/>
      </c>
      <c r="AJ389" s="4" t="str">
        <f t="shared" si="83"/>
        <v/>
      </c>
      <c r="AK389" s="4" t="str">
        <f t="shared" si="83"/>
        <v/>
      </c>
      <c r="AL389" s="4" t="str">
        <f t="shared" si="84"/>
        <v/>
      </c>
      <c r="AM389" s="4" t="str">
        <f t="shared" si="88"/>
        <v/>
      </c>
      <c r="AN389" s="4" t="str">
        <f t="shared" si="88"/>
        <v/>
      </c>
      <c r="AO389" s="4" t="str">
        <f t="shared" si="88"/>
        <v/>
      </c>
      <c r="AP389" s="4" t="str">
        <f t="shared" si="88"/>
        <v/>
      </c>
      <c r="AQ389" s="4">
        <f t="shared" si="88"/>
        <v>1</v>
      </c>
      <c r="AR389" s="4" t="str">
        <f t="shared" si="88"/>
        <v/>
      </c>
      <c r="AS389" s="5" t="str">
        <f t="shared" si="88"/>
        <v/>
      </c>
      <c r="AT389" s="3" t="str">
        <f t="shared" si="85"/>
        <v/>
      </c>
      <c r="AU389" s="4" t="str">
        <f t="shared" si="85"/>
        <v/>
      </c>
      <c r="AV389" s="4" t="str">
        <f t="shared" si="85"/>
        <v/>
      </c>
      <c r="AW389" s="4" t="str">
        <f t="shared" si="85"/>
        <v/>
      </c>
      <c r="AX389" s="4" t="str">
        <f t="shared" si="85"/>
        <v/>
      </c>
      <c r="AY389" s="4" t="str">
        <f t="shared" si="85"/>
        <v/>
      </c>
      <c r="AZ389" s="4" t="str">
        <f t="shared" si="85"/>
        <v/>
      </c>
      <c r="BA389" s="4" t="str">
        <f t="shared" si="85"/>
        <v/>
      </c>
      <c r="BB389" s="4" t="str">
        <f t="shared" si="86"/>
        <v/>
      </c>
      <c r="BC389" s="4" t="str">
        <f t="shared" si="89"/>
        <v/>
      </c>
      <c r="BD389" s="4" t="str">
        <f t="shared" si="89"/>
        <v/>
      </c>
      <c r="BE389" s="4" t="str">
        <f t="shared" si="89"/>
        <v/>
      </c>
      <c r="BF389" s="4" t="str">
        <f t="shared" si="89"/>
        <v/>
      </c>
      <c r="BG389" s="4" t="str">
        <f t="shared" si="89"/>
        <v/>
      </c>
      <c r="BH389" s="4" t="str">
        <f t="shared" si="89"/>
        <v/>
      </c>
      <c r="BI389" s="5" t="str">
        <f t="shared" si="89"/>
        <v/>
      </c>
    </row>
    <row r="390" spans="1:61" x14ac:dyDescent="0.25">
      <c r="A390">
        <v>466612</v>
      </c>
      <c r="B390" t="s">
        <v>15</v>
      </c>
      <c r="C390" t="s">
        <v>16</v>
      </c>
      <c r="D390">
        <v>63653</v>
      </c>
      <c r="E390">
        <v>1171</v>
      </c>
      <c r="F390">
        <v>1</v>
      </c>
      <c r="G390">
        <v>20123</v>
      </c>
      <c r="H390" t="s">
        <v>18</v>
      </c>
      <c r="I390">
        <v>257477</v>
      </c>
      <c r="J390">
        <v>8606</v>
      </c>
      <c r="K390">
        <v>1639950.28</v>
      </c>
      <c r="L390">
        <v>1627337.7</v>
      </c>
      <c r="M390">
        <v>12612.58</v>
      </c>
      <c r="N390" s="3" t="str">
        <f t="shared" si="81"/>
        <v/>
      </c>
      <c r="O390" s="4" t="str">
        <f t="shared" si="81"/>
        <v/>
      </c>
      <c r="P390" s="4" t="str">
        <f t="shared" si="81"/>
        <v/>
      </c>
      <c r="Q390" s="4" t="str">
        <f t="shared" si="81"/>
        <v/>
      </c>
      <c r="R390" s="4" t="str">
        <f t="shared" si="81"/>
        <v/>
      </c>
      <c r="S390" s="4" t="str">
        <f t="shared" si="81"/>
        <v/>
      </c>
      <c r="T390" s="4" t="str">
        <f t="shared" si="81"/>
        <v/>
      </c>
      <c r="U390" s="4" t="str">
        <f t="shared" si="81"/>
        <v/>
      </c>
      <c r="V390" s="4" t="str">
        <f t="shared" si="82"/>
        <v/>
      </c>
      <c r="W390" s="4" t="str">
        <f t="shared" si="87"/>
        <v/>
      </c>
      <c r="X390" s="4" t="str">
        <f t="shared" si="87"/>
        <v/>
      </c>
      <c r="Y390" s="4" t="str">
        <f t="shared" si="87"/>
        <v/>
      </c>
      <c r="Z390" s="4" t="str">
        <f t="shared" si="87"/>
        <v/>
      </c>
      <c r="AA390" s="4" t="str">
        <f t="shared" si="87"/>
        <v/>
      </c>
      <c r="AB390" s="4" t="str">
        <f t="shared" si="87"/>
        <v/>
      </c>
      <c r="AC390" s="5" t="str">
        <f t="shared" si="87"/>
        <v/>
      </c>
      <c r="AD390" s="3" t="str">
        <f t="shared" si="83"/>
        <v/>
      </c>
      <c r="AE390" s="4" t="str">
        <f t="shared" si="83"/>
        <v/>
      </c>
      <c r="AF390" s="4" t="str">
        <f t="shared" si="83"/>
        <v/>
      </c>
      <c r="AG390" s="4" t="str">
        <f t="shared" si="83"/>
        <v/>
      </c>
      <c r="AH390" s="4" t="str">
        <f t="shared" si="83"/>
        <v/>
      </c>
      <c r="AI390" s="4" t="str">
        <f t="shared" si="83"/>
        <v/>
      </c>
      <c r="AJ390" s="4" t="str">
        <f t="shared" si="83"/>
        <v/>
      </c>
      <c r="AK390" s="4" t="str">
        <f t="shared" si="83"/>
        <v/>
      </c>
      <c r="AL390" s="4" t="str">
        <f t="shared" si="84"/>
        <v/>
      </c>
      <c r="AM390" s="4" t="str">
        <f t="shared" si="88"/>
        <v/>
      </c>
      <c r="AN390" s="4" t="str">
        <f t="shared" si="88"/>
        <v/>
      </c>
      <c r="AO390" s="4" t="str">
        <f t="shared" si="88"/>
        <v/>
      </c>
      <c r="AP390" s="4" t="str">
        <f t="shared" si="88"/>
        <v/>
      </c>
      <c r="AQ390" s="4" t="str">
        <f t="shared" si="88"/>
        <v/>
      </c>
      <c r="AR390" s="4">
        <f t="shared" si="88"/>
        <v>1</v>
      </c>
      <c r="AS390" s="5" t="str">
        <f t="shared" si="88"/>
        <v/>
      </c>
      <c r="AT390" s="3" t="str">
        <f t="shared" si="85"/>
        <v/>
      </c>
      <c r="AU390" s="4" t="str">
        <f t="shared" si="85"/>
        <v/>
      </c>
      <c r="AV390" s="4" t="str">
        <f t="shared" si="85"/>
        <v/>
      </c>
      <c r="AW390" s="4" t="str">
        <f t="shared" si="85"/>
        <v/>
      </c>
      <c r="AX390" s="4" t="str">
        <f t="shared" si="85"/>
        <v/>
      </c>
      <c r="AY390" s="4" t="str">
        <f t="shared" si="85"/>
        <v/>
      </c>
      <c r="AZ390" s="4" t="str">
        <f t="shared" si="85"/>
        <v/>
      </c>
      <c r="BA390" s="4" t="str">
        <f t="shared" si="85"/>
        <v/>
      </c>
      <c r="BB390" s="4" t="str">
        <f t="shared" si="86"/>
        <v/>
      </c>
      <c r="BC390" s="4" t="str">
        <f t="shared" si="89"/>
        <v/>
      </c>
      <c r="BD390" s="4" t="str">
        <f t="shared" si="89"/>
        <v/>
      </c>
      <c r="BE390" s="4" t="str">
        <f t="shared" si="89"/>
        <v/>
      </c>
      <c r="BF390" s="4" t="str">
        <f t="shared" si="89"/>
        <v/>
      </c>
      <c r="BG390" s="4" t="str">
        <f t="shared" si="89"/>
        <v/>
      </c>
      <c r="BH390" s="4" t="str">
        <f t="shared" si="89"/>
        <v/>
      </c>
      <c r="BI390" s="5" t="str">
        <f t="shared" si="89"/>
        <v/>
      </c>
    </row>
    <row r="391" spans="1:61" x14ac:dyDescent="0.25">
      <c r="A391">
        <v>466613</v>
      </c>
      <c r="B391" t="s">
        <v>15</v>
      </c>
      <c r="C391" t="s">
        <v>16</v>
      </c>
      <c r="D391">
        <v>63653</v>
      </c>
      <c r="E391">
        <v>1171</v>
      </c>
      <c r="F391">
        <v>1</v>
      </c>
      <c r="G391">
        <v>20124</v>
      </c>
      <c r="H391" t="s">
        <v>18</v>
      </c>
      <c r="I391">
        <v>93496</v>
      </c>
      <c r="J391">
        <v>3097</v>
      </c>
      <c r="K391">
        <v>616115.39</v>
      </c>
      <c r="L391">
        <v>613851.11</v>
      </c>
      <c r="M391">
        <v>2264.2800000000002</v>
      </c>
      <c r="N391" s="3" t="str">
        <f t="shared" si="81"/>
        <v/>
      </c>
      <c r="O391" s="4" t="str">
        <f t="shared" si="81"/>
        <v/>
      </c>
      <c r="P391" s="4" t="str">
        <f t="shared" si="81"/>
        <v/>
      </c>
      <c r="Q391" s="4" t="str">
        <f t="shared" si="81"/>
        <v/>
      </c>
      <c r="R391" s="4" t="str">
        <f t="shared" si="81"/>
        <v/>
      </c>
      <c r="S391" s="4" t="str">
        <f t="shared" si="81"/>
        <v/>
      </c>
      <c r="T391" s="4" t="str">
        <f t="shared" si="81"/>
        <v/>
      </c>
      <c r="U391" s="4" t="str">
        <f t="shared" si="81"/>
        <v/>
      </c>
      <c r="V391" s="4" t="str">
        <f t="shared" si="82"/>
        <v/>
      </c>
      <c r="W391" s="4" t="str">
        <f t="shared" si="87"/>
        <v/>
      </c>
      <c r="X391" s="4" t="str">
        <f t="shared" si="87"/>
        <v/>
      </c>
      <c r="Y391" s="4" t="str">
        <f t="shared" si="87"/>
        <v/>
      </c>
      <c r="Z391" s="4" t="str">
        <f t="shared" si="87"/>
        <v/>
      </c>
      <c r="AA391" s="4" t="str">
        <f t="shared" si="87"/>
        <v/>
      </c>
      <c r="AB391" s="4" t="str">
        <f t="shared" si="87"/>
        <v/>
      </c>
      <c r="AC391" s="5" t="str">
        <f t="shared" si="87"/>
        <v/>
      </c>
      <c r="AD391" s="3" t="str">
        <f t="shared" si="83"/>
        <v/>
      </c>
      <c r="AE391" s="4" t="str">
        <f t="shared" si="83"/>
        <v/>
      </c>
      <c r="AF391" s="4" t="str">
        <f t="shared" si="83"/>
        <v/>
      </c>
      <c r="AG391" s="4" t="str">
        <f t="shared" si="83"/>
        <v/>
      </c>
      <c r="AH391" s="4" t="str">
        <f t="shared" si="83"/>
        <v/>
      </c>
      <c r="AI391" s="4" t="str">
        <f t="shared" si="83"/>
        <v/>
      </c>
      <c r="AJ391" s="4" t="str">
        <f t="shared" si="83"/>
        <v/>
      </c>
      <c r="AK391" s="4" t="str">
        <f t="shared" si="83"/>
        <v/>
      </c>
      <c r="AL391" s="4" t="str">
        <f t="shared" si="84"/>
        <v/>
      </c>
      <c r="AM391" s="4" t="str">
        <f t="shared" si="88"/>
        <v/>
      </c>
      <c r="AN391" s="4" t="str">
        <f t="shared" si="88"/>
        <v/>
      </c>
      <c r="AO391" s="4" t="str">
        <f t="shared" si="88"/>
        <v/>
      </c>
      <c r="AP391" s="4" t="str">
        <f t="shared" si="88"/>
        <v/>
      </c>
      <c r="AQ391" s="4" t="str">
        <f t="shared" si="88"/>
        <v/>
      </c>
      <c r="AR391" s="4" t="str">
        <f t="shared" si="88"/>
        <v/>
      </c>
      <c r="AS391" s="5">
        <f t="shared" si="88"/>
        <v>1</v>
      </c>
      <c r="AT391" s="3" t="str">
        <f t="shared" si="85"/>
        <v/>
      </c>
      <c r="AU391" s="4" t="str">
        <f t="shared" si="85"/>
        <v/>
      </c>
      <c r="AV391" s="4" t="str">
        <f t="shared" si="85"/>
        <v/>
      </c>
      <c r="AW391" s="4" t="str">
        <f t="shared" si="85"/>
        <v/>
      </c>
      <c r="AX391" s="4" t="str">
        <f t="shared" si="85"/>
        <v/>
      </c>
      <c r="AY391" s="4" t="str">
        <f t="shared" si="85"/>
        <v/>
      </c>
      <c r="AZ391" s="4" t="str">
        <f t="shared" si="85"/>
        <v/>
      </c>
      <c r="BA391" s="4" t="str">
        <f t="shared" si="85"/>
        <v/>
      </c>
      <c r="BB391" s="4" t="str">
        <f t="shared" si="86"/>
        <v/>
      </c>
      <c r="BC391" s="4" t="str">
        <f t="shared" si="89"/>
        <v/>
      </c>
      <c r="BD391" s="4" t="str">
        <f t="shared" si="89"/>
        <v/>
      </c>
      <c r="BE391" s="4" t="str">
        <f t="shared" si="89"/>
        <v/>
      </c>
      <c r="BF391" s="4" t="str">
        <f t="shared" si="89"/>
        <v/>
      </c>
      <c r="BG391" s="4" t="str">
        <f t="shared" si="89"/>
        <v/>
      </c>
      <c r="BH391" s="4" t="str">
        <f t="shared" si="89"/>
        <v/>
      </c>
      <c r="BI391" s="5" t="str">
        <f t="shared" si="89"/>
        <v/>
      </c>
    </row>
    <row r="392" spans="1:61" x14ac:dyDescent="0.25">
      <c r="A392">
        <v>466614</v>
      </c>
      <c r="B392" t="s">
        <v>15</v>
      </c>
      <c r="C392" t="s">
        <v>16</v>
      </c>
      <c r="D392">
        <v>63653</v>
      </c>
      <c r="E392">
        <v>1171</v>
      </c>
      <c r="F392">
        <v>3</v>
      </c>
      <c r="G392">
        <v>20121</v>
      </c>
      <c r="H392" t="s">
        <v>18</v>
      </c>
      <c r="I392">
        <v>6172.0749999999998</v>
      </c>
      <c r="J392">
        <v>250</v>
      </c>
      <c r="K392">
        <v>55431.27</v>
      </c>
      <c r="L392">
        <v>55422.27</v>
      </c>
      <c r="M392">
        <v>9</v>
      </c>
      <c r="N392" s="3" t="str">
        <f t="shared" si="81"/>
        <v/>
      </c>
      <c r="O392" s="4" t="str">
        <f t="shared" si="81"/>
        <v/>
      </c>
      <c r="P392" s="4" t="str">
        <f t="shared" si="81"/>
        <v/>
      </c>
      <c r="Q392" s="4" t="str">
        <f t="shared" si="81"/>
        <v/>
      </c>
      <c r="R392" s="4" t="str">
        <f t="shared" si="81"/>
        <v/>
      </c>
      <c r="S392" s="4" t="str">
        <f t="shared" si="81"/>
        <v/>
      </c>
      <c r="T392" s="4" t="str">
        <f t="shared" si="81"/>
        <v/>
      </c>
      <c r="U392" s="4" t="str">
        <f t="shared" si="81"/>
        <v/>
      </c>
      <c r="V392" s="4" t="str">
        <f t="shared" si="82"/>
        <v/>
      </c>
      <c r="W392" s="4" t="str">
        <f t="shared" si="87"/>
        <v/>
      </c>
      <c r="X392" s="4" t="str">
        <f t="shared" si="87"/>
        <v/>
      </c>
      <c r="Y392" s="4" t="str">
        <f t="shared" si="87"/>
        <v/>
      </c>
      <c r="Z392" s="4" t="str">
        <f t="shared" si="87"/>
        <v/>
      </c>
      <c r="AA392" s="4" t="str">
        <f t="shared" si="87"/>
        <v/>
      </c>
      <c r="AB392" s="4" t="str">
        <f t="shared" si="87"/>
        <v/>
      </c>
      <c r="AC392" s="5" t="str">
        <f t="shared" si="87"/>
        <v/>
      </c>
      <c r="AD392" s="3" t="str">
        <f t="shared" si="83"/>
        <v/>
      </c>
      <c r="AE392" s="4" t="str">
        <f t="shared" si="83"/>
        <v/>
      </c>
      <c r="AF392" s="4" t="str">
        <f t="shared" si="83"/>
        <v/>
      </c>
      <c r="AG392" s="4" t="str">
        <f t="shared" si="83"/>
        <v/>
      </c>
      <c r="AH392" s="4" t="str">
        <f t="shared" si="83"/>
        <v/>
      </c>
      <c r="AI392" s="4" t="str">
        <f t="shared" si="83"/>
        <v/>
      </c>
      <c r="AJ392" s="4" t="str">
        <f t="shared" si="83"/>
        <v/>
      </c>
      <c r="AK392" s="4" t="str">
        <f t="shared" si="83"/>
        <v/>
      </c>
      <c r="AL392" s="4" t="str">
        <f t="shared" si="84"/>
        <v/>
      </c>
      <c r="AM392" s="4" t="str">
        <f t="shared" si="88"/>
        <v/>
      </c>
      <c r="AN392" s="4" t="str">
        <f t="shared" si="88"/>
        <v/>
      </c>
      <c r="AO392" s="4" t="str">
        <f t="shared" si="88"/>
        <v/>
      </c>
      <c r="AP392" s="4">
        <f t="shared" si="88"/>
        <v>1</v>
      </c>
      <c r="AQ392" s="4" t="str">
        <f t="shared" si="88"/>
        <v/>
      </c>
      <c r="AR392" s="4" t="str">
        <f t="shared" si="88"/>
        <v/>
      </c>
      <c r="AS392" s="5" t="str">
        <f t="shared" si="88"/>
        <v/>
      </c>
      <c r="AT392" s="3" t="str">
        <f t="shared" si="85"/>
        <v/>
      </c>
      <c r="AU392" s="4" t="str">
        <f t="shared" si="85"/>
        <v/>
      </c>
      <c r="AV392" s="4" t="str">
        <f t="shared" si="85"/>
        <v/>
      </c>
      <c r="AW392" s="4" t="str">
        <f t="shared" si="85"/>
        <v/>
      </c>
      <c r="AX392" s="4" t="str">
        <f t="shared" si="85"/>
        <v/>
      </c>
      <c r="AY392" s="4" t="str">
        <f t="shared" si="85"/>
        <v/>
      </c>
      <c r="AZ392" s="4" t="str">
        <f t="shared" si="85"/>
        <v/>
      </c>
      <c r="BA392" s="4" t="str">
        <f t="shared" si="85"/>
        <v/>
      </c>
      <c r="BB392" s="4" t="str">
        <f t="shared" si="86"/>
        <v/>
      </c>
      <c r="BC392" s="4" t="str">
        <f t="shared" si="89"/>
        <v/>
      </c>
      <c r="BD392" s="4" t="str">
        <f t="shared" si="89"/>
        <v/>
      </c>
      <c r="BE392" s="4" t="str">
        <f t="shared" si="89"/>
        <v/>
      </c>
      <c r="BF392" s="4" t="str">
        <f t="shared" si="89"/>
        <v/>
      </c>
      <c r="BG392" s="4" t="str">
        <f t="shared" si="89"/>
        <v/>
      </c>
      <c r="BH392" s="4" t="str">
        <f t="shared" si="89"/>
        <v/>
      </c>
      <c r="BI392" s="5" t="str">
        <f t="shared" si="89"/>
        <v/>
      </c>
    </row>
    <row r="393" spans="1:61" x14ac:dyDescent="0.25">
      <c r="A393">
        <v>466615</v>
      </c>
      <c r="B393" t="s">
        <v>15</v>
      </c>
      <c r="C393" t="s">
        <v>16</v>
      </c>
      <c r="D393">
        <v>63653</v>
      </c>
      <c r="E393">
        <v>1171</v>
      </c>
      <c r="F393">
        <v>3</v>
      </c>
      <c r="G393">
        <v>20122</v>
      </c>
      <c r="H393" t="s">
        <v>18</v>
      </c>
      <c r="I393">
        <v>6201</v>
      </c>
      <c r="J393">
        <v>363</v>
      </c>
      <c r="K393">
        <v>79510.399999999994</v>
      </c>
      <c r="L393">
        <v>79473.100000000006</v>
      </c>
      <c r="M393">
        <v>37.299999999999997</v>
      </c>
      <c r="N393" s="3" t="str">
        <f t="shared" si="81"/>
        <v/>
      </c>
      <c r="O393" s="4" t="str">
        <f t="shared" si="81"/>
        <v/>
      </c>
      <c r="P393" s="4" t="str">
        <f t="shared" si="81"/>
        <v/>
      </c>
      <c r="Q393" s="4" t="str">
        <f t="shared" si="81"/>
        <v/>
      </c>
      <c r="R393" s="4" t="str">
        <f t="shared" si="81"/>
        <v/>
      </c>
      <c r="S393" s="4" t="str">
        <f t="shared" si="81"/>
        <v/>
      </c>
      <c r="T393" s="4" t="str">
        <f t="shared" si="81"/>
        <v/>
      </c>
      <c r="U393" s="4" t="str">
        <f t="shared" si="81"/>
        <v/>
      </c>
      <c r="V393" s="4" t="str">
        <f t="shared" si="82"/>
        <v/>
      </c>
      <c r="W393" s="4" t="str">
        <f t="shared" si="87"/>
        <v/>
      </c>
      <c r="X393" s="4" t="str">
        <f t="shared" si="87"/>
        <v/>
      </c>
      <c r="Y393" s="4" t="str">
        <f t="shared" si="87"/>
        <v/>
      </c>
      <c r="Z393" s="4" t="str">
        <f t="shared" si="87"/>
        <v/>
      </c>
      <c r="AA393" s="4" t="str">
        <f t="shared" si="87"/>
        <v/>
      </c>
      <c r="AB393" s="4" t="str">
        <f t="shared" si="87"/>
        <v/>
      </c>
      <c r="AC393" s="5" t="str">
        <f t="shared" si="87"/>
        <v/>
      </c>
      <c r="AD393" s="3" t="str">
        <f t="shared" si="83"/>
        <v/>
      </c>
      <c r="AE393" s="4" t="str">
        <f t="shared" si="83"/>
        <v/>
      </c>
      <c r="AF393" s="4" t="str">
        <f t="shared" si="83"/>
        <v/>
      </c>
      <c r="AG393" s="4" t="str">
        <f t="shared" si="83"/>
        <v/>
      </c>
      <c r="AH393" s="4" t="str">
        <f t="shared" si="83"/>
        <v/>
      </c>
      <c r="AI393" s="4" t="str">
        <f t="shared" si="83"/>
        <v/>
      </c>
      <c r="AJ393" s="4" t="str">
        <f t="shared" si="83"/>
        <v/>
      </c>
      <c r="AK393" s="4" t="str">
        <f t="shared" si="83"/>
        <v/>
      </c>
      <c r="AL393" s="4" t="str">
        <f t="shared" si="84"/>
        <v/>
      </c>
      <c r="AM393" s="4" t="str">
        <f t="shared" si="88"/>
        <v/>
      </c>
      <c r="AN393" s="4" t="str">
        <f t="shared" si="88"/>
        <v/>
      </c>
      <c r="AO393" s="4" t="str">
        <f t="shared" si="88"/>
        <v/>
      </c>
      <c r="AP393" s="4" t="str">
        <f t="shared" si="88"/>
        <v/>
      </c>
      <c r="AQ393" s="4">
        <f t="shared" si="88"/>
        <v>1</v>
      </c>
      <c r="AR393" s="4" t="str">
        <f t="shared" si="88"/>
        <v/>
      </c>
      <c r="AS393" s="5" t="str">
        <f t="shared" si="88"/>
        <v/>
      </c>
      <c r="AT393" s="3" t="str">
        <f t="shared" si="85"/>
        <v/>
      </c>
      <c r="AU393" s="4" t="str">
        <f t="shared" si="85"/>
        <v/>
      </c>
      <c r="AV393" s="4" t="str">
        <f t="shared" si="85"/>
        <v/>
      </c>
      <c r="AW393" s="4" t="str">
        <f t="shared" si="85"/>
        <v/>
      </c>
      <c r="AX393" s="4" t="str">
        <f t="shared" si="85"/>
        <v/>
      </c>
      <c r="AY393" s="4" t="str">
        <f t="shared" si="85"/>
        <v/>
      </c>
      <c r="AZ393" s="4" t="str">
        <f t="shared" si="85"/>
        <v/>
      </c>
      <c r="BA393" s="4" t="str">
        <f t="shared" si="85"/>
        <v/>
      </c>
      <c r="BB393" s="4" t="str">
        <f t="shared" si="86"/>
        <v/>
      </c>
      <c r="BC393" s="4" t="str">
        <f t="shared" si="89"/>
        <v/>
      </c>
      <c r="BD393" s="4" t="str">
        <f t="shared" si="89"/>
        <v/>
      </c>
      <c r="BE393" s="4" t="str">
        <f t="shared" si="89"/>
        <v/>
      </c>
      <c r="BF393" s="4" t="str">
        <f t="shared" si="89"/>
        <v/>
      </c>
      <c r="BG393" s="4" t="str">
        <f t="shared" si="89"/>
        <v/>
      </c>
      <c r="BH393" s="4" t="str">
        <f t="shared" si="89"/>
        <v/>
      </c>
      <c r="BI393" s="5" t="str">
        <f t="shared" si="89"/>
        <v/>
      </c>
    </row>
    <row r="394" spans="1:61" x14ac:dyDescent="0.25">
      <c r="A394">
        <v>466616</v>
      </c>
      <c r="B394" t="s">
        <v>15</v>
      </c>
      <c r="C394" t="s">
        <v>16</v>
      </c>
      <c r="D394">
        <v>63653</v>
      </c>
      <c r="E394">
        <v>1171</v>
      </c>
      <c r="F394">
        <v>3</v>
      </c>
      <c r="G394">
        <v>20123</v>
      </c>
      <c r="H394" t="s">
        <v>18</v>
      </c>
      <c r="I394">
        <v>1905</v>
      </c>
      <c r="J394">
        <v>215</v>
      </c>
      <c r="K394">
        <v>123223.37</v>
      </c>
      <c r="L394">
        <v>123223.37</v>
      </c>
      <c r="M394">
        <v>0</v>
      </c>
      <c r="N394" s="3" t="str">
        <f t="shared" si="81"/>
        <v/>
      </c>
      <c r="O394" s="4" t="str">
        <f t="shared" si="81"/>
        <v/>
      </c>
      <c r="P394" s="4" t="str">
        <f t="shared" si="81"/>
        <v/>
      </c>
      <c r="Q394" s="4" t="str">
        <f t="shared" si="81"/>
        <v/>
      </c>
      <c r="R394" s="4" t="str">
        <f t="shared" si="81"/>
        <v/>
      </c>
      <c r="S394" s="4" t="str">
        <f t="shared" si="81"/>
        <v/>
      </c>
      <c r="T394" s="4" t="str">
        <f t="shared" si="81"/>
        <v/>
      </c>
      <c r="U394" s="4" t="str">
        <f t="shared" si="81"/>
        <v/>
      </c>
      <c r="V394" s="4" t="str">
        <f t="shared" si="82"/>
        <v/>
      </c>
      <c r="W394" s="4" t="str">
        <f t="shared" si="87"/>
        <v/>
      </c>
      <c r="X394" s="4" t="str">
        <f t="shared" si="87"/>
        <v/>
      </c>
      <c r="Y394" s="4" t="str">
        <f t="shared" si="87"/>
        <v/>
      </c>
      <c r="Z394" s="4" t="str">
        <f t="shared" si="87"/>
        <v/>
      </c>
      <c r="AA394" s="4" t="str">
        <f t="shared" si="87"/>
        <v/>
      </c>
      <c r="AB394" s="4" t="str">
        <f t="shared" si="87"/>
        <v/>
      </c>
      <c r="AC394" s="5" t="str">
        <f t="shared" si="87"/>
        <v/>
      </c>
      <c r="AD394" s="3" t="str">
        <f t="shared" si="83"/>
        <v/>
      </c>
      <c r="AE394" s="4" t="str">
        <f t="shared" si="83"/>
        <v/>
      </c>
      <c r="AF394" s="4" t="str">
        <f t="shared" si="83"/>
        <v/>
      </c>
      <c r="AG394" s="4" t="str">
        <f t="shared" si="83"/>
        <v/>
      </c>
      <c r="AH394" s="4" t="str">
        <f t="shared" si="83"/>
        <v/>
      </c>
      <c r="AI394" s="4" t="str">
        <f t="shared" si="83"/>
        <v/>
      </c>
      <c r="AJ394" s="4" t="str">
        <f t="shared" si="83"/>
        <v/>
      </c>
      <c r="AK394" s="4" t="str">
        <f t="shared" si="83"/>
        <v/>
      </c>
      <c r="AL394" s="4" t="str">
        <f t="shared" si="84"/>
        <v/>
      </c>
      <c r="AM394" s="4" t="str">
        <f t="shared" si="88"/>
        <v/>
      </c>
      <c r="AN394" s="4" t="str">
        <f t="shared" si="88"/>
        <v/>
      </c>
      <c r="AO394" s="4" t="str">
        <f t="shared" si="88"/>
        <v/>
      </c>
      <c r="AP394" s="4" t="str">
        <f t="shared" si="88"/>
        <v/>
      </c>
      <c r="AQ394" s="4" t="str">
        <f t="shared" si="88"/>
        <v/>
      </c>
      <c r="AR394" s="4">
        <f t="shared" si="88"/>
        <v>1</v>
      </c>
      <c r="AS394" s="5" t="str">
        <f t="shared" si="88"/>
        <v/>
      </c>
      <c r="AT394" s="3" t="str">
        <f t="shared" si="85"/>
        <v/>
      </c>
      <c r="AU394" s="4" t="str">
        <f t="shared" si="85"/>
        <v/>
      </c>
      <c r="AV394" s="4" t="str">
        <f t="shared" si="85"/>
        <v/>
      </c>
      <c r="AW394" s="4" t="str">
        <f t="shared" si="85"/>
        <v/>
      </c>
      <c r="AX394" s="4" t="str">
        <f t="shared" si="85"/>
        <v/>
      </c>
      <c r="AY394" s="4" t="str">
        <f t="shared" si="85"/>
        <v/>
      </c>
      <c r="AZ394" s="4" t="str">
        <f t="shared" si="85"/>
        <v/>
      </c>
      <c r="BA394" s="4" t="str">
        <f t="shared" si="85"/>
        <v/>
      </c>
      <c r="BB394" s="4" t="str">
        <f t="shared" si="86"/>
        <v/>
      </c>
      <c r="BC394" s="4" t="str">
        <f t="shared" si="89"/>
        <v/>
      </c>
      <c r="BD394" s="4" t="str">
        <f t="shared" si="89"/>
        <v/>
      </c>
      <c r="BE394" s="4" t="str">
        <f t="shared" si="89"/>
        <v/>
      </c>
      <c r="BF394" s="4" t="str">
        <f t="shared" si="89"/>
        <v/>
      </c>
      <c r="BG394" s="4" t="str">
        <f t="shared" si="89"/>
        <v/>
      </c>
      <c r="BH394" s="4" t="str">
        <f t="shared" si="89"/>
        <v/>
      </c>
      <c r="BI394" s="5" t="str">
        <f t="shared" si="89"/>
        <v/>
      </c>
    </row>
    <row r="395" spans="1:61" x14ac:dyDescent="0.25">
      <c r="A395">
        <v>466617</v>
      </c>
      <c r="B395" t="s">
        <v>15</v>
      </c>
      <c r="C395" t="s">
        <v>16</v>
      </c>
      <c r="D395">
        <v>63653</v>
      </c>
      <c r="E395">
        <v>1171</v>
      </c>
      <c r="F395">
        <v>3</v>
      </c>
      <c r="G395">
        <v>20124</v>
      </c>
      <c r="H395" t="s">
        <v>18</v>
      </c>
      <c r="I395">
        <v>563</v>
      </c>
      <c r="J395">
        <v>191</v>
      </c>
      <c r="K395">
        <v>122489.96</v>
      </c>
      <c r="L395">
        <v>121599.19</v>
      </c>
      <c r="M395">
        <v>890.77</v>
      </c>
      <c r="N395" s="3" t="str">
        <f t="shared" si="81"/>
        <v/>
      </c>
      <c r="O395" s="4" t="str">
        <f t="shared" si="81"/>
        <v/>
      </c>
      <c r="P395" s="4" t="str">
        <f t="shared" si="81"/>
        <v/>
      </c>
      <c r="Q395" s="4" t="str">
        <f t="shared" si="81"/>
        <v/>
      </c>
      <c r="R395" s="4" t="str">
        <f t="shared" si="81"/>
        <v/>
      </c>
      <c r="S395" s="4" t="str">
        <f t="shared" si="81"/>
        <v/>
      </c>
      <c r="T395" s="4" t="str">
        <f t="shared" si="81"/>
        <v/>
      </c>
      <c r="U395" s="4" t="str">
        <f t="shared" si="81"/>
        <v/>
      </c>
      <c r="V395" s="4" t="str">
        <f t="shared" si="82"/>
        <v/>
      </c>
      <c r="W395" s="4" t="str">
        <f t="shared" si="87"/>
        <v/>
      </c>
      <c r="X395" s="4" t="str">
        <f t="shared" si="87"/>
        <v/>
      </c>
      <c r="Y395" s="4" t="str">
        <f t="shared" si="87"/>
        <v/>
      </c>
      <c r="Z395" s="4" t="str">
        <f t="shared" si="87"/>
        <v/>
      </c>
      <c r="AA395" s="4" t="str">
        <f t="shared" si="87"/>
        <v/>
      </c>
      <c r="AB395" s="4" t="str">
        <f t="shared" si="87"/>
        <v/>
      </c>
      <c r="AC395" s="5" t="str">
        <f t="shared" si="87"/>
        <v/>
      </c>
      <c r="AD395" s="3" t="str">
        <f t="shared" si="83"/>
        <v/>
      </c>
      <c r="AE395" s="4" t="str">
        <f t="shared" si="83"/>
        <v/>
      </c>
      <c r="AF395" s="4" t="str">
        <f t="shared" si="83"/>
        <v/>
      </c>
      <c r="AG395" s="4" t="str">
        <f t="shared" si="83"/>
        <v/>
      </c>
      <c r="AH395" s="4" t="str">
        <f t="shared" si="83"/>
        <v/>
      </c>
      <c r="AI395" s="4" t="str">
        <f t="shared" si="83"/>
        <v/>
      </c>
      <c r="AJ395" s="4" t="str">
        <f t="shared" si="83"/>
        <v/>
      </c>
      <c r="AK395" s="4" t="str">
        <f t="shared" si="83"/>
        <v/>
      </c>
      <c r="AL395" s="4" t="str">
        <f t="shared" si="84"/>
        <v/>
      </c>
      <c r="AM395" s="4" t="str">
        <f t="shared" si="88"/>
        <v/>
      </c>
      <c r="AN395" s="4" t="str">
        <f t="shared" si="88"/>
        <v/>
      </c>
      <c r="AO395" s="4" t="str">
        <f t="shared" si="88"/>
        <v/>
      </c>
      <c r="AP395" s="4" t="str">
        <f t="shared" si="88"/>
        <v/>
      </c>
      <c r="AQ395" s="4" t="str">
        <f t="shared" si="88"/>
        <v/>
      </c>
      <c r="AR395" s="4" t="str">
        <f t="shared" si="88"/>
        <v/>
      </c>
      <c r="AS395" s="5">
        <f t="shared" si="88"/>
        <v>1</v>
      </c>
      <c r="AT395" s="3" t="str">
        <f t="shared" si="85"/>
        <v/>
      </c>
      <c r="AU395" s="4" t="str">
        <f t="shared" si="85"/>
        <v/>
      </c>
      <c r="AV395" s="4" t="str">
        <f t="shared" si="85"/>
        <v/>
      </c>
      <c r="AW395" s="4" t="str">
        <f t="shared" si="85"/>
        <v/>
      </c>
      <c r="AX395" s="4" t="str">
        <f t="shared" si="85"/>
        <v/>
      </c>
      <c r="AY395" s="4" t="str">
        <f t="shared" si="85"/>
        <v/>
      </c>
      <c r="AZ395" s="4" t="str">
        <f t="shared" si="85"/>
        <v/>
      </c>
      <c r="BA395" s="4" t="str">
        <f t="shared" si="85"/>
        <v/>
      </c>
      <c r="BB395" s="4" t="str">
        <f t="shared" si="86"/>
        <v/>
      </c>
      <c r="BC395" s="4" t="str">
        <f t="shared" si="89"/>
        <v/>
      </c>
      <c r="BD395" s="4" t="str">
        <f t="shared" si="89"/>
        <v/>
      </c>
      <c r="BE395" s="4" t="str">
        <f t="shared" si="89"/>
        <v/>
      </c>
      <c r="BF395" s="4" t="str">
        <f t="shared" si="89"/>
        <v/>
      </c>
      <c r="BG395" s="4" t="str">
        <f t="shared" si="89"/>
        <v/>
      </c>
      <c r="BH395" s="4" t="str">
        <f t="shared" si="89"/>
        <v/>
      </c>
      <c r="BI395" s="5" t="str">
        <f t="shared" si="89"/>
        <v/>
      </c>
    </row>
    <row r="396" spans="1:61" x14ac:dyDescent="0.25">
      <c r="A396">
        <v>466618</v>
      </c>
      <c r="B396" t="s">
        <v>15</v>
      </c>
      <c r="C396" t="s">
        <v>16</v>
      </c>
      <c r="D396">
        <v>63653</v>
      </c>
      <c r="E396">
        <v>1171</v>
      </c>
      <c r="F396">
        <v>5</v>
      </c>
      <c r="G396">
        <v>20121</v>
      </c>
      <c r="H396" t="s">
        <v>18</v>
      </c>
      <c r="I396">
        <v>461572.47</v>
      </c>
      <c r="J396">
        <v>15115</v>
      </c>
      <c r="K396">
        <v>4290811.83</v>
      </c>
      <c r="L396">
        <v>4274320.4400000004</v>
      </c>
      <c r="M396">
        <v>16491.39</v>
      </c>
      <c r="N396" s="3" t="str">
        <f t="shared" si="81"/>
        <v/>
      </c>
      <c r="O396" s="4" t="str">
        <f t="shared" si="81"/>
        <v/>
      </c>
      <c r="P396" s="4" t="str">
        <f t="shared" si="81"/>
        <v/>
      </c>
      <c r="Q396" s="4" t="str">
        <f t="shared" si="81"/>
        <v/>
      </c>
      <c r="R396" s="4" t="str">
        <f t="shared" si="81"/>
        <v/>
      </c>
      <c r="S396" s="4" t="str">
        <f t="shared" si="81"/>
        <v/>
      </c>
      <c r="T396" s="4" t="str">
        <f t="shared" si="81"/>
        <v/>
      </c>
      <c r="U396" s="4" t="str">
        <f t="shared" si="81"/>
        <v/>
      </c>
      <c r="V396" s="4" t="str">
        <f t="shared" si="82"/>
        <v/>
      </c>
      <c r="W396" s="4" t="str">
        <f t="shared" si="87"/>
        <v/>
      </c>
      <c r="X396" s="4" t="str">
        <f t="shared" si="87"/>
        <v/>
      </c>
      <c r="Y396" s="4" t="str">
        <f t="shared" si="87"/>
        <v/>
      </c>
      <c r="Z396" s="4" t="str">
        <f t="shared" si="87"/>
        <v/>
      </c>
      <c r="AA396" s="4" t="str">
        <f t="shared" si="87"/>
        <v/>
      </c>
      <c r="AB396" s="4" t="str">
        <f t="shared" si="87"/>
        <v/>
      </c>
      <c r="AC396" s="5" t="str">
        <f t="shared" si="87"/>
        <v/>
      </c>
      <c r="AD396" s="3" t="str">
        <f t="shared" si="83"/>
        <v/>
      </c>
      <c r="AE396" s="4" t="str">
        <f t="shared" si="83"/>
        <v/>
      </c>
      <c r="AF396" s="4" t="str">
        <f t="shared" si="83"/>
        <v/>
      </c>
      <c r="AG396" s="4" t="str">
        <f t="shared" si="83"/>
        <v/>
      </c>
      <c r="AH396" s="4" t="str">
        <f t="shared" si="83"/>
        <v/>
      </c>
      <c r="AI396" s="4" t="str">
        <f t="shared" si="83"/>
        <v/>
      </c>
      <c r="AJ396" s="4" t="str">
        <f t="shared" si="83"/>
        <v/>
      </c>
      <c r="AK396" s="4" t="str">
        <f t="shared" si="83"/>
        <v/>
      </c>
      <c r="AL396" s="4" t="str">
        <f t="shared" si="84"/>
        <v/>
      </c>
      <c r="AM396" s="4" t="str">
        <f t="shared" si="88"/>
        <v/>
      </c>
      <c r="AN396" s="4" t="str">
        <f t="shared" si="88"/>
        <v/>
      </c>
      <c r="AO396" s="4" t="str">
        <f t="shared" si="88"/>
        <v/>
      </c>
      <c r="AP396" s="4">
        <f t="shared" si="88"/>
        <v>1</v>
      </c>
      <c r="AQ396" s="4" t="str">
        <f t="shared" si="88"/>
        <v/>
      </c>
      <c r="AR396" s="4" t="str">
        <f t="shared" si="88"/>
        <v/>
      </c>
      <c r="AS396" s="5" t="str">
        <f t="shared" si="88"/>
        <v/>
      </c>
      <c r="AT396" s="3" t="str">
        <f t="shared" si="85"/>
        <v/>
      </c>
      <c r="AU396" s="4" t="str">
        <f t="shared" si="85"/>
        <v/>
      </c>
      <c r="AV396" s="4" t="str">
        <f t="shared" si="85"/>
        <v/>
      </c>
      <c r="AW396" s="4" t="str">
        <f t="shared" si="85"/>
        <v/>
      </c>
      <c r="AX396" s="4" t="str">
        <f t="shared" si="85"/>
        <v/>
      </c>
      <c r="AY396" s="4" t="str">
        <f t="shared" si="85"/>
        <v/>
      </c>
      <c r="AZ396" s="4" t="str">
        <f t="shared" si="85"/>
        <v/>
      </c>
      <c r="BA396" s="4" t="str">
        <f t="shared" si="85"/>
        <v/>
      </c>
      <c r="BB396" s="4" t="str">
        <f t="shared" si="86"/>
        <v/>
      </c>
      <c r="BC396" s="4" t="str">
        <f t="shared" si="89"/>
        <v/>
      </c>
      <c r="BD396" s="4" t="str">
        <f t="shared" si="89"/>
        <v/>
      </c>
      <c r="BE396" s="4" t="str">
        <f t="shared" si="89"/>
        <v/>
      </c>
      <c r="BF396" s="4" t="str">
        <f t="shared" si="89"/>
        <v/>
      </c>
      <c r="BG396" s="4" t="str">
        <f t="shared" si="89"/>
        <v/>
      </c>
      <c r="BH396" s="4" t="str">
        <f t="shared" si="89"/>
        <v/>
      </c>
      <c r="BI396" s="5" t="str">
        <f t="shared" si="89"/>
        <v/>
      </c>
    </row>
    <row r="397" spans="1:61" x14ac:dyDescent="0.25">
      <c r="A397">
        <v>466619</v>
      </c>
      <c r="B397" t="s">
        <v>15</v>
      </c>
      <c r="C397" t="s">
        <v>16</v>
      </c>
      <c r="D397">
        <v>63653</v>
      </c>
      <c r="E397">
        <v>1171</v>
      </c>
      <c r="F397">
        <v>5</v>
      </c>
      <c r="G397">
        <v>20122</v>
      </c>
      <c r="H397" t="s">
        <v>18</v>
      </c>
      <c r="I397">
        <v>400155.00099999999</v>
      </c>
      <c r="J397">
        <v>13820</v>
      </c>
      <c r="K397">
        <v>3123118.28</v>
      </c>
      <c r="L397">
        <v>2974077.1</v>
      </c>
      <c r="M397">
        <v>149041.18</v>
      </c>
      <c r="N397" s="3" t="str">
        <f t="shared" si="81"/>
        <v/>
      </c>
      <c r="O397" s="4" t="str">
        <f t="shared" si="81"/>
        <v/>
      </c>
      <c r="P397" s="4" t="str">
        <f t="shared" si="81"/>
        <v/>
      </c>
      <c r="Q397" s="4" t="str">
        <f t="shared" si="81"/>
        <v/>
      </c>
      <c r="R397" s="4" t="str">
        <f t="shared" si="81"/>
        <v/>
      </c>
      <c r="S397" s="4" t="str">
        <f t="shared" si="81"/>
        <v/>
      </c>
      <c r="T397" s="4" t="str">
        <f t="shared" si="81"/>
        <v/>
      </c>
      <c r="U397" s="4" t="str">
        <f t="shared" si="81"/>
        <v/>
      </c>
      <c r="V397" s="4" t="str">
        <f t="shared" si="82"/>
        <v/>
      </c>
      <c r="W397" s="4" t="str">
        <f t="shared" si="87"/>
        <v/>
      </c>
      <c r="X397" s="4" t="str">
        <f t="shared" si="87"/>
        <v/>
      </c>
      <c r="Y397" s="4" t="str">
        <f t="shared" si="87"/>
        <v/>
      </c>
      <c r="Z397" s="4" t="str">
        <f t="shared" si="87"/>
        <v/>
      </c>
      <c r="AA397" s="4" t="str">
        <f t="shared" si="87"/>
        <v/>
      </c>
      <c r="AB397" s="4" t="str">
        <f t="shared" si="87"/>
        <v/>
      </c>
      <c r="AC397" s="5" t="str">
        <f t="shared" si="87"/>
        <v/>
      </c>
      <c r="AD397" s="3" t="str">
        <f t="shared" si="83"/>
        <v/>
      </c>
      <c r="AE397" s="4" t="str">
        <f t="shared" si="83"/>
        <v/>
      </c>
      <c r="AF397" s="4" t="str">
        <f t="shared" si="83"/>
        <v/>
      </c>
      <c r="AG397" s="4" t="str">
        <f t="shared" si="83"/>
        <v/>
      </c>
      <c r="AH397" s="4" t="str">
        <f t="shared" si="83"/>
        <v/>
      </c>
      <c r="AI397" s="4" t="str">
        <f t="shared" si="83"/>
        <v/>
      </c>
      <c r="AJ397" s="4" t="str">
        <f t="shared" si="83"/>
        <v/>
      </c>
      <c r="AK397" s="4" t="str">
        <f t="shared" si="83"/>
        <v/>
      </c>
      <c r="AL397" s="4" t="str">
        <f t="shared" si="84"/>
        <v/>
      </c>
      <c r="AM397" s="4" t="str">
        <f t="shared" si="88"/>
        <v/>
      </c>
      <c r="AN397" s="4" t="str">
        <f t="shared" si="88"/>
        <v/>
      </c>
      <c r="AO397" s="4" t="str">
        <f t="shared" si="88"/>
        <v/>
      </c>
      <c r="AP397" s="4" t="str">
        <f t="shared" si="88"/>
        <v/>
      </c>
      <c r="AQ397" s="4">
        <f t="shared" si="88"/>
        <v>1</v>
      </c>
      <c r="AR397" s="4" t="str">
        <f t="shared" si="88"/>
        <v/>
      </c>
      <c r="AS397" s="5" t="str">
        <f t="shared" si="88"/>
        <v/>
      </c>
      <c r="AT397" s="3" t="str">
        <f t="shared" si="85"/>
        <v/>
      </c>
      <c r="AU397" s="4" t="str">
        <f t="shared" si="85"/>
        <v/>
      </c>
      <c r="AV397" s="4" t="str">
        <f t="shared" si="85"/>
        <v/>
      </c>
      <c r="AW397" s="4" t="str">
        <f t="shared" si="85"/>
        <v/>
      </c>
      <c r="AX397" s="4" t="str">
        <f t="shared" si="85"/>
        <v/>
      </c>
      <c r="AY397" s="4" t="str">
        <f t="shared" si="85"/>
        <v/>
      </c>
      <c r="AZ397" s="4" t="str">
        <f t="shared" si="85"/>
        <v/>
      </c>
      <c r="BA397" s="4" t="str">
        <f t="shared" si="85"/>
        <v/>
      </c>
      <c r="BB397" s="4" t="str">
        <f t="shared" si="86"/>
        <v/>
      </c>
      <c r="BC397" s="4" t="str">
        <f t="shared" si="89"/>
        <v/>
      </c>
      <c r="BD397" s="4" t="str">
        <f t="shared" si="89"/>
        <v/>
      </c>
      <c r="BE397" s="4" t="str">
        <f t="shared" si="89"/>
        <v/>
      </c>
      <c r="BF397" s="4" t="str">
        <f t="shared" si="89"/>
        <v/>
      </c>
      <c r="BG397" s="4" t="str">
        <f t="shared" si="89"/>
        <v/>
      </c>
      <c r="BH397" s="4" t="str">
        <f t="shared" si="89"/>
        <v/>
      </c>
      <c r="BI397" s="5" t="str">
        <f t="shared" si="89"/>
        <v/>
      </c>
    </row>
    <row r="398" spans="1:61" x14ac:dyDescent="0.25">
      <c r="A398">
        <v>466620</v>
      </c>
      <c r="B398" t="s">
        <v>15</v>
      </c>
      <c r="C398" t="s">
        <v>16</v>
      </c>
      <c r="D398">
        <v>63653</v>
      </c>
      <c r="E398">
        <v>1171</v>
      </c>
      <c r="F398">
        <v>5</v>
      </c>
      <c r="G398">
        <v>20123</v>
      </c>
      <c r="H398" t="s">
        <v>18</v>
      </c>
      <c r="I398">
        <v>46431</v>
      </c>
      <c r="J398">
        <v>1582</v>
      </c>
      <c r="K398">
        <v>286339.92</v>
      </c>
      <c r="L398">
        <v>277840.78000000003</v>
      </c>
      <c r="M398">
        <v>8499.14</v>
      </c>
      <c r="N398" s="3" t="str">
        <f t="shared" si="81"/>
        <v/>
      </c>
      <c r="O398" s="4" t="str">
        <f t="shared" si="81"/>
        <v/>
      </c>
      <c r="P398" s="4" t="str">
        <f t="shared" si="81"/>
        <v/>
      </c>
      <c r="Q398" s="4" t="str">
        <f t="shared" si="81"/>
        <v/>
      </c>
      <c r="R398" s="4" t="str">
        <f t="shared" si="81"/>
        <v/>
      </c>
      <c r="S398" s="4" t="str">
        <f t="shared" si="81"/>
        <v/>
      </c>
      <c r="T398" s="4" t="str">
        <f t="shared" si="81"/>
        <v/>
      </c>
      <c r="U398" s="4" t="str">
        <f t="shared" si="81"/>
        <v/>
      </c>
      <c r="V398" s="4" t="str">
        <f t="shared" si="82"/>
        <v/>
      </c>
      <c r="W398" s="4" t="str">
        <f t="shared" si="87"/>
        <v/>
      </c>
      <c r="X398" s="4" t="str">
        <f t="shared" si="87"/>
        <v/>
      </c>
      <c r="Y398" s="4" t="str">
        <f t="shared" si="87"/>
        <v/>
      </c>
      <c r="Z398" s="4" t="str">
        <f t="shared" si="87"/>
        <v/>
      </c>
      <c r="AA398" s="4" t="str">
        <f t="shared" si="87"/>
        <v/>
      </c>
      <c r="AB398" s="4" t="str">
        <f t="shared" si="87"/>
        <v/>
      </c>
      <c r="AC398" s="5" t="str">
        <f t="shared" si="87"/>
        <v/>
      </c>
      <c r="AD398" s="3" t="str">
        <f t="shared" si="83"/>
        <v/>
      </c>
      <c r="AE398" s="4" t="str">
        <f t="shared" si="83"/>
        <v/>
      </c>
      <c r="AF398" s="4" t="str">
        <f t="shared" si="83"/>
        <v/>
      </c>
      <c r="AG398" s="4" t="str">
        <f t="shared" si="83"/>
        <v/>
      </c>
      <c r="AH398" s="4" t="str">
        <f t="shared" si="83"/>
        <v/>
      </c>
      <c r="AI398" s="4" t="str">
        <f t="shared" si="83"/>
        <v/>
      </c>
      <c r="AJ398" s="4" t="str">
        <f t="shared" si="83"/>
        <v/>
      </c>
      <c r="AK398" s="4" t="str">
        <f t="shared" si="83"/>
        <v/>
      </c>
      <c r="AL398" s="4" t="str">
        <f t="shared" si="84"/>
        <v/>
      </c>
      <c r="AM398" s="4" t="str">
        <f t="shared" si="88"/>
        <v/>
      </c>
      <c r="AN398" s="4" t="str">
        <f t="shared" si="88"/>
        <v/>
      </c>
      <c r="AO398" s="4" t="str">
        <f t="shared" si="88"/>
        <v/>
      </c>
      <c r="AP398" s="4" t="str">
        <f t="shared" si="88"/>
        <v/>
      </c>
      <c r="AQ398" s="4" t="str">
        <f t="shared" si="88"/>
        <v/>
      </c>
      <c r="AR398" s="4">
        <f t="shared" si="88"/>
        <v>1</v>
      </c>
      <c r="AS398" s="5" t="str">
        <f t="shared" si="88"/>
        <v/>
      </c>
      <c r="AT398" s="3" t="str">
        <f t="shared" si="85"/>
        <v/>
      </c>
      <c r="AU398" s="4" t="str">
        <f t="shared" si="85"/>
        <v/>
      </c>
      <c r="AV398" s="4" t="str">
        <f t="shared" si="85"/>
        <v/>
      </c>
      <c r="AW398" s="4" t="str">
        <f t="shared" si="85"/>
        <v/>
      </c>
      <c r="AX398" s="4" t="str">
        <f t="shared" si="85"/>
        <v/>
      </c>
      <c r="AY398" s="4" t="str">
        <f t="shared" si="85"/>
        <v/>
      </c>
      <c r="AZ398" s="4" t="str">
        <f t="shared" si="85"/>
        <v/>
      </c>
      <c r="BA398" s="4" t="str">
        <f t="shared" si="85"/>
        <v/>
      </c>
      <c r="BB398" s="4" t="str">
        <f t="shared" si="86"/>
        <v/>
      </c>
      <c r="BC398" s="4" t="str">
        <f t="shared" si="89"/>
        <v/>
      </c>
      <c r="BD398" s="4" t="str">
        <f t="shared" si="89"/>
        <v/>
      </c>
      <c r="BE398" s="4" t="str">
        <f t="shared" si="89"/>
        <v/>
      </c>
      <c r="BF398" s="4" t="str">
        <f t="shared" si="89"/>
        <v/>
      </c>
      <c r="BG398" s="4" t="str">
        <f t="shared" si="89"/>
        <v/>
      </c>
      <c r="BH398" s="4" t="str">
        <f t="shared" si="89"/>
        <v/>
      </c>
      <c r="BI398" s="5" t="str">
        <f t="shared" si="89"/>
        <v/>
      </c>
    </row>
    <row r="399" spans="1:61" x14ac:dyDescent="0.25">
      <c r="A399">
        <v>466621</v>
      </c>
      <c r="B399" t="s">
        <v>15</v>
      </c>
      <c r="C399" t="s">
        <v>16</v>
      </c>
      <c r="D399">
        <v>63653</v>
      </c>
      <c r="E399">
        <v>1171</v>
      </c>
      <c r="F399">
        <v>5</v>
      </c>
      <c r="G399">
        <v>20124</v>
      </c>
      <c r="H399" t="s">
        <v>18</v>
      </c>
      <c r="I399">
        <v>28319</v>
      </c>
      <c r="J399">
        <v>968</v>
      </c>
      <c r="K399">
        <v>271500.51</v>
      </c>
      <c r="L399">
        <v>192651.4</v>
      </c>
      <c r="M399">
        <v>78849.11</v>
      </c>
      <c r="N399" s="3" t="str">
        <f t="shared" si="81"/>
        <v/>
      </c>
      <c r="O399" s="4" t="str">
        <f t="shared" si="81"/>
        <v/>
      </c>
      <c r="P399" s="4" t="str">
        <f t="shared" si="81"/>
        <v/>
      </c>
      <c r="Q399" s="4" t="str">
        <f t="shared" si="81"/>
        <v/>
      </c>
      <c r="R399" s="4" t="str">
        <f t="shared" si="81"/>
        <v/>
      </c>
      <c r="S399" s="4" t="str">
        <f t="shared" si="81"/>
        <v/>
      </c>
      <c r="T399" s="4" t="str">
        <f t="shared" si="81"/>
        <v/>
      </c>
      <c r="U399" s="4" t="str">
        <f t="shared" si="81"/>
        <v/>
      </c>
      <c r="V399" s="4" t="str">
        <f t="shared" si="82"/>
        <v/>
      </c>
      <c r="W399" s="4" t="str">
        <f t="shared" si="87"/>
        <v/>
      </c>
      <c r="X399" s="4" t="str">
        <f t="shared" si="87"/>
        <v/>
      </c>
      <c r="Y399" s="4" t="str">
        <f t="shared" si="87"/>
        <v/>
      </c>
      <c r="Z399" s="4" t="str">
        <f t="shared" si="87"/>
        <v/>
      </c>
      <c r="AA399" s="4" t="str">
        <f t="shared" si="87"/>
        <v/>
      </c>
      <c r="AB399" s="4" t="str">
        <f t="shared" si="87"/>
        <v/>
      </c>
      <c r="AC399" s="5" t="str">
        <f t="shared" si="87"/>
        <v/>
      </c>
      <c r="AD399" s="3" t="str">
        <f t="shared" si="83"/>
        <v/>
      </c>
      <c r="AE399" s="4" t="str">
        <f t="shared" si="83"/>
        <v/>
      </c>
      <c r="AF399" s="4" t="str">
        <f t="shared" si="83"/>
        <v/>
      </c>
      <c r="AG399" s="4" t="str">
        <f t="shared" si="83"/>
        <v/>
      </c>
      <c r="AH399" s="4" t="str">
        <f t="shared" si="83"/>
        <v/>
      </c>
      <c r="AI399" s="4" t="str">
        <f t="shared" si="83"/>
        <v/>
      </c>
      <c r="AJ399" s="4" t="str">
        <f t="shared" si="83"/>
        <v/>
      </c>
      <c r="AK399" s="4" t="str">
        <f t="shared" si="83"/>
        <v/>
      </c>
      <c r="AL399" s="4" t="str">
        <f t="shared" si="84"/>
        <v/>
      </c>
      <c r="AM399" s="4" t="str">
        <f t="shared" si="88"/>
        <v/>
      </c>
      <c r="AN399" s="4" t="str">
        <f t="shared" si="88"/>
        <v/>
      </c>
      <c r="AO399" s="4" t="str">
        <f t="shared" si="88"/>
        <v/>
      </c>
      <c r="AP399" s="4" t="str">
        <f t="shared" si="88"/>
        <v/>
      </c>
      <c r="AQ399" s="4" t="str">
        <f t="shared" si="88"/>
        <v/>
      </c>
      <c r="AR399" s="4" t="str">
        <f t="shared" si="88"/>
        <v/>
      </c>
      <c r="AS399" s="5">
        <f t="shared" si="88"/>
        <v>1</v>
      </c>
      <c r="AT399" s="3" t="str">
        <f t="shared" si="85"/>
        <v/>
      </c>
      <c r="AU399" s="4" t="str">
        <f t="shared" si="85"/>
        <v/>
      </c>
      <c r="AV399" s="4" t="str">
        <f t="shared" si="85"/>
        <v/>
      </c>
      <c r="AW399" s="4" t="str">
        <f t="shared" si="85"/>
        <v/>
      </c>
      <c r="AX399" s="4" t="str">
        <f t="shared" si="85"/>
        <v/>
      </c>
      <c r="AY399" s="4" t="str">
        <f t="shared" si="85"/>
        <v/>
      </c>
      <c r="AZ399" s="4" t="str">
        <f t="shared" si="85"/>
        <v/>
      </c>
      <c r="BA399" s="4" t="str">
        <f t="shared" si="85"/>
        <v/>
      </c>
      <c r="BB399" s="4" t="str">
        <f t="shared" si="86"/>
        <v/>
      </c>
      <c r="BC399" s="4" t="str">
        <f t="shared" si="89"/>
        <v/>
      </c>
      <c r="BD399" s="4" t="str">
        <f t="shared" si="89"/>
        <v/>
      </c>
      <c r="BE399" s="4" t="str">
        <f t="shared" si="89"/>
        <v/>
      </c>
      <c r="BF399" s="4" t="str">
        <f t="shared" si="89"/>
        <v/>
      </c>
      <c r="BG399" s="4" t="str">
        <f t="shared" si="89"/>
        <v/>
      </c>
      <c r="BH399" s="4" t="str">
        <f t="shared" si="89"/>
        <v/>
      </c>
      <c r="BI399" s="5" t="str">
        <f t="shared" si="89"/>
        <v/>
      </c>
    </row>
    <row r="400" spans="1:61" x14ac:dyDescent="0.25">
      <c r="A400">
        <v>466622</v>
      </c>
      <c r="B400" t="s">
        <v>15</v>
      </c>
      <c r="C400" t="s">
        <v>16</v>
      </c>
      <c r="D400">
        <v>63653</v>
      </c>
      <c r="E400">
        <v>1171</v>
      </c>
      <c r="F400">
        <v>6</v>
      </c>
      <c r="G400">
        <v>20121</v>
      </c>
      <c r="H400" t="s">
        <v>18</v>
      </c>
      <c r="I400">
        <v>2797533.193</v>
      </c>
      <c r="J400">
        <v>92102</v>
      </c>
      <c r="K400">
        <v>18371887.329999998</v>
      </c>
      <c r="L400">
        <v>18300301.559999999</v>
      </c>
      <c r="M400">
        <v>71585.77</v>
      </c>
      <c r="N400" s="3" t="str">
        <f t="shared" si="81"/>
        <v/>
      </c>
      <c r="O400" s="4" t="str">
        <f t="shared" si="81"/>
        <v/>
      </c>
      <c r="P400" s="4" t="str">
        <f t="shared" si="81"/>
        <v/>
      </c>
      <c r="Q400" s="4" t="str">
        <f t="shared" si="81"/>
        <v/>
      </c>
      <c r="R400" s="4" t="str">
        <f t="shared" si="81"/>
        <v/>
      </c>
      <c r="S400" s="4" t="str">
        <f t="shared" si="81"/>
        <v/>
      </c>
      <c r="T400" s="4" t="str">
        <f t="shared" si="81"/>
        <v/>
      </c>
      <c r="U400" s="4" t="str">
        <f t="shared" si="81"/>
        <v/>
      </c>
      <c r="V400" s="4" t="str">
        <f t="shared" si="82"/>
        <v/>
      </c>
      <c r="W400" s="4" t="str">
        <f t="shared" si="87"/>
        <v/>
      </c>
      <c r="X400" s="4" t="str">
        <f t="shared" si="87"/>
        <v/>
      </c>
      <c r="Y400" s="4" t="str">
        <f t="shared" si="87"/>
        <v/>
      </c>
      <c r="Z400" s="4" t="str">
        <f t="shared" si="87"/>
        <v/>
      </c>
      <c r="AA400" s="4" t="str">
        <f t="shared" si="87"/>
        <v/>
      </c>
      <c r="AB400" s="4" t="str">
        <f t="shared" si="87"/>
        <v/>
      </c>
      <c r="AC400" s="5" t="str">
        <f t="shared" si="87"/>
        <v/>
      </c>
      <c r="AD400" s="3" t="str">
        <f t="shared" si="83"/>
        <v/>
      </c>
      <c r="AE400" s="4" t="str">
        <f t="shared" si="83"/>
        <v/>
      </c>
      <c r="AF400" s="4" t="str">
        <f t="shared" si="83"/>
        <v/>
      </c>
      <c r="AG400" s="4" t="str">
        <f t="shared" si="83"/>
        <v/>
      </c>
      <c r="AH400" s="4" t="str">
        <f t="shared" si="83"/>
        <v/>
      </c>
      <c r="AI400" s="4" t="str">
        <f t="shared" si="83"/>
        <v/>
      </c>
      <c r="AJ400" s="4" t="str">
        <f t="shared" si="83"/>
        <v/>
      </c>
      <c r="AK400" s="4" t="str">
        <f t="shared" si="83"/>
        <v/>
      </c>
      <c r="AL400" s="4" t="str">
        <f t="shared" si="84"/>
        <v/>
      </c>
      <c r="AM400" s="4" t="str">
        <f t="shared" si="88"/>
        <v/>
      </c>
      <c r="AN400" s="4" t="str">
        <f t="shared" si="88"/>
        <v/>
      </c>
      <c r="AO400" s="4" t="str">
        <f t="shared" si="88"/>
        <v/>
      </c>
      <c r="AP400" s="4">
        <f t="shared" si="88"/>
        <v>1</v>
      </c>
      <c r="AQ400" s="4" t="str">
        <f t="shared" si="88"/>
        <v/>
      </c>
      <c r="AR400" s="4" t="str">
        <f t="shared" si="88"/>
        <v/>
      </c>
      <c r="AS400" s="5" t="str">
        <f t="shared" si="88"/>
        <v/>
      </c>
      <c r="AT400" s="3" t="str">
        <f t="shared" si="85"/>
        <v/>
      </c>
      <c r="AU400" s="4" t="str">
        <f t="shared" si="85"/>
        <v/>
      </c>
      <c r="AV400" s="4" t="str">
        <f t="shared" si="85"/>
        <v/>
      </c>
      <c r="AW400" s="4" t="str">
        <f t="shared" si="85"/>
        <v/>
      </c>
      <c r="AX400" s="4" t="str">
        <f t="shared" si="85"/>
        <v/>
      </c>
      <c r="AY400" s="4" t="str">
        <f t="shared" si="85"/>
        <v/>
      </c>
      <c r="AZ400" s="4" t="str">
        <f t="shared" si="85"/>
        <v/>
      </c>
      <c r="BA400" s="4" t="str">
        <f t="shared" si="85"/>
        <v/>
      </c>
      <c r="BB400" s="4" t="str">
        <f t="shared" si="86"/>
        <v/>
      </c>
      <c r="BC400" s="4" t="str">
        <f t="shared" si="89"/>
        <v/>
      </c>
      <c r="BD400" s="4" t="str">
        <f t="shared" si="89"/>
        <v/>
      </c>
      <c r="BE400" s="4" t="str">
        <f t="shared" si="89"/>
        <v/>
      </c>
      <c r="BF400" s="4" t="str">
        <f t="shared" si="89"/>
        <v/>
      </c>
      <c r="BG400" s="4" t="str">
        <f t="shared" si="89"/>
        <v/>
      </c>
      <c r="BH400" s="4" t="str">
        <f t="shared" si="89"/>
        <v/>
      </c>
      <c r="BI400" s="5" t="str">
        <f t="shared" si="89"/>
        <v/>
      </c>
    </row>
    <row r="401" spans="1:61" x14ac:dyDescent="0.25">
      <c r="A401">
        <v>466623</v>
      </c>
      <c r="B401" t="s">
        <v>15</v>
      </c>
      <c r="C401" t="s">
        <v>16</v>
      </c>
      <c r="D401">
        <v>63653</v>
      </c>
      <c r="E401">
        <v>1171</v>
      </c>
      <c r="F401">
        <v>6</v>
      </c>
      <c r="G401">
        <v>20122</v>
      </c>
      <c r="H401" t="s">
        <v>18</v>
      </c>
      <c r="I401">
        <v>2297331.0010000002</v>
      </c>
      <c r="J401">
        <v>76887</v>
      </c>
      <c r="K401">
        <v>15447106.33</v>
      </c>
      <c r="L401">
        <v>15049659.609999999</v>
      </c>
      <c r="M401">
        <v>397446.72</v>
      </c>
      <c r="N401" s="3" t="str">
        <f t="shared" si="81"/>
        <v/>
      </c>
      <c r="O401" s="4" t="str">
        <f t="shared" si="81"/>
        <v/>
      </c>
      <c r="P401" s="4" t="str">
        <f t="shared" si="81"/>
        <v/>
      </c>
      <c r="Q401" s="4" t="str">
        <f t="shared" si="81"/>
        <v/>
      </c>
      <c r="R401" s="4" t="str">
        <f t="shared" si="81"/>
        <v/>
      </c>
      <c r="S401" s="4" t="str">
        <f t="shared" si="81"/>
        <v/>
      </c>
      <c r="T401" s="4" t="str">
        <f t="shared" si="81"/>
        <v/>
      </c>
      <c r="U401" s="4" t="str">
        <f t="shared" si="81"/>
        <v/>
      </c>
      <c r="V401" s="4" t="str">
        <f t="shared" si="82"/>
        <v/>
      </c>
      <c r="W401" s="4" t="str">
        <f t="shared" si="87"/>
        <v/>
      </c>
      <c r="X401" s="4" t="str">
        <f t="shared" si="87"/>
        <v/>
      </c>
      <c r="Y401" s="4" t="str">
        <f t="shared" si="87"/>
        <v/>
      </c>
      <c r="Z401" s="4" t="str">
        <f t="shared" si="87"/>
        <v/>
      </c>
      <c r="AA401" s="4" t="str">
        <f t="shared" si="87"/>
        <v/>
      </c>
      <c r="AB401" s="4" t="str">
        <f t="shared" si="87"/>
        <v/>
      </c>
      <c r="AC401" s="5" t="str">
        <f t="shared" si="87"/>
        <v/>
      </c>
      <c r="AD401" s="3" t="str">
        <f t="shared" si="83"/>
        <v/>
      </c>
      <c r="AE401" s="4" t="str">
        <f t="shared" si="83"/>
        <v/>
      </c>
      <c r="AF401" s="4" t="str">
        <f t="shared" si="83"/>
        <v/>
      </c>
      <c r="AG401" s="4" t="str">
        <f t="shared" si="83"/>
        <v/>
      </c>
      <c r="AH401" s="4" t="str">
        <f t="shared" si="83"/>
        <v/>
      </c>
      <c r="AI401" s="4" t="str">
        <f t="shared" si="83"/>
        <v/>
      </c>
      <c r="AJ401" s="4" t="str">
        <f t="shared" si="83"/>
        <v/>
      </c>
      <c r="AK401" s="4" t="str">
        <f t="shared" si="83"/>
        <v/>
      </c>
      <c r="AL401" s="4" t="str">
        <f t="shared" si="84"/>
        <v/>
      </c>
      <c r="AM401" s="4" t="str">
        <f t="shared" si="88"/>
        <v/>
      </c>
      <c r="AN401" s="4" t="str">
        <f t="shared" si="88"/>
        <v/>
      </c>
      <c r="AO401" s="4" t="str">
        <f t="shared" si="88"/>
        <v/>
      </c>
      <c r="AP401" s="4" t="str">
        <f t="shared" si="88"/>
        <v/>
      </c>
      <c r="AQ401" s="4">
        <f t="shared" si="88"/>
        <v>1</v>
      </c>
      <c r="AR401" s="4" t="str">
        <f t="shared" si="88"/>
        <v/>
      </c>
      <c r="AS401" s="5" t="str">
        <f t="shared" si="88"/>
        <v/>
      </c>
      <c r="AT401" s="3" t="str">
        <f t="shared" si="85"/>
        <v/>
      </c>
      <c r="AU401" s="4" t="str">
        <f t="shared" si="85"/>
        <v/>
      </c>
      <c r="AV401" s="4" t="str">
        <f t="shared" si="85"/>
        <v/>
      </c>
      <c r="AW401" s="4" t="str">
        <f t="shared" si="85"/>
        <v/>
      </c>
      <c r="AX401" s="4" t="str">
        <f t="shared" si="85"/>
        <v/>
      </c>
      <c r="AY401" s="4" t="str">
        <f t="shared" si="85"/>
        <v/>
      </c>
      <c r="AZ401" s="4" t="str">
        <f t="shared" si="85"/>
        <v/>
      </c>
      <c r="BA401" s="4" t="str">
        <f t="shared" si="85"/>
        <v/>
      </c>
      <c r="BB401" s="4" t="str">
        <f t="shared" si="86"/>
        <v/>
      </c>
      <c r="BC401" s="4" t="str">
        <f t="shared" si="89"/>
        <v/>
      </c>
      <c r="BD401" s="4" t="str">
        <f t="shared" si="89"/>
        <v/>
      </c>
      <c r="BE401" s="4" t="str">
        <f t="shared" si="89"/>
        <v/>
      </c>
      <c r="BF401" s="4" t="str">
        <f t="shared" si="89"/>
        <v/>
      </c>
      <c r="BG401" s="4" t="str">
        <f t="shared" si="89"/>
        <v/>
      </c>
      <c r="BH401" s="4" t="str">
        <f t="shared" si="89"/>
        <v/>
      </c>
      <c r="BI401" s="5" t="str">
        <f t="shared" si="89"/>
        <v/>
      </c>
    </row>
    <row r="402" spans="1:61" x14ac:dyDescent="0.25">
      <c r="A402">
        <v>466624</v>
      </c>
      <c r="B402" t="s">
        <v>15</v>
      </c>
      <c r="C402" t="s">
        <v>16</v>
      </c>
      <c r="D402">
        <v>63653</v>
      </c>
      <c r="E402">
        <v>1171</v>
      </c>
      <c r="F402">
        <v>6</v>
      </c>
      <c r="G402">
        <v>20123</v>
      </c>
      <c r="H402" t="s">
        <v>18</v>
      </c>
      <c r="I402">
        <v>397634.37300000002</v>
      </c>
      <c r="J402">
        <v>13331</v>
      </c>
      <c r="K402">
        <v>2540271.08</v>
      </c>
      <c r="L402">
        <v>2533296.61</v>
      </c>
      <c r="M402">
        <v>6974.47</v>
      </c>
      <c r="N402" s="3" t="str">
        <f t="shared" si="81"/>
        <v/>
      </c>
      <c r="O402" s="4" t="str">
        <f t="shared" si="81"/>
        <v/>
      </c>
      <c r="P402" s="4" t="str">
        <f t="shared" si="81"/>
        <v/>
      </c>
      <c r="Q402" s="4" t="str">
        <f t="shared" si="81"/>
        <v/>
      </c>
      <c r="R402" s="4" t="str">
        <f t="shared" ref="N402:U434" si="90">IF(AND($B402=R$3, $G402=R$2, $H402=R$1), 1, "")</f>
        <v/>
      </c>
      <c r="S402" s="4" t="str">
        <f t="shared" si="90"/>
        <v/>
      </c>
      <c r="T402" s="4" t="str">
        <f t="shared" si="90"/>
        <v/>
      </c>
      <c r="U402" s="4" t="str">
        <f t="shared" si="90"/>
        <v/>
      </c>
      <c r="V402" s="4" t="str">
        <f t="shared" si="82"/>
        <v/>
      </c>
      <c r="W402" s="4" t="str">
        <f t="shared" si="87"/>
        <v/>
      </c>
      <c r="X402" s="4" t="str">
        <f t="shared" si="87"/>
        <v/>
      </c>
      <c r="Y402" s="4" t="str">
        <f t="shared" si="87"/>
        <v/>
      </c>
      <c r="Z402" s="4" t="str">
        <f t="shared" si="87"/>
        <v/>
      </c>
      <c r="AA402" s="4" t="str">
        <f t="shared" si="87"/>
        <v/>
      </c>
      <c r="AB402" s="4" t="str">
        <f t="shared" si="87"/>
        <v/>
      </c>
      <c r="AC402" s="5" t="str">
        <f t="shared" si="87"/>
        <v/>
      </c>
      <c r="AD402" s="3" t="str">
        <f t="shared" si="83"/>
        <v/>
      </c>
      <c r="AE402" s="4" t="str">
        <f t="shared" si="83"/>
        <v/>
      </c>
      <c r="AF402" s="4" t="str">
        <f t="shared" si="83"/>
        <v/>
      </c>
      <c r="AG402" s="4" t="str">
        <f t="shared" si="83"/>
        <v/>
      </c>
      <c r="AH402" s="4" t="str">
        <f t="shared" ref="AD402:AK434" si="91">IF(AND($B402=AH$3, $G402=AH$2, $H402=AH$1), 1, "")</f>
        <v/>
      </c>
      <c r="AI402" s="4" t="str">
        <f t="shared" si="91"/>
        <v/>
      </c>
      <c r="AJ402" s="4" t="str">
        <f t="shared" si="91"/>
        <v/>
      </c>
      <c r="AK402" s="4" t="str">
        <f t="shared" si="91"/>
        <v/>
      </c>
      <c r="AL402" s="4" t="str">
        <f t="shared" si="84"/>
        <v/>
      </c>
      <c r="AM402" s="4" t="str">
        <f t="shared" si="88"/>
        <v/>
      </c>
      <c r="AN402" s="4" t="str">
        <f t="shared" si="88"/>
        <v/>
      </c>
      <c r="AO402" s="4" t="str">
        <f t="shared" si="88"/>
        <v/>
      </c>
      <c r="AP402" s="4" t="str">
        <f t="shared" si="88"/>
        <v/>
      </c>
      <c r="AQ402" s="4" t="str">
        <f t="shared" si="88"/>
        <v/>
      </c>
      <c r="AR402" s="4">
        <f t="shared" si="88"/>
        <v>1</v>
      </c>
      <c r="AS402" s="5" t="str">
        <f t="shared" si="88"/>
        <v/>
      </c>
      <c r="AT402" s="3" t="str">
        <f t="shared" si="85"/>
        <v/>
      </c>
      <c r="AU402" s="4" t="str">
        <f t="shared" si="85"/>
        <v/>
      </c>
      <c r="AV402" s="4" t="str">
        <f t="shared" si="85"/>
        <v/>
      </c>
      <c r="AW402" s="4" t="str">
        <f t="shared" si="85"/>
        <v/>
      </c>
      <c r="AX402" s="4" t="str">
        <f t="shared" ref="AT402:BA434" si="92">IF(AND($B402=AX$3, $G402=AX$2, $H402=AX$1), 1, "")</f>
        <v/>
      </c>
      <c r="AY402" s="4" t="str">
        <f t="shared" si="92"/>
        <v/>
      </c>
      <c r="AZ402" s="4" t="str">
        <f t="shared" si="92"/>
        <v/>
      </c>
      <c r="BA402" s="4" t="str">
        <f t="shared" si="92"/>
        <v/>
      </c>
      <c r="BB402" s="4" t="str">
        <f t="shared" si="86"/>
        <v/>
      </c>
      <c r="BC402" s="4" t="str">
        <f t="shared" si="89"/>
        <v/>
      </c>
      <c r="BD402" s="4" t="str">
        <f t="shared" si="89"/>
        <v/>
      </c>
      <c r="BE402" s="4" t="str">
        <f t="shared" si="89"/>
        <v/>
      </c>
      <c r="BF402" s="4" t="str">
        <f t="shared" si="89"/>
        <v/>
      </c>
      <c r="BG402" s="4" t="str">
        <f t="shared" si="89"/>
        <v/>
      </c>
      <c r="BH402" s="4" t="str">
        <f t="shared" si="89"/>
        <v/>
      </c>
      <c r="BI402" s="5" t="str">
        <f t="shared" si="89"/>
        <v/>
      </c>
    </row>
    <row r="403" spans="1:61" x14ac:dyDescent="0.25">
      <c r="A403">
        <v>466625</v>
      </c>
      <c r="B403" t="s">
        <v>15</v>
      </c>
      <c r="C403" t="s">
        <v>16</v>
      </c>
      <c r="D403">
        <v>63653</v>
      </c>
      <c r="E403">
        <v>1171</v>
      </c>
      <c r="F403">
        <v>6</v>
      </c>
      <c r="G403">
        <v>20124</v>
      </c>
      <c r="H403" t="s">
        <v>18</v>
      </c>
      <c r="I403">
        <v>187840.02600000001</v>
      </c>
      <c r="J403">
        <v>6256</v>
      </c>
      <c r="K403">
        <v>1167827.82</v>
      </c>
      <c r="L403">
        <v>1165686.31</v>
      </c>
      <c r="M403">
        <v>2141.5100000000002</v>
      </c>
      <c r="N403" s="3" t="str">
        <f t="shared" si="90"/>
        <v/>
      </c>
      <c r="O403" s="4" t="str">
        <f t="shared" si="90"/>
        <v/>
      </c>
      <c r="P403" s="4" t="str">
        <f t="shared" si="90"/>
        <v/>
      </c>
      <c r="Q403" s="4" t="str">
        <f t="shared" si="90"/>
        <v/>
      </c>
      <c r="R403" s="4" t="str">
        <f t="shared" si="90"/>
        <v/>
      </c>
      <c r="S403" s="4" t="str">
        <f t="shared" si="90"/>
        <v/>
      </c>
      <c r="T403" s="4" t="str">
        <f t="shared" si="90"/>
        <v/>
      </c>
      <c r="U403" s="4" t="str">
        <f t="shared" si="90"/>
        <v/>
      </c>
      <c r="V403" s="4" t="str">
        <f t="shared" si="82"/>
        <v/>
      </c>
      <c r="W403" s="4" t="str">
        <f t="shared" si="87"/>
        <v/>
      </c>
      <c r="X403" s="4" t="str">
        <f t="shared" si="87"/>
        <v/>
      </c>
      <c r="Y403" s="4" t="str">
        <f t="shared" si="87"/>
        <v/>
      </c>
      <c r="Z403" s="4" t="str">
        <f t="shared" si="87"/>
        <v/>
      </c>
      <c r="AA403" s="4" t="str">
        <f t="shared" si="87"/>
        <v/>
      </c>
      <c r="AB403" s="4" t="str">
        <f t="shared" si="87"/>
        <v/>
      </c>
      <c r="AC403" s="5" t="str">
        <f t="shared" si="87"/>
        <v/>
      </c>
      <c r="AD403" s="3" t="str">
        <f t="shared" si="91"/>
        <v/>
      </c>
      <c r="AE403" s="4" t="str">
        <f t="shared" si="91"/>
        <v/>
      </c>
      <c r="AF403" s="4" t="str">
        <f t="shared" si="91"/>
        <v/>
      </c>
      <c r="AG403" s="4" t="str">
        <f t="shared" si="91"/>
        <v/>
      </c>
      <c r="AH403" s="4" t="str">
        <f t="shared" si="91"/>
        <v/>
      </c>
      <c r="AI403" s="4" t="str">
        <f t="shared" si="91"/>
        <v/>
      </c>
      <c r="AJ403" s="4" t="str">
        <f t="shared" si="91"/>
        <v/>
      </c>
      <c r="AK403" s="4" t="str">
        <f t="shared" si="91"/>
        <v/>
      </c>
      <c r="AL403" s="4" t="str">
        <f t="shared" si="84"/>
        <v/>
      </c>
      <c r="AM403" s="4" t="str">
        <f t="shared" si="88"/>
        <v/>
      </c>
      <c r="AN403" s="4" t="str">
        <f t="shared" si="88"/>
        <v/>
      </c>
      <c r="AO403" s="4" t="str">
        <f t="shared" si="88"/>
        <v/>
      </c>
      <c r="AP403" s="4" t="str">
        <f t="shared" si="88"/>
        <v/>
      </c>
      <c r="AQ403" s="4" t="str">
        <f t="shared" si="88"/>
        <v/>
      </c>
      <c r="AR403" s="4" t="str">
        <f t="shared" si="88"/>
        <v/>
      </c>
      <c r="AS403" s="5">
        <f t="shared" si="88"/>
        <v>1</v>
      </c>
      <c r="AT403" s="3" t="str">
        <f t="shared" si="92"/>
        <v/>
      </c>
      <c r="AU403" s="4" t="str">
        <f t="shared" si="92"/>
        <v/>
      </c>
      <c r="AV403" s="4" t="str">
        <f t="shared" si="92"/>
        <v/>
      </c>
      <c r="AW403" s="4" t="str">
        <f t="shared" si="92"/>
        <v/>
      </c>
      <c r="AX403" s="4" t="str">
        <f t="shared" si="92"/>
        <v/>
      </c>
      <c r="AY403" s="4" t="str">
        <f t="shared" si="92"/>
        <v/>
      </c>
      <c r="AZ403" s="4" t="str">
        <f t="shared" si="92"/>
        <v/>
      </c>
      <c r="BA403" s="4" t="str">
        <f t="shared" si="92"/>
        <v/>
      </c>
      <c r="BB403" s="4" t="str">
        <f t="shared" si="86"/>
        <v/>
      </c>
      <c r="BC403" s="4" t="str">
        <f t="shared" si="89"/>
        <v/>
      </c>
      <c r="BD403" s="4" t="str">
        <f t="shared" si="89"/>
        <v/>
      </c>
      <c r="BE403" s="4" t="str">
        <f t="shared" si="89"/>
        <v/>
      </c>
      <c r="BF403" s="4" t="str">
        <f t="shared" si="89"/>
        <v/>
      </c>
      <c r="BG403" s="4" t="str">
        <f t="shared" si="89"/>
        <v/>
      </c>
      <c r="BH403" s="4" t="str">
        <f t="shared" si="89"/>
        <v/>
      </c>
      <c r="BI403" s="5" t="str">
        <f t="shared" si="89"/>
        <v/>
      </c>
    </row>
    <row r="404" spans="1:61" x14ac:dyDescent="0.25">
      <c r="A404">
        <v>591733</v>
      </c>
      <c r="B404" t="s">
        <v>14</v>
      </c>
      <c r="C404" t="s">
        <v>16</v>
      </c>
      <c r="D404">
        <v>63653</v>
      </c>
      <c r="E404">
        <v>1171</v>
      </c>
      <c r="F404">
        <v>1</v>
      </c>
      <c r="G404">
        <v>20131</v>
      </c>
      <c r="H404" t="s">
        <v>18</v>
      </c>
      <c r="I404">
        <v>49835.667000000001</v>
      </c>
      <c r="J404">
        <v>1685</v>
      </c>
      <c r="K404">
        <v>319748.09999999998</v>
      </c>
      <c r="L404">
        <v>316893.31</v>
      </c>
      <c r="M404">
        <v>2854.79</v>
      </c>
      <c r="N404" s="3" t="str">
        <f t="shared" si="90"/>
        <v/>
      </c>
      <c r="O404" s="4" t="str">
        <f t="shared" si="90"/>
        <v/>
      </c>
      <c r="P404" s="4" t="str">
        <f t="shared" si="90"/>
        <v/>
      </c>
      <c r="Q404" s="4" t="str">
        <f t="shared" si="90"/>
        <v/>
      </c>
      <c r="R404" s="4" t="str">
        <f t="shared" si="90"/>
        <v/>
      </c>
      <c r="S404" s="4" t="str">
        <f t="shared" si="90"/>
        <v/>
      </c>
      <c r="T404" s="4" t="str">
        <f t="shared" si="90"/>
        <v/>
      </c>
      <c r="U404" s="4" t="str">
        <f t="shared" si="90"/>
        <v/>
      </c>
      <c r="V404" s="4" t="str">
        <f t="shared" si="82"/>
        <v/>
      </c>
      <c r="W404" s="4" t="str">
        <f t="shared" si="87"/>
        <v/>
      </c>
      <c r="X404" s="4" t="str">
        <f t="shared" si="87"/>
        <v/>
      </c>
      <c r="Y404" s="4" t="str">
        <f t="shared" si="87"/>
        <v/>
      </c>
      <c r="Z404" s="4" t="str">
        <f t="shared" si="87"/>
        <v/>
      </c>
      <c r="AA404" s="4" t="str">
        <f t="shared" si="87"/>
        <v/>
      </c>
      <c r="AB404" s="4" t="str">
        <f t="shared" si="87"/>
        <v/>
      </c>
      <c r="AC404" s="5" t="str">
        <f t="shared" si="87"/>
        <v/>
      </c>
      <c r="AD404" s="3" t="str">
        <f t="shared" si="91"/>
        <v/>
      </c>
      <c r="AE404" s="4" t="str">
        <f t="shared" si="91"/>
        <v/>
      </c>
      <c r="AF404" s="4" t="str">
        <f t="shared" si="91"/>
        <v/>
      </c>
      <c r="AG404" s="4" t="str">
        <f t="shared" si="91"/>
        <v/>
      </c>
      <c r="AH404" s="4" t="str">
        <f t="shared" si="91"/>
        <v/>
      </c>
      <c r="AI404" s="4" t="str">
        <f t="shared" si="91"/>
        <v/>
      </c>
      <c r="AJ404" s="4" t="str">
        <f t="shared" si="91"/>
        <v/>
      </c>
      <c r="AK404" s="4" t="str">
        <f t="shared" si="91"/>
        <v/>
      </c>
      <c r="AL404" s="4" t="str">
        <f t="shared" si="84"/>
        <v/>
      </c>
      <c r="AM404" s="4" t="str">
        <f t="shared" si="88"/>
        <v/>
      </c>
      <c r="AN404" s="4" t="str">
        <f t="shared" si="88"/>
        <v/>
      </c>
      <c r="AO404" s="4" t="str">
        <f t="shared" si="88"/>
        <v/>
      </c>
      <c r="AP404" s="4" t="str">
        <f t="shared" si="88"/>
        <v/>
      </c>
      <c r="AQ404" s="4" t="str">
        <f t="shared" si="88"/>
        <v/>
      </c>
      <c r="AR404" s="4" t="str">
        <f t="shared" si="88"/>
        <v/>
      </c>
      <c r="AS404" s="5" t="str">
        <f t="shared" si="88"/>
        <v/>
      </c>
      <c r="AT404" s="3" t="str">
        <f t="shared" si="92"/>
        <v/>
      </c>
      <c r="AU404" s="4" t="str">
        <f t="shared" si="92"/>
        <v/>
      </c>
      <c r="AV404" s="4" t="str">
        <f t="shared" si="92"/>
        <v/>
      </c>
      <c r="AW404" s="4" t="str">
        <f t="shared" si="92"/>
        <v/>
      </c>
      <c r="AX404" s="4" t="str">
        <f t="shared" si="92"/>
        <v/>
      </c>
      <c r="AY404" s="4" t="str">
        <f t="shared" si="92"/>
        <v/>
      </c>
      <c r="AZ404" s="4" t="str">
        <f t="shared" si="92"/>
        <v/>
      </c>
      <c r="BA404" s="4" t="str">
        <f t="shared" si="92"/>
        <v/>
      </c>
      <c r="BB404" s="4">
        <f t="shared" si="86"/>
        <v>1</v>
      </c>
      <c r="BC404" s="4" t="str">
        <f t="shared" si="89"/>
        <v/>
      </c>
      <c r="BD404" s="4" t="str">
        <f t="shared" si="89"/>
        <v/>
      </c>
      <c r="BE404" s="4" t="str">
        <f t="shared" si="89"/>
        <v/>
      </c>
      <c r="BF404" s="4" t="str">
        <f t="shared" si="89"/>
        <v/>
      </c>
      <c r="BG404" s="4" t="str">
        <f t="shared" si="89"/>
        <v/>
      </c>
      <c r="BH404" s="4" t="str">
        <f t="shared" si="89"/>
        <v/>
      </c>
      <c r="BI404" s="5" t="str">
        <f t="shared" si="89"/>
        <v/>
      </c>
    </row>
    <row r="405" spans="1:61" x14ac:dyDescent="0.25">
      <c r="A405">
        <v>591734</v>
      </c>
      <c r="B405" t="s">
        <v>14</v>
      </c>
      <c r="C405" t="s">
        <v>16</v>
      </c>
      <c r="D405">
        <v>63653</v>
      </c>
      <c r="E405">
        <v>1171</v>
      </c>
      <c r="F405">
        <v>1</v>
      </c>
      <c r="G405">
        <v>20132</v>
      </c>
      <c r="H405" t="s">
        <v>18</v>
      </c>
      <c r="I405">
        <v>86146.667000000001</v>
      </c>
      <c r="J405">
        <v>2865</v>
      </c>
      <c r="K405">
        <v>555029.18999999994</v>
      </c>
      <c r="L405">
        <v>551653.18999999994</v>
      </c>
      <c r="M405">
        <v>3376</v>
      </c>
      <c r="N405" s="3" t="str">
        <f t="shared" si="90"/>
        <v/>
      </c>
      <c r="O405" s="4" t="str">
        <f t="shared" si="90"/>
        <v/>
      </c>
      <c r="P405" s="4" t="str">
        <f t="shared" si="90"/>
        <v/>
      </c>
      <c r="Q405" s="4" t="str">
        <f t="shared" si="90"/>
        <v/>
      </c>
      <c r="R405" s="4" t="str">
        <f t="shared" si="90"/>
        <v/>
      </c>
      <c r="S405" s="4" t="str">
        <f t="shared" si="90"/>
        <v/>
      </c>
      <c r="T405" s="4" t="str">
        <f t="shared" si="90"/>
        <v/>
      </c>
      <c r="U405" s="4" t="str">
        <f t="shared" si="90"/>
        <v/>
      </c>
      <c r="V405" s="4" t="str">
        <f t="shared" si="82"/>
        <v/>
      </c>
      <c r="W405" s="4" t="str">
        <f t="shared" si="87"/>
        <v/>
      </c>
      <c r="X405" s="4" t="str">
        <f t="shared" si="87"/>
        <v/>
      </c>
      <c r="Y405" s="4" t="str">
        <f t="shared" si="87"/>
        <v/>
      </c>
      <c r="Z405" s="4" t="str">
        <f t="shared" si="87"/>
        <v/>
      </c>
      <c r="AA405" s="4" t="str">
        <f t="shared" si="87"/>
        <v/>
      </c>
      <c r="AB405" s="4" t="str">
        <f t="shared" si="87"/>
        <v/>
      </c>
      <c r="AC405" s="5" t="str">
        <f t="shared" si="87"/>
        <v/>
      </c>
      <c r="AD405" s="3" t="str">
        <f t="shared" si="91"/>
        <v/>
      </c>
      <c r="AE405" s="4" t="str">
        <f t="shared" si="91"/>
        <v/>
      </c>
      <c r="AF405" s="4" t="str">
        <f t="shared" si="91"/>
        <v/>
      </c>
      <c r="AG405" s="4" t="str">
        <f t="shared" si="91"/>
        <v/>
      </c>
      <c r="AH405" s="4" t="str">
        <f t="shared" si="91"/>
        <v/>
      </c>
      <c r="AI405" s="4" t="str">
        <f t="shared" si="91"/>
        <v/>
      </c>
      <c r="AJ405" s="4" t="str">
        <f t="shared" si="91"/>
        <v/>
      </c>
      <c r="AK405" s="4" t="str">
        <f t="shared" si="91"/>
        <v/>
      </c>
      <c r="AL405" s="4" t="str">
        <f t="shared" si="84"/>
        <v/>
      </c>
      <c r="AM405" s="4" t="str">
        <f t="shared" si="88"/>
        <v/>
      </c>
      <c r="AN405" s="4" t="str">
        <f t="shared" si="88"/>
        <v/>
      </c>
      <c r="AO405" s="4" t="str">
        <f t="shared" si="88"/>
        <v/>
      </c>
      <c r="AP405" s="4" t="str">
        <f t="shared" si="88"/>
        <v/>
      </c>
      <c r="AQ405" s="4" t="str">
        <f t="shared" si="88"/>
        <v/>
      </c>
      <c r="AR405" s="4" t="str">
        <f t="shared" si="88"/>
        <v/>
      </c>
      <c r="AS405" s="5" t="str">
        <f t="shared" si="88"/>
        <v/>
      </c>
      <c r="AT405" s="3" t="str">
        <f t="shared" si="92"/>
        <v/>
      </c>
      <c r="AU405" s="4" t="str">
        <f t="shared" si="92"/>
        <v/>
      </c>
      <c r="AV405" s="4" t="str">
        <f t="shared" si="92"/>
        <v/>
      </c>
      <c r="AW405" s="4" t="str">
        <f t="shared" si="92"/>
        <v/>
      </c>
      <c r="AX405" s="4" t="str">
        <f t="shared" si="92"/>
        <v/>
      </c>
      <c r="AY405" s="4" t="str">
        <f t="shared" si="92"/>
        <v/>
      </c>
      <c r="AZ405" s="4" t="str">
        <f t="shared" si="92"/>
        <v/>
      </c>
      <c r="BA405" s="4" t="str">
        <f t="shared" si="92"/>
        <v/>
      </c>
      <c r="BB405" s="4" t="str">
        <f t="shared" si="86"/>
        <v/>
      </c>
      <c r="BC405" s="4">
        <f t="shared" si="89"/>
        <v>1</v>
      </c>
      <c r="BD405" s="4" t="str">
        <f t="shared" si="89"/>
        <v/>
      </c>
      <c r="BE405" s="4" t="str">
        <f t="shared" si="89"/>
        <v/>
      </c>
      <c r="BF405" s="4" t="str">
        <f t="shared" si="89"/>
        <v/>
      </c>
      <c r="BG405" s="4" t="str">
        <f t="shared" si="89"/>
        <v/>
      </c>
      <c r="BH405" s="4" t="str">
        <f t="shared" si="89"/>
        <v/>
      </c>
      <c r="BI405" s="5" t="str">
        <f t="shared" si="89"/>
        <v/>
      </c>
    </row>
    <row r="406" spans="1:61" x14ac:dyDescent="0.25">
      <c r="A406">
        <v>591735</v>
      </c>
      <c r="B406" t="s">
        <v>14</v>
      </c>
      <c r="C406" t="s">
        <v>16</v>
      </c>
      <c r="D406">
        <v>63653</v>
      </c>
      <c r="E406">
        <v>1171</v>
      </c>
      <c r="F406">
        <v>1</v>
      </c>
      <c r="G406">
        <v>20133</v>
      </c>
      <c r="H406" t="s">
        <v>18</v>
      </c>
      <c r="I406">
        <v>45801.69</v>
      </c>
      <c r="J406">
        <v>1496</v>
      </c>
      <c r="K406">
        <v>299783.27</v>
      </c>
      <c r="L406">
        <v>294768.24</v>
      </c>
      <c r="M406">
        <v>5015.03</v>
      </c>
      <c r="N406" s="3" t="str">
        <f t="shared" si="90"/>
        <v/>
      </c>
      <c r="O406" s="4" t="str">
        <f t="shared" si="90"/>
        <v/>
      </c>
      <c r="P406" s="4" t="str">
        <f t="shared" si="90"/>
        <v/>
      </c>
      <c r="Q406" s="4" t="str">
        <f t="shared" si="90"/>
        <v/>
      </c>
      <c r="R406" s="4" t="str">
        <f t="shared" si="90"/>
        <v/>
      </c>
      <c r="S406" s="4" t="str">
        <f t="shared" si="90"/>
        <v/>
      </c>
      <c r="T406" s="4" t="str">
        <f t="shared" si="90"/>
        <v/>
      </c>
      <c r="U406" s="4" t="str">
        <f t="shared" si="90"/>
        <v/>
      </c>
      <c r="V406" s="4" t="str">
        <f t="shared" si="82"/>
        <v/>
      </c>
      <c r="W406" s="4" t="str">
        <f t="shared" si="87"/>
        <v/>
      </c>
      <c r="X406" s="4" t="str">
        <f t="shared" si="87"/>
        <v/>
      </c>
      <c r="Y406" s="4" t="str">
        <f t="shared" si="87"/>
        <v/>
      </c>
      <c r="Z406" s="4" t="str">
        <f t="shared" si="87"/>
        <v/>
      </c>
      <c r="AA406" s="4" t="str">
        <f t="shared" si="87"/>
        <v/>
      </c>
      <c r="AB406" s="4" t="str">
        <f t="shared" si="87"/>
        <v/>
      </c>
      <c r="AC406" s="5" t="str">
        <f t="shared" si="87"/>
        <v/>
      </c>
      <c r="AD406" s="3" t="str">
        <f t="shared" si="91"/>
        <v/>
      </c>
      <c r="AE406" s="4" t="str">
        <f t="shared" si="91"/>
        <v/>
      </c>
      <c r="AF406" s="4" t="str">
        <f t="shared" si="91"/>
        <v/>
      </c>
      <c r="AG406" s="4" t="str">
        <f t="shared" si="91"/>
        <v/>
      </c>
      <c r="AH406" s="4" t="str">
        <f t="shared" si="91"/>
        <v/>
      </c>
      <c r="AI406" s="4" t="str">
        <f t="shared" si="91"/>
        <v/>
      </c>
      <c r="AJ406" s="4" t="str">
        <f t="shared" si="91"/>
        <v/>
      </c>
      <c r="AK406" s="4" t="str">
        <f t="shared" si="91"/>
        <v/>
      </c>
      <c r="AL406" s="4" t="str">
        <f t="shared" si="84"/>
        <v/>
      </c>
      <c r="AM406" s="4" t="str">
        <f t="shared" si="88"/>
        <v/>
      </c>
      <c r="AN406" s="4" t="str">
        <f t="shared" si="88"/>
        <v/>
      </c>
      <c r="AO406" s="4" t="str">
        <f t="shared" si="88"/>
        <v/>
      </c>
      <c r="AP406" s="4" t="str">
        <f t="shared" si="88"/>
        <v/>
      </c>
      <c r="AQ406" s="4" t="str">
        <f t="shared" si="88"/>
        <v/>
      </c>
      <c r="AR406" s="4" t="str">
        <f t="shared" si="88"/>
        <v/>
      </c>
      <c r="AS406" s="5" t="str">
        <f t="shared" si="88"/>
        <v/>
      </c>
      <c r="AT406" s="3" t="str">
        <f t="shared" si="92"/>
        <v/>
      </c>
      <c r="AU406" s="4" t="str">
        <f t="shared" si="92"/>
        <v/>
      </c>
      <c r="AV406" s="4" t="str">
        <f t="shared" si="92"/>
        <v/>
      </c>
      <c r="AW406" s="4" t="str">
        <f t="shared" si="92"/>
        <v/>
      </c>
      <c r="AX406" s="4" t="str">
        <f t="shared" si="92"/>
        <v/>
      </c>
      <c r="AY406" s="4" t="str">
        <f t="shared" si="92"/>
        <v/>
      </c>
      <c r="AZ406" s="4" t="str">
        <f t="shared" si="92"/>
        <v/>
      </c>
      <c r="BA406" s="4" t="str">
        <f t="shared" si="92"/>
        <v/>
      </c>
      <c r="BB406" s="4" t="str">
        <f t="shared" si="86"/>
        <v/>
      </c>
      <c r="BC406" s="4" t="str">
        <f t="shared" si="89"/>
        <v/>
      </c>
      <c r="BD406" s="4">
        <f t="shared" si="89"/>
        <v>1</v>
      </c>
      <c r="BE406" s="4" t="str">
        <f t="shared" si="89"/>
        <v/>
      </c>
      <c r="BF406" s="4" t="str">
        <f t="shared" si="89"/>
        <v/>
      </c>
      <c r="BG406" s="4" t="str">
        <f t="shared" si="89"/>
        <v/>
      </c>
      <c r="BH406" s="4" t="str">
        <f t="shared" si="89"/>
        <v/>
      </c>
      <c r="BI406" s="5" t="str">
        <f t="shared" si="89"/>
        <v/>
      </c>
    </row>
    <row r="407" spans="1:61" x14ac:dyDescent="0.25">
      <c r="A407">
        <v>591736</v>
      </c>
      <c r="B407" t="s">
        <v>14</v>
      </c>
      <c r="C407" t="s">
        <v>16</v>
      </c>
      <c r="D407">
        <v>63653</v>
      </c>
      <c r="E407">
        <v>1171</v>
      </c>
      <c r="F407">
        <v>1</v>
      </c>
      <c r="G407">
        <v>20134</v>
      </c>
      <c r="H407" t="s">
        <v>18</v>
      </c>
      <c r="I407">
        <v>32610.6</v>
      </c>
      <c r="J407">
        <v>1064</v>
      </c>
      <c r="K407">
        <v>213578.55</v>
      </c>
      <c r="L407">
        <v>209677.19</v>
      </c>
      <c r="M407">
        <v>3901.36</v>
      </c>
      <c r="N407" s="3" t="str">
        <f t="shared" si="90"/>
        <v/>
      </c>
      <c r="O407" s="4" t="str">
        <f t="shared" si="90"/>
        <v/>
      </c>
      <c r="P407" s="4" t="str">
        <f t="shared" si="90"/>
        <v/>
      </c>
      <c r="Q407" s="4" t="str">
        <f t="shared" si="90"/>
        <v/>
      </c>
      <c r="R407" s="4" t="str">
        <f t="shared" si="90"/>
        <v/>
      </c>
      <c r="S407" s="4" t="str">
        <f t="shared" si="90"/>
        <v/>
      </c>
      <c r="T407" s="4" t="str">
        <f t="shared" si="90"/>
        <v/>
      </c>
      <c r="U407" s="4" t="str">
        <f t="shared" si="90"/>
        <v/>
      </c>
      <c r="V407" s="4" t="str">
        <f t="shared" si="82"/>
        <v/>
      </c>
      <c r="W407" s="4" t="str">
        <f t="shared" si="87"/>
        <v/>
      </c>
      <c r="X407" s="4" t="str">
        <f t="shared" si="87"/>
        <v/>
      </c>
      <c r="Y407" s="4" t="str">
        <f t="shared" si="87"/>
        <v/>
      </c>
      <c r="Z407" s="4" t="str">
        <f t="shared" si="87"/>
        <v/>
      </c>
      <c r="AA407" s="4" t="str">
        <f t="shared" si="87"/>
        <v/>
      </c>
      <c r="AB407" s="4" t="str">
        <f t="shared" si="87"/>
        <v/>
      </c>
      <c r="AC407" s="5" t="str">
        <f t="shared" si="87"/>
        <v/>
      </c>
      <c r="AD407" s="3" t="str">
        <f t="shared" si="91"/>
        <v/>
      </c>
      <c r="AE407" s="4" t="str">
        <f t="shared" si="91"/>
        <v/>
      </c>
      <c r="AF407" s="4" t="str">
        <f t="shared" si="91"/>
        <v/>
      </c>
      <c r="AG407" s="4" t="str">
        <f t="shared" si="91"/>
        <v/>
      </c>
      <c r="AH407" s="4" t="str">
        <f t="shared" si="91"/>
        <v/>
      </c>
      <c r="AI407" s="4" t="str">
        <f t="shared" si="91"/>
        <v/>
      </c>
      <c r="AJ407" s="4" t="str">
        <f t="shared" si="91"/>
        <v/>
      </c>
      <c r="AK407" s="4" t="str">
        <f t="shared" si="91"/>
        <v/>
      </c>
      <c r="AL407" s="4" t="str">
        <f t="shared" si="84"/>
        <v/>
      </c>
      <c r="AM407" s="4" t="str">
        <f t="shared" si="88"/>
        <v/>
      </c>
      <c r="AN407" s="4" t="str">
        <f t="shared" si="88"/>
        <v/>
      </c>
      <c r="AO407" s="4" t="str">
        <f t="shared" si="88"/>
        <v/>
      </c>
      <c r="AP407" s="4" t="str">
        <f t="shared" si="88"/>
        <v/>
      </c>
      <c r="AQ407" s="4" t="str">
        <f t="shared" si="88"/>
        <v/>
      </c>
      <c r="AR407" s="4" t="str">
        <f t="shared" si="88"/>
        <v/>
      </c>
      <c r="AS407" s="5" t="str">
        <f t="shared" si="88"/>
        <v/>
      </c>
      <c r="AT407" s="3" t="str">
        <f t="shared" si="92"/>
        <v/>
      </c>
      <c r="AU407" s="4" t="str">
        <f t="shared" si="92"/>
        <v/>
      </c>
      <c r="AV407" s="4" t="str">
        <f t="shared" si="92"/>
        <v/>
      </c>
      <c r="AW407" s="4" t="str">
        <f t="shared" si="92"/>
        <v/>
      </c>
      <c r="AX407" s="4" t="str">
        <f t="shared" si="92"/>
        <v/>
      </c>
      <c r="AY407" s="4" t="str">
        <f t="shared" si="92"/>
        <v/>
      </c>
      <c r="AZ407" s="4" t="str">
        <f t="shared" si="92"/>
        <v/>
      </c>
      <c r="BA407" s="4" t="str">
        <f t="shared" si="92"/>
        <v/>
      </c>
      <c r="BB407" s="4" t="str">
        <f t="shared" si="86"/>
        <v/>
      </c>
      <c r="BC407" s="4" t="str">
        <f t="shared" si="89"/>
        <v/>
      </c>
      <c r="BD407" s="4" t="str">
        <f t="shared" si="89"/>
        <v/>
      </c>
      <c r="BE407" s="4">
        <f t="shared" si="89"/>
        <v>1</v>
      </c>
      <c r="BF407" s="4" t="str">
        <f t="shared" si="89"/>
        <v/>
      </c>
      <c r="BG407" s="4" t="str">
        <f t="shared" si="89"/>
        <v/>
      </c>
      <c r="BH407" s="4" t="str">
        <f t="shared" si="89"/>
        <v/>
      </c>
      <c r="BI407" s="5" t="str">
        <f t="shared" si="89"/>
        <v/>
      </c>
    </row>
    <row r="408" spans="1:61" x14ac:dyDescent="0.25">
      <c r="A408">
        <v>591737</v>
      </c>
      <c r="B408" t="s">
        <v>14</v>
      </c>
      <c r="C408" t="s">
        <v>16</v>
      </c>
      <c r="D408">
        <v>63653</v>
      </c>
      <c r="E408">
        <v>1171</v>
      </c>
      <c r="F408">
        <v>3</v>
      </c>
      <c r="G408">
        <v>20131</v>
      </c>
      <c r="H408" t="s">
        <v>18</v>
      </c>
      <c r="I408">
        <v>5177</v>
      </c>
      <c r="J408">
        <v>622</v>
      </c>
      <c r="K408">
        <v>36984.080000000002</v>
      </c>
      <c r="L408">
        <v>36783.08</v>
      </c>
      <c r="M408">
        <v>201</v>
      </c>
      <c r="N408" s="3" t="str">
        <f t="shared" si="90"/>
        <v/>
      </c>
      <c r="O408" s="4" t="str">
        <f t="shared" si="90"/>
        <v/>
      </c>
      <c r="P408" s="4" t="str">
        <f t="shared" si="90"/>
        <v/>
      </c>
      <c r="Q408" s="4" t="str">
        <f t="shared" si="90"/>
        <v/>
      </c>
      <c r="R408" s="4" t="str">
        <f t="shared" si="90"/>
        <v/>
      </c>
      <c r="S408" s="4" t="str">
        <f t="shared" si="90"/>
        <v/>
      </c>
      <c r="T408" s="4" t="str">
        <f t="shared" si="90"/>
        <v/>
      </c>
      <c r="U408" s="4" t="str">
        <f t="shared" si="90"/>
        <v/>
      </c>
      <c r="V408" s="4" t="str">
        <f t="shared" si="82"/>
        <v/>
      </c>
      <c r="W408" s="4" t="str">
        <f t="shared" si="87"/>
        <v/>
      </c>
      <c r="X408" s="4" t="str">
        <f t="shared" si="87"/>
        <v/>
      </c>
      <c r="Y408" s="4" t="str">
        <f t="shared" si="87"/>
        <v/>
      </c>
      <c r="Z408" s="4" t="str">
        <f t="shared" si="87"/>
        <v/>
      </c>
      <c r="AA408" s="4" t="str">
        <f t="shared" si="87"/>
        <v/>
      </c>
      <c r="AB408" s="4" t="str">
        <f t="shared" si="87"/>
        <v/>
      </c>
      <c r="AC408" s="5" t="str">
        <f t="shared" si="87"/>
        <v/>
      </c>
      <c r="AD408" s="3" t="str">
        <f t="shared" si="91"/>
        <v/>
      </c>
      <c r="AE408" s="4" t="str">
        <f t="shared" si="91"/>
        <v/>
      </c>
      <c r="AF408" s="4" t="str">
        <f t="shared" si="91"/>
        <v/>
      </c>
      <c r="AG408" s="4" t="str">
        <f t="shared" si="91"/>
        <v/>
      </c>
      <c r="AH408" s="4" t="str">
        <f t="shared" si="91"/>
        <v/>
      </c>
      <c r="AI408" s="4" t="str">
        <f t="shared" si="91"/>
        <v/>
      </c>
      <c r="AJ408" s="4" t="str">
        <f t="shared" si="91"/>
        <v/>
      </c>
      <c r="AK408" s="4" t="str">
        <f t="shared" si="91"/>
        <v/>
      </c>
      <c r="AL408" s="4" t="str">
        <f t="shared" si="84"/>
        <v/>
      </c>
      <c r="AM408" s="4" t="str">
        <f t="shared" si="88"/>
        <v/>
      </c>
      <c r="AN408" s="4" t="str">
        <f t="shared" si="88"/>
        <v/>
      </c>
      <c r="AO408" s="4" t="str">
        <f t="shared" si="88"/>
        <v/>
      </c>
      <c r="AP408" s="4" t="str">
        <f t="shared" si="88"/>
        <v/>
      </c>
      <c r="AQ408" s="4" t="str">
        <f t="shared" si="88"/>
        <v/>
      </c>
      <c r="AR408" s="4" t="str">
        <f t="shared" si="88"/>
        <v/>
      </c>
      <c r="AS408" s="5" t="str">
        <f t="shared" si="88"/>
        <v/>
      </c>
      <c r="AT408" s="3" t="str">
        <f t="shared" si="92"/>
        <v/>
      </c>
      <c r="AU408" s="4" t="str">
        <f t="shared" si="92"/>
        <v/>
      </c>
      <c r="AV408" s="4" t="str">
        <f t="shared" si="92"/>
        <v/>
      </c>
      <c r="AW408" s="4" t="str">
        <f t="shared" si="92"/>
        <v/>
      </c>
      <c r="AX408" s="4" t="str">
        <f t="shared" si="92"/>
        <v/>
      </c>
      <c r="AY408" s="4" t="str">
        <f t="shared" si="92"/>
        <v/>
      </c>
      <c r="AZ408" s="4" t="str">
        <f t="shared" si="92"/>
        <v/>
      </c>
      <c r="BA408" s="4" t="str">
        <f t="shared" si="92"/>
        <v/>
      </c>
      <c r="BB408" s="4">
        <f t="shared" si="86"/>
        <v>1</v>
      </c>
      <c r="BC408" s="4" t="str">
        <f t="shared" si="89"/>
        <v/>
      </c>
      <c r="BD408" s="4" t="str">
        <f t="shared" si="89"/>
        <v/>
      </c>
      <c r="BE408" s="4" t="str">
        <f t="shared" si="89"/>
        <v/>
      </c>
      <c r="BF408" s="4" t="str">
        <f t="shared" si="89"/>
        <v/>
      </c>
      <c r="BG408" s="4" t="str">
        <f t="shared" si="89"/>
        <v/>
      </c>
      <c r="BH408" s="4" t="str">
        <f t="shared" si="89"/>
        <v/>
      </c>
      <c r="BI408" s="5" t="str">
        <f t="shared" si="89"/>
        <v/>
      </c>
    </row>
    <row r="409" spans="1:61" x14ac:dyDescent="0.25">
      <c r="A409">
        <v>591738</v>
      </c>
      <c r="B409" t="s">
        <v>14</v>
      </c>
      <c r="C409" t="s">
        <v>16</v>
      </c>
      <c r="D409">
        <v>63653</v>
      </c>
      <c r="E409">
        <v>1171</v>
      </c>
      <c r="F409">
        <v>3</v>
      </c>
      <c r="G409">
        <v>20132</v>
      </c>
      <c r="H409" t="s">
        <v>18</v>
      </c>
      <c r="I409">
        <v>7323.0709999999999</v>
      </c>
      <c r="J409">
        <v>590</v>
      </c>
      <c r="K409">
        <v>50434.44</v>
      </c>
      <c r="L409">
        <v>50380.44</v>
      </c>
      <c r="M409">
        <v>54</v>
      </c>
      <c r="N409" s="3" t="str">
        <f t="shared" si="90"/>
        <v/>
      </c>
      <c r="O409" s="4" t="str">
        <f t="shared" si="90"/>
        <v/>
      </c>
      <c r="P409" s="4" t="str">
        <f t="shared" si="90"/>
        <v/>
      </c>
      <c r="Q409" s="4" t="str">
        <f t="shared" si="90"/>
        <v/>
      </c>
      <c r="R409" s="4" t="str">
        <f t="shared" si="90"/>
        <v/>
      </c>
      <c r="S409" s="4" t="str">
        <f t="shared" si="90"/>
        <v/>
      </c>
      <c r="T409" s="4" t="str">
        <f t="shared" si="90"/>
        <v/>
      </c>
      <c r="U409" s="4" t="str">
        <f t="shared" si="90"/>
        <v/>
      </c>
      <c r="V409" s="4" t="str">
        <f t="shared" si="82"/>
        <v/>
      </c>
      <c r="W409" s="4" t="str">
        <f t="shared" si="87"/>
        <v/>
      </c>
      <c r="X409" s="4" t="str">
        <f t="shared" si="87"/>
        <v/>
      </c>
      <c r="Y409" s="4" t="str">
        <f t="shared" si="87"/>
        <v/>
      </c>
      <c r="Z409" s="4" t="str">
        <f t="shared" si="87"/>
        <v/>
      </c>
      <c r="AA409" s="4" t="str">
        <f t="shared" si="87"/>
        <v/>
      </c>
      <c r="AB409" s="4" t="str">
        <f t="shared" si="87"/>
        <v/>
      </c>
      <c r="AC409" s="5" t="str">
        <f t="shared" si="87"/>
        <v/>
      </c>
      <c r="AD409" s="3" t="str">
        <f t="shared" si="91"/>
        <v/>
      </c>
      <c r="AE409" s="4" t="str">
        <f t="shared" si="91"/>
        <v/>
      </c>
      <c r="AF409" s="4" t="str">
        <f t="shared" si="91"/>
        <v/>
      </c>
      <c r="AG409" s="4" t="str">
        <f t="shared" si="91"/>
        <v/>
      </c>
      <c r="AH409" s="4" t="str">
        <f t="shared" si="91"/>
        <v/>
      </c>
      <c r="AI409" s="4" t="str">
        <f t="shared" si="91"/>
        <v/>
      </c>
      <c r="AJ409" s="4" t="str">
        <f t="shared" si="91"/>
        <v/>
      </c>
      <c r="AK409" s="4" t="str">
        <f t="shared" si="91"/>
        <v/>
      </c>
      <c r="AL409" s="4" t="str">
        <f t="shared" si="84"/>
        <v/>
      </c>
      <c r="AM409" s="4" t="str">
        <f t="shared" si="88"/>
        <v/>
      </c>
      <c r="AN409" s="4" t="str">
        <f t="shared" si="88"/>
        <v/>
      </c>
      <c r="AO409" s="4" t="str">
        <f t="shared" si="88"/>
        <v/>
      </c>
      <c r="AP409" s="4" t="str">
        <f t="shared" si="88"/>
        <v/>
      </c>
      <c r="AQ409" s="4" t="str">
        <f t="shared" si="88"/>
        <v/>
      </c>
      <c r="AR409" s="4" t="str">
        <f t="shared" si="88"/>
        <v/>
      </c>
      <c r="AS409" s="5" t="str">
        <f t="shared" si="88"/>
        <v/>
      </c>
      <c r="AT409" s="3" t="str">
        <f t="shared" si="92"/>
        <v/>
      </c>
      <c r="AU409" s="4" t="str">
        <f t="shared" si="92"/>
        <v/>
      </c>
      <c r="AV409" s="4" t="str">
        <f t="shared" si="92"/>
        <v/>
      </c>
      <c r="AW409" s="4" t="str">
        <f t="shared" si="92"/>
        <v/>
      </c>
      <c r="AX409" s="4" t="str">
        <f t="shared" si="92"/>
        <v/>
      </c>
      <c r="AY409" s="4" t="str">
        <f t="shared" si="92"/>
        <v/>
      </c>
      <c r="AZ409" s="4" t="str">
        <f t="shared" si="92"/>
        <v/>
      </c>
      <c r="BA409" s="4" t="str">
        <f t="shared" si="92"/>
        <v/>
      </c>
      <c r="BB409" s="4" t="str">
        <f t="shared" si="86"/>
        <v/>
      </c>
      <c r="BC409" s="4">
        <f t="shared" si="89"/>
        <v>1</v>
      </c>
      <c r="BD409" s="4" t="str">
        <f t="shared" si="89"/>
        <v/>
      </c>
      <c r="BE409" s="4" t="str">
        <f t="shared" si="89"/>
        <v/>
      </c>
      <c r="BF409" s="4" t="str">
        <f t="shared" si="89"/>
        <v/>
      </c>
      <c r="BG409" s="4" t="str">
        <f t="shared" si="89"/>
        <v/>
      </c>
      <c r="BH409" s="4" t="str">
        <f t="shared" si="89"/>
        <v/>
      </c>
      <c r="BI409" s="5" t="str">
        <f t="shared" si="89"/>
        <v/>
      </c>
    </row>
    <row r="410" spans="1:61" x14ac:dyDescent="0.25">
      <c r="A410">
        <v>591739</v>
      </c>
      <c r="B410" t="s">
        <v>14</v>
      </c>
      <c r="C410" t="s">
        <v>16</v>
      </c>
      <c r="D410">
        <v>63653</v>
      </c>
      <c r="E410">
        <v>1171</v>
      </c>
      <c r="F410">
        <v>3</v>
      </c>
      <c r="G410">
        <v>20133</v>
      </c>
      <c r="H410" t="s">
        <v>18</v>
      </c>
      <c r="I410">
        <v>5255.65</v>
      </c>
      <c r="J410">
        <v>405</v>
      </c>
      <c r="K410">
        <v>36043.760000000002</v>
      </c>
      <c r="L410">
        <v>35996.5</v>
      </c>
      <c r="M410">
        <v>47.26</v>
      </c>
      <c r="N410" s="3" t="str">
        <f t="shared" si="90"/>
        <v/>
      </c>
      <c r="O410" s="4" t="str">
        <f t="shared" si="90"/>
        <v/>
      </c>
      <c r="P410" s="4" t="str">
        <f t="shared" si="90"/>
        <v/>
      </c>
      <c r="Q410" s="4" t="str">
        <f t="shared" si="90"/>
        <v/>
      </c>
      <c r="R410" s="4" t="str">
        <f t="shared" si="90"/>
        <v/>
      </c>
      <c r="S410" s="4" t="str">
        <f t="shared" si="90"/>
        <v/>
      </c>
      <c r="T410" s="4" t="str">
        <f t="shared" si="90"/>
        <v/>
      </c>
      <c r="U410" s="4" t="str">
        <f t="shared" si="90"/>
        <v/>
      </c>
      <c r="V410" s="4" t="str">
        <f t="shared" si="82"/>
        <v/>
      </c>
      <c r="W410" s="4" t="str">
        <f t="shared" si="87"/>
        <v/>
      </c>
      <c r="X410" s="4" t="str">
        <f t="shared" si="87"/>
        <v/>
      </c>
      <c r="Y410" s="4" t="str">
        <f t="shared" si="87"/>
        <v/>
      </c>
      <c r="Z410" s="4" t="str">
        <f t="shared" si="87"/>
        <v/>
      </c>
      <c r="AA410" s="4" t="str">
        <f t="shared" si="87"/>
        <v/>
      </c>
      <c r="AB410" s="4" t="str">
        <f t="shared" si="87"/>
        <v/>
      </c>
      <c r="AC410" s="5" t="str">
        <f t="shared" si="87"/>
        <v/>
      </c>
      <c r="AD410" s="3" t="str">
        <f t="shared" si="91"/>
        <v/>
      </c>
      <c r="AE410" s="4" t="str">
        <f t="shared" si="91"/>
        <v/>
      </c>
      <c r="AF410" s="4" t="str">
        <f t="shared" si="91"/>
        <v/>
      </c>
      <c r="AG410" s="4" t="str">
        <f t="shared" si="91"/>
        <v/>
      </c>
      <c r="AH410" s="4" t="str">
        <f t="shared" si="91"/>
        <v/>
      </c>
      <c r="AI410" s="4" t="str">
        <f t="shared" si="91"/>
        <v/>
      </c>
      <c r="AJ410" s="4" t="str">
        <f t="shared" si="91"/>
        <v/>
      </c>
      <c r="AK410" s="4" t="str">
        <f t="shared" si="91"/>
        <v/>
      </c>
      <c r="AL410" s="4" t="str">
        <f t="shared" si="84"/>
        <v/>
      </c>
      <c r="AM410" s="4" t="str">
        <f t="shared" si="88"/>
        <v/>
      </c>
      <c r="AN410" s="4" t="str">
        <f t="shared" si="88"/>
        <v/>
      </c>
      <c r="AO410" s="4" t="str">
        <f t="shared" si="88"/>
        <v/>
      </c>
      <c r="AP410" s="4" t="str">
        <f t="shared" si="88"/>
        <v/>
      </c>
      <c r="AQ410" s="4" t="str">
        <f t="shared" si="88"/>
        <v/>
      </c>
      <c r="AR410" s="4" t="str">
        <f t="shared" si="88"/>
        <v/>
      </c>
      <c r="AS410" s="5" t="str">
        <f t="shared" si="88"/>
        <v/>
      </c>
      <c r="AT410" s="3" t="str">
        <f t="shared" si="92"/>
        <v/>
      </c>
      <c r="AU410" s="4" t="str">
        <f t="shared" si="92"/>
        <v/>
      </c>
      <c r="AV410" s="4" t="str">
        <f t="shared" si="92"/>
        <v/>
      </c>
      <c r="AW410" s="4" t="str">
        <f t="shared" si="92"/>
        <v/>
      </c>
      <c r="AX410" s="4" t="str">
        <f t="shared" si="92"/>
        <v/>
      </c>
      <c r="AY410" s="4" t="str">
        <f t="shared" si="92"/>
        <v/>
      </c>
      <c r="AZ410" s="4" t="str">
        <f t="shared" si="92"/>
        <v/>
      </c>
      <c r="BA410" s="4" t="str">
        <f t="shared" si="92"/>
        <v/>
      </c>
      <c r="BB410" s="4" t="str">
        <f t="shared" si="86"/>
        <v/>
      </c>
      <c r="BC410" s="4" t="str">
        <f t="shared" si="89"/>
        <v/>
      </c>
      <c r="BD410" s="4">
        <f t="shared" si="89"/>
        <v>1</v>
      </c>
      <c r="BE410" s="4" t="str">
        <f t="shared" si="89"/>
        <v/>
      </c>
      <c r="BF410" s="4" t="str">
        <f t="shared" si="89"/>
        <v/>
      </c>
      <c r="BG410" s="4" t="str">
        <f t="shared" si="89"/>
        <v/>
      </c>
      <c r="BH410" s="4" t="str">
        <f t="shared" si="89"/>
        <v/>
      </c>
      <c r="BI410" s="5" t="str">
        <f t="shared" si="89"/>
        <v/>
      </c>
    </row>
    <row r="411" spans="1:61" x14ac:dyDescent="0.25">
      <c r="A411">
        <v>591740</v>
      </c>
      <c r="B411" t="s">
        <v>14</v>
      </c>
      <c r="C411" t="s">
        <v>16</v>
      </c>
      <c r="D411">
        <v>63653</v>
      </c>
      <c r="E411">
        <v>1171</v>
      </c>
      <c r="F411">
        <v>3</v>
      </c>
      <c r="G411">
        <v>20134</v>
      </c>
      <c r="H411" t="s">
        <v>18</v>
      </c>
      <c r="I411">
        <v>5181.0010000000002</v>
      </c>
      <c r="J411">
        <v>379</v>
      </c>
      <c r="K411">
        <v>27080.44</v>
      </c>
      <c r="L411">
        <v>27014.44</v>
      </c>
      <c r="M411">
        <v>66</v>
      </c>
      <c r="N411" s="3" t="str">
        <f t="shared" si="90"/>
        <v/>
      </c>
      <c r="O411" s="4" t="str">
        <f t="shared" si="90"/>
        <v/>
      </c>
      <c r="P411" s="4" t="str">
        <f t="shared" si="90"/>
        <v/>
      </c>
      <c r="Q411" s="4" t="str">
        <f t="shared" si="90"/>
        <v/>
      </c>
      <c r="R411" s="4" t="str">
        <f t="shared" si="90"/>
        <v/>
      </c>
      <c r="S411" s="4" t="str">
        <f t="shared" si="90"/>
        <v/>
      </c>
      <c r="T411" s="4" t="str">
        <f t="shared" si="90"/>
        <v/>
      </c>
      <c r="U411" s="4" t="str">
        <f t="shared" si="90"/>
        <v/>
      </c>
      <c r="V411" s="4" t="str">
        <f t="shared" si="82"/>
        <v/>
      </c>
      <c r="W411" s="4" t="str">
        <f t="shared" si="87"/>
        <v/>
      </c>
      <c r="X411" s="4" t="str">
        <f t="shared" si="87"/>
        <v/>
      </c>
      <c r="Y411" s="4" t="str">
        <f t="shared" si="87"/>
        <v/>
      </c>
      <c r="Z411" s="4" t="str">
        <f t="shared" si="87"/>
        <v/>
      </c>
      <c r="AA411" s="4" t="str">
        <f t="shared" si="87"/>
        <v/>
      </c>
      <c r="AB411" s="4" t="str">
        <f t="shared" si="87"/>
        <v/>
      </c>
      <c r="AC411" s="5" t="str">
        <f t="shared" si="87"/>
        <v/>
      </c>
      <c r="AD411" s="3" t="str">
        <f t="shared" si="91"/>
        <v/>
      </c>
      <c r="AE411" s="4" t="str">
        <f t="shared" si="91"/>
        <v/>
      </c>
      <c r="AF411" s="4" t="str">
        <f t="shared" si="91"/>
        <v/>
      </c>
      <c r="AG411" s="4" t="str">
        <f t="shared" si="91"/>
        <v/>
      </c>
      <c r="AH411" s="4" t="str">
        <f t="shared" si="91"/>
        <v/>
      </c>
      <c r="AI411" s="4" t="str">
        <f t="shared" si="91"/>
        <v/>
      </c>
      <c r="AJ411" s="4" t="str">
        <f t="shared" si="91"/>
        <v/>
      </c>
      <c r="AK411" s="4" t="str">
        <f t="shared" si="91"/>
        <v/>
      </c>
      <c r="AL411" s="4" t="str">
        <f t="shared" si="84"/>
        <v/>
      </c>
      <c r="AM411" s="4" t="str">
        <f t="shared" si="88"/>
        <v/>
      </c>
      <c r="AN411" s="4" t="str">
        <f t="shared" si="88"/>
        <v/>
      </c>
      <c r="AO411" s="4" t="str">
        <f t="shared" si="88"/>
        <v/>
      </c>
      <c r="AP411" s="4" t="str">
        <f t="shared" si="88"/>
        <v/>
      </c>
      <c r="AQ411" s="4" t="str">
        <f t="shared" si="88"/>
        <v/>
      </c>
      <c r="AR411" s="4" t="str">
        <f t="shared" si="88"/>
        <v/>
      </c>
      <c r="AS411" s="5" t="str">
        <f t="shared" si="88"/>
        <v/>
      </c>
      <c r="AT411" s="3" t="str">
        <f t="shared" si="92"/>
        <v/>
      </c>
      <c r="AU411" s="4" t="str">
        <f t="shared" si="92"/>
        <v/>
      </c>
      <c r="AV411" s="4" t="str">
        <f t="shared" si="92"/>
        <v/>
      </c>
      <c r="AW411" s="4" t="str">
        <f t="shared" si="92"/>
        <v/>
      </c>
      <c r="AX411" s="4" t="str">
        <f t="shared" si="92"/>
        <v/>
      </c>
      <c r="AY411" s="4" t="str">
        <f t="shared" si="92"/>
        <v/>
      </c>
      <c r="AZ411" s="4" t="str">
        <f t="shared" si="92"/>
        <v/>
      </c>
      <c r="BA411" s="4" t="str">
        <f t="shared" si="92"/>
        <v/>
      </c>
      <c r="BB411" s="4" t="str">
        <f t="shared" si="86"/>
        <v/>
      </c>
      <c r="BC411" s="4" t="str">
        <f t="shared" si="89"/>
        <v/>
      </c>
      <c r="BD411" s="4" t="str">
        <f t="shared" si="89"/>
        <v/>
      </c>
      <c r="BE411" s="4">
        <f t="shared" si="89"/>
        <v>1</v>
      </c>
      <c r="BF411" s="4" t="str">
        <f t="shared" si="89"/>
        <v/>
      </c>
      <c r="BG411" s="4" t="str">
        <f t="shared" si="89"/>
        <v/>
      </c>
      <c r="BH411" s="4" t="str">
        <f t="shared" si="89"/>
        <v/>
      </c>
      <c r="BI411" s="5" t="str">
        <f t="shared" si="89"/>
        <v/>
      </c>
    </row>
    <row r="412" spans="1:61" x14ac:dyDescent="0.25">
      <c r="A412">
        <v>591741</v>
      </c>
      <c r="B412" t="s">
        <v>14</v>
      </c>
      <c r="C412" t="s">
        <v>16</v>
      </c>
      <c r="D412">
        <v>63653</v>
      </c>
      <c r="E412">
        <v>1171</v>
      </c>
      <c r="F412">
        <v>5</v>
      </c>
      <c r="G412">
        <v>20131</v>
      </c>
      <c r="H412" t="s">
        <v>18</v>
      </c>
      <c r="I412">
        <v>15709.467000000001</v>
      </c>
      <c r="J412">
        <v>577</v>
      </c>
      <c r="K412">
        <v>103703.89</v>
      </c>
      <c r="L412">
        <v>98816.95</v>
      </c>
      <c r="M412">
        <v>4886.9399999999996</v>
      </c>
      <c r="N412" s="3" t="str">
        <f t="shared" si="90"/>
        <v/>
      </c>
      <c r="O412" s="4" t="str">
        <f t="shared" si="90"/>
        <v/>
      </c>
      <c r="P412" s="4" t="str">
        <f t="shared" si="90"/>
        <v/>
      </c>
      <c r="Q412" s="4" t="str">
        <f t="shared" si="90"/>
        <v/>
      </c>
      <c r="R412" s="4" t="str">
        <f t="shared" si="90"/>
        <v/>
      </c>
      <c r="S412" s="4" t="str">
        <f t="shared" si="90"/>
        <v/>
      </c>
      <c r="T412" s="4" t="str">
        <f t="shared" si="90"/>
        <v/>
      </c>
      <c r="U412" s="4" t="str">
        <f t="shared" si="90"/>
        <v/>
      </c>
      <c r="V412" s="4" t="str">
        <f t="shared" si="82"/>
        <v/>
      </c>
      <c r="W412" s="4" t="str">
        <f t="shared" si="87"/>
        <v/>
      </c>
      <c r="X412" s="4" t="str">
        <f t="shared" si="87"/>
        <v/>
      </c>
      <c r="Y412" s="4" t="str">
        <f t="shared" si="87"/>
        <v/>
      </c>
      <c r="Z412" s="4" t="str">
        <f t="shared" si="87"/>
        <v/>
      </c>
      <c r="AA412" s="4" t="str">
        <f t="shared" si="87"/>
        <v/>
      </c>
      <c r="AB412" s="4" t="str">
        <f t="shared" si="87"/>
        <v/>
      </c>
      <c r="AC412" s="5" t="str">
        <f t="shared" si="87"/>
        <v/>
      </c>
      <c r="AD412" s="3" t="str">
        <f t="shared" si="91"/>
        <v/>
      </c>
      <c r="AE412" s="4" t="str">
        <f t="shared" si="91"/>
        <v/>
      </c>
      <c r="AF412" s="4" t="str">
        <f t="shared" si="91"/>
        <v/>
      </c>
      <c r="AG412" s="4" t="str">
        <f t="shared" si="91"/>
        <v/>
      </c>
      <c r="AH412" s="4" t="str">
        <f t="shared" si="91"/>
        <v/>
      </c>
      <c r="AI412" s="4" t="str">
        <f t="shared" si="91"/>
        <v/>
      </c>
      <c r="AJ412" s="4" t="str">
        <f t="shared" si="91"/>
        <v/>
      </c>
      <c r="AK412" s="4" t="str">
        <f t="shared" si="91"/>
        <v/>
      </c>
      <c r="AL412" s="4" t="str">
        <f t="shared" si="84"/>
        <v/>
      </c>
      <c r="AM412" s="4" t="str">
        <f t="shared" si="88"/>
        <v/>
      </c>
      <c r="AN412" s="4" t="str">
        <f t="shared" si="88"/>
        <v/>
      </c>
      <c r="AO412" s="4" t="str">
        <f t="shared" si="88"/>
        <v/>
      </c>
      <c r="AP412" s="4" t="str">
        <f t="shared" si="88"/>
        <v/>
      </c>
      <c r="AQ412" s="4" t="str">
        <f t="shared" si="88"/>
        <v/>
      </c>
      <c r="AR412" s="4" t="str">
        <f t="shared" si="88"/>
        <v/>
      </c>
      <c r="AS412" s="5" t="str">
        <f t="shared" si="88"/>
        <v/>
      </c>
      <c r="AT412" s="3" t="str">
        <f t="shared" si="92"/>
        <v/>
      </c>
      <c r="AU412" s="4" t="str">
        <f t="shared" si="92"/>
        <v/>
      </c>
      <c r="AV412" s="4" t="str">
        <f t="shared" si="92"/>
        <v/>
      </c>
      <c r="AW412" s="4" t="str">
        <f t="shared" si="92"/>
        <v/>
      </c>
      <c r="AX412" s="4" t="str">
        <f t="shared" si="92"/>
        <v/>
      </c>
      <c r="AY412" s="4" t="str">
        <f t="shared" si="92"/>
        <v/>
      </c>
      <c r="AZ412" s="4" t="str">
        <f t="shared" si="92"/>
        <v/>
      </c>
      <c r="BA412" s="4" t="str">
        <f t="shared" si="92"/>
        <v/>
      </c>
      <c r="BB412" s="4">
        <f t="shared" si="86"/>
        <v>1</v>
      </c>
      <c r="BC412" s="4" t="str">
        <f t="shared" si="89"/>
        <v/>
      </c>
      <c r="BD412" s="4" t="str">
        <f t="shared" si="89"/>
        <v/>
      </c>
      <c r="BE412" s="4" t="str">
        <f t="shared" si="89"/>
        <v/>
      </c>
      <c r="BF412" s="4" t="str">
        <f t="shared" si="89"/>
        <v/>
      </c>
      <c r="BG412" s="4" t="str">
        <f t="shared" si="89"/>
        <v/>
      </c>
      <c r="BH412" s="4" t="str">
        <f t="shared" si="89"/>
        <v/>
      </c>
      <c r="BI412" s="5" t="str">
        <f t="shared" si="89"/>
        <v/>
      </c>
    </row>
    <row r="413" spans="1:61" x14ac:dyDescent="0.25">
      <c r="A413">
        <v>591742</v>
      </c>
      <c r="B413" t="s">
        <v>14</v>
      </c>
      <c r="C413" t="s">
        <v>16</v>
      </c>
      <c r="D413">
        <v>63653</v>
      </c>
      <c r="E413">
        <v>1171</v>
      </c>
      <c r="F413">
        <v>5</v>
      </c>
      <c r="G413">
        <v>20132</v>
      </c>
      <c r="H413" t="s">
        <v>18</v>
      </c>
      <c r="I413">
        <v>27691.5</v>
      </c>
      <c r="J413">
        <v>956</v>
      </c>
      <c r="K413">
        <v>179212.86</v>
      </c>
      <c r="L413">
        <v>179116.11</v>
      </c>
      <c r="M413">
        <v>96.75</v>
      </c>
      <c r="N413" s="3" t="str">
        <f t="shared" si="90"/>
        <v/>
      </c>
      <c r="O413" s="4" t="str">
        <f t="shared" si="90"/>
        <v/>
      </c>
      <c r="P413" s="4" t="str">
        <f t="shared" si="90"/>
        <v/>
      </c>
      <c r="Q413" s="4" t="str">
        <f t="shared" si="90"/>
        <v/>
      </c>
      <c r="R413" s="4" t="str">
        <f t="shared" si="90"/>
        <v/>
      </c>
      <c r="S413" s="4" t="str">
        <f t="shared" si="90"/>
        <v/>
      </c>
      <c r="T413" s="4" t="str">
        <f t="shared" si="90"/>
        <v/>
      </c>
      <c r="U413" s="4" t="str">
        <f t="shared" si="90"/>
        <v/>
      </c>
      <c r="V413" s="4" t="str">
        <f t="shared" si="82"/>
        <v/>
      </c>
      <c r="W413" s="4" t="str">
        <f t="shared" si="87"/>
        <v/>
      </c>
      <c r="X413" s="4" t="str">
        <f t="shared" si="87"/>
        <v/>
      </c>
      <c r="Y413" s="4" t="str">
        <f t="shared" si="87"/>
        <v/>
      </c>
      <c r="Z413" s="4" t="str">
        <f t="shared" si="87"/>
        <v/>
      </c>
      <c r="AA413" s="4" t="str">
        <f t="shared" si="87"/>
        <v/>
      </c>
      <c r="AB413" s="4" t="str">
        <f t="shared" si="87"/>
        <v/>
      </c>
      <c r="AC413" s="5" t="str">
        <f t="shared" si="87"/>
        <v/>
      </c>
      <c r="AD413" s="3" t="str">
        <f t="shared" si="91"/>
        <v/>
      </c>
      <c r="AE413" s="4" t="str">
        <f t="shared" si="91"/>
        <v/>
      </c>
      <c r="AF413" s="4" t="str">
        <f t="shared" si="91"/>
        <v/>
      </c>
      <c r="AG413" s="4" t="str">
        <f t="shared" si="91"/>
        <v/>
      </c>
      <c r="AH413" s="4" t="str">
        <f t="shared" si="91"/>
        <v/>
      </c>
      <c r="AI413" s="4" t="str">
        <f t="shared" si="91"/>
        <v/>
      </c>
      <c r="AJ413" s="4" t="str">
        <f t="shared" si="91"/>
        <v/>
      </c>
      <c r="AK413" s="4" t="str">
        <f t="shared" si="91"/>
        <v/>
      </c>
      <c r="AL413" s="4" t="str">
        <f t="shared" si="84"/>
        <v/>
      </c>
      <c r="AM413" s="4" t="str">
        <f t="shared" si="88"/>
        <v/>
      </c>
      <c r="AN413" s="4" t="str">
        <f t="shared" si="88"/>
        <v/>
      </c>
      <c r="AO413" s="4" t="str">
        <f t="shared" si="88"/>
        <v/>
      </c>
      <c r="AP413" s="4" t="str">
        <f t="shared" si="88"/>
        <v/>
      </c>
      <c r="AQ413" s="4" t="str">
        <f t="shared" si="88"/>
        <v/>
      </c>
      <c r="AR413" s="4" t="str">
        <f t="shared" si="88"/>
        <v/>
      </c>
      <c r="AS413" s="5" t="str">
        <f t="shared" si="88"/>
        <v/>
      </c>
      <c r="AT413" s="3" t="str">
        <f t="shared" si="92"/>
        <v/>
      </c>
      <c r="AU413" s="4" t="str">
        <f t="shared" si="92"/>
        <v/>
      </c>
      <c r="AV413" s="4" t="str">
        <f t="shared" si="92"/>
        <v/>
      </c>
      <c r="AW413" s="4" t="str">
        <f t="shared" si="92"/>
        <v/>
      </c>
      <c r="AX413" s="4" t="str">
        <f t="shared" si="92"/>
        <v/>
      </c>
      <c r="AY413" s="4" t="str">
        <f t="shared" si="92"/>
        <v/>
      </c>
      <c r="AZ413" s="4" t="str">
        <f t="shared" si="92"/>
        <v/>
      </c>
      <c r="BA413" s="4" t="str">
        <f t="shared" si="92"/>
        <v/>
      </c>
      <c r="BB413" s="4" t="str">
        <f t="shared" si="86"/>
        <v/>
      </c>
      <c r="BC413" s="4">
        <f t="shared" si="89"/>
        <v>1</v>
      </c>
      <c r="BD413" s="4" t="str">
        <f t="shared" si="89"/>
        <v/>
      </c>
      <c r="BE413" s="4" t="str">
        <f t="shared" si="89"/>
        <v/>
      </c>
      <c r="BF413" s="4" t="str">
        <f t="shared" si="89"/>
        <v/>
      </c>
      <c r="BG413" s="4" t="str">
        <f t="shared" si="89"/>
        <v/>
      </c>
      <c r="BH413" s="4" t="str">
        <f t="shared" si="89"/>
        <v/>
      </c>
      <c r="BI413" s="5" t="str">
        <f t="shared" si="89"/>
        <v/>
      </c>
    </row>
    <row r="414" spans="1:61" x14ac:dyDescent="0.25">
      <c r="A414">
        <v>591743</v>
      </c>
      <c r="B414" t="s">
        <v>14</v>
      </c>
      <c r="C414" t="s">
        <v>16</v>
      </c>
      <c r="D414">
        <v>63653</v>
      </c>
      <c r="E414">
        <v>1171</v>
      </c>
      <c r="F414">
        <v>5</v>
      </c>
      <c r="G414">
        <v>20133</v>
      </c>
      <c r="H414" t="s">
        <v>18</v>
      </c>
      <c r="I414">
        <v>9348</v>
      </c>
      <c r="J414">
        <v>316</v>
      </c>
      <c r="K414">
        <v>61151.45</v>
      </c>
      <c r="L414">
        <v>56714.28</v>
      </c>
      <c r="M414">
        <v>4437.17</v>
      </c>
      <c r="N414" s="3" t="str">
        <f t="shared" si="90"/>
        <v/>
      </c>
      <c r="O414" s="4" t="str">
        <f t="shared" si="90"/>
        <v/>
      </c>
      <c r="P414" s="4" t="str">
        <f t="shared" si="90"/>
        <v/>
      </c>
      <c r="Q414" s="4" t="str">
        <f t="shared" si="90"/>
        <v/>
      </c>
      <c r="R414" s="4" t="str">
        <f t="shared" si="90"/>
        <v/>
      </c>
      <c r="S414" s="4" t="str">
        <f t="shared" si="90"/>
        <v/>
      </c>
      <c r="T414" s="4" t="str">
        <f t="shared" si="90"/>
        <v/>
      </c>
      <c r="U414" s="4" t="str">
        <f t="shared" si="90"/>
        <v/>
      </c>
      <c r="V414" s="4" t="str">
        <f t="shared" si="82"/>
        <v/>
      </c>
      <c r="W414" s="4" t="str">
        <f t="shared" si="87"/>
        <v/>
      </c>
      <c r="X414" s="4" t="str">
        <f t="shared" si="87"/>
        <v/>
      </c>
      <c r="Y414" s="4" t="str">
        <f t="shared" si="87"/>
        <v/>
      </c>
      <c r="Z414" s="4" t="str">
        <f t="shared" si="87"/>
        <v/>
      </c>
      <c r="AA414" s="4" t="str">
        <f t="shared" si="87"/>
        <v/>
      </c>
      <c r="AB414" s="4" t="str">
        <f t="shared" si="87"/>
        <v/>
      </c>
      <c r="AC414" s="5" t="str">
        <f t="shared" si="87"/>
        <v/>
      </c>
      <c r="AD414" s="3" t="str">
        <f t="shared" si="91"/>
        <v/>
      </c>
      <c r="AE414" s="4" t="str">
        <f t="shared" si="91"/>
        <v/>
      </c>
      <c r="AF414" s="4" t="str">
        <f t="shared" si="91"/>
        <v/>
      </c>
      <c r="AG414" s="4" t="str">
        <f t="shared" si="91"/>
        <v/>
      </c>
      <c r="AH414" s="4" t="str">
        <f t="shared" si="91"/>
        <v/>
      </c>
      <c r="AI414" s="4" t="str">
        <f t="shared" si="91"/>
        <v/>
      </c>
      <c r="AJ414" s="4" t="str">
        <f t="shared" si="91"/>
        <v/>
      </c>
      <c r="AK414" s="4" t="str">
        <f t="shared" si="91"/>
        <v/>
      </c>
      <c r="AL414" s="4" t="str">
        <f t="shared" si="84"/>
        <v/>
      </c>
      <c r="AM414" s="4" t="str">
        <f t="shared" si="88"/>
        <v/>
      </c>
      <c r="AN414" s="4" t="str">
        <f t="shared" si="88"/>
        <v/>
      </c>
      <c r="AO414" s="4" t="str">
        <f t="shared" si="88"/>
        <v/>
      </c>
      <c r="AP414" s="4" t="str">
        <f t="shared" si="88"/>
        <v/>
      </c>
      <c r="AQ414" s="4" t="str">
        <f t="shared" si="88"/>
        <v/>
      </c>
      <c r="AR414" s="4" t="str">
        <f t="shared" si="88"/>
        <v/>
      </c>
      <c r="AS414" s="5" t="str">
        <f t="shared" si="88"/>
        <v/>
      </c>
      <c r="AT414" s="3" t="str">
        <f t="shared" si="92"/>
        <v/>
      </c>
      <c r="AU414" s="4" t="str">
        <f t="shared" si="92"/>
        <v/>
      </c>
      <c r="AV414" s="4" t="str">
        <f t="shared" si="92"/>
        <v/>
      </c>
      <c r="AW414" s="4" t="str">
        <f t="shared" si="92"/>
        <v/>
      </c>
      <c r="AX414" s="4" t="str">
        <f t="shared" si="92"/>
        <v/>
      </c>
      <c r="AY414" s="4" t="str">
        <f t="shared" si="92"/>
        <v/>
      </c>
      <c r="AZ414" s="4" t="str">
        <f t="shared" si="92"/>
        <v/>
      </c>
      <c r="BA414" s="4" t="str">
        <f t="shared" si="92"/>
        <v/>
      </c>
      <c r="BB414" s="4" t="str">
        <f t="shared" si="86"/>
        <v/>
      </c>
      <c r="BC414" s="4" t="str">
        <f t="shared" si="89"/>
        <v/>
      </c>
      <c r="BD414" s="4">
        <f t="shared" si="89"/>
        <v>1</v>
      </c>
      <c r="BE414" s="4" t="str">
        <f t="shared" si="89"/>
        <v/>
      </c>
      <c r="BF414" s="4" t="str">
        <f t="shared" si="89"/>
        <v/>
      </c>
      <c r="BG414" s="4" t="str">
        <f t="shared" si="89"/>
        <v/>
      </c>
      <c r="BH414" s="4" t="str">
        <f t="shared" si="89"/>
        <v/>
      </c>
      <c r="BI414" s="5" t="str">
        <f t="shared" si="89"/>
        <v/>
      </c>
    </row>
    <row r="415" spans="1:61" x14ac:dyDescent="0.25">
      <c r="A415">
        <v>591744</v>
      </c>
      <c r="B415" t="s">
        <v>14</v>
      </c>
      <c r="C415" t="s">
        <v>16</v>
      </c>
      <c r="D415">
        <v>63653</v>
      </c>
      <c r="E415">
        <v>1171</v>
      </c>
      <c r="F415">
        <v>5</v>
      </c>
      <c r="G415">
        <v>20134</v>
      </c>
      <c r="H415" t="s">
        <v>18</v>
      </c>
      <c r="I415">
        <v>10236.333000000001</v>
      </c>
      <c r="J415">
        <v>353</v>
      </c>
      <c r="K415">
        <v>99491.82</v>
      </c>
      <c r="L415">
        <v>98704.6</v>
      </c>
      <c r="M415">
        <v>787.22</v>
      </c>
      <c r="N415" s="3" t="str">
        <f t="shared" si="90"/>
        <v/>
      </c>
      <c r="O415" s="4" t="str">
        <f t="shared" si="90"/>
        <v/>
      </c>
      <c r="P415" s="4" t="str">
        <f t="shared" si="90"/>
        <v/>
      </c>
      <c r="Q415" s="4" t="str">
        <f t="shared" si="90"/>
        <v/>
      </c>
      <c r="R415" s="4" t="str">
        <f t="shared" si="90"/>
        <v/>
      </c>
      <c r="S415" s="4" t="str">
        <f t="shared" si="90"/>
        <v/>
      </c>
      <c r="T415" s="4" t="str">
        <f t="shared" si="90"/>
        <v/>
      </c>
      <c r="U415" s="4" t="str">
        <f t="shared" si="90"/>
        <v/>
      </c>
      <c r="V415" s="4" t="str">
        <f t="shared" si="82"/>
        <v/>
      </c>
      <c r="W415" s="4" t="str">
        <f t="shared" si="87"/>
        <v/>
      </c>
      <c r="X415" s="4" t="str">
        <f t="shared" ref="W415:AC451" si="93">IF(AND($B415=X$3, $G415=X$2, LEFT($H415, 6)=X$1), 1, "")</f>
        <v/>
      </c>
      <c r="Y415" s="4" t="str">
        <f t="shared" si="93"/>
        <v/>
      </c>
      <c r="Z415" s="4" t="str">
        <f t="shared" si="93"/>
        <v/>
      </c>
      <c r="AA415" s="4" t="str">
        <f t="shared" si="93"/>
        <v/>
      </c>
      <c r="AB415" s="4" t="str">
        <f t="shared" si="93"/>
        <v/>
      </c>
      <c r="AC415" s="5" t="str">
        <f t="shared" si="93"/>
        <v/>
      </c>
      <c r="AD415" s="3" t="str">
        <f t="shared" si="91"/>
        <v/>
      </c>
      <c r="AE415" s="4" t="str">
        <f t="shared" si="91"/>
        <v/>
      </c>
      <c r="AF415" s="4" t="str">
        <f t="shared" si="91"/>
        <v/>
      </c>
      <c r="AG415" s="4" t="str">
        <f t="shared" si="91"/>
        <v/>
      </c>
      <c r="AH415" s="4" t="str">
        <f t="shared" si="91"/>
        <v/>
      </c>
      <c r="AI415" s="4" t="str">
        <f t="shared" si="91"/>
        <v/>
      </c>
      <c r="AJ415" s="4" t="str">
        <f t="shared" si="91"/>
        <v/>
      </c>
      <c r="AK415" s="4" t="str">
        <f t="shared" si="91"/>
        <v/>
      </c>
      <c r="AL415" s="4" t="str">
        <f t="shared" si="84"/>
        <v/>
      </c>
      <c r="AM415" s="4" t="str">
        <f t="shared" si="88"/>
        <v/>
      </c>
      <c r="AN415" s="4" t="str">
        <f t="shared" ref="AM415:AS451" si="94">IF(AND($B415=AN$3, $G415=AN$2, LEFT($H415, 6)=AN$1), 1, "")</f>
        <v/>
      </c>
      <c r="AO415" s="4" t="str">
        <f t="shared" si="94"/>
        <v/>
      </c>
      <c r="AP415" s="4" t="str">
        <f t="shared" si="94"/>
        <v/>
      </c>
      <c r="AQ415" s="4" t="str">
        <f t="shared" si="94"/>
        <v/>
      </c>
      <c r="AR415" s="4" t="str">
        <f t="shared" si="94"/>
        <v/>
      </c>
      <c r="AS415" s="5" t="str">
        <f t="shared" si="94"/>
        <v/>
      </c>
      <c r="AT415" s="3" t="str">
        <f t="shared" si="92"/>
        <v/>
      </c>
      <c r="AU415" s="4" t="str">
        <f t="shared" si="92"/>
        <v/>
      </c>
      <c r="AV415" s="4" t="str">
        <f t="shared" si="92"/>
        <v/>
      </c>
      <c r="AW415" s="4" t="str">
        <f t="shared" si="92"/>
        <v/>
      </c>
      <c r="AX415" s="4" t="str">
        <f t="shared" si="92"/>
        <v/>
      </c>
      <c r="AY415" s="4" t="str">
        <f t="shared" si="92"/>
        <v/>
      </c>
      <c r="AZ415" s="4" t="str">
        <f t="shared" si="92"/>
        <v/>
      </c>
      <c r="BA415" s="4" t="str">
        <f t="shared" si="92"/>
        <v/>
      </c>
      <c r="BB415" s="4" t="str">
        <f t="shared" si="86"/>
        <v/>
      </c>
      <c r="BC415" s="4" t="str">
        <f t="shared" si="89"/>
        <v/>
      </c>
      <c r="BD415" s="4" t="str">
        <f t="shared" ref="BC415:BI451" si="95">IF(AND($B415=BD$3, $G415=BD$2, LEFT($H415, 6)=BD$1), 1, "")</f>
        <v/>
      </c>
      <c r="BE415" s="4">
        <f t="shared" si="95"/>
        <v>1</v>
      </c>
      <c r="BF415" s="4" t="str">
        <f t="shared" si="95"/>
        <v/>
      </c>
      <c r="BG415" s="4" t="str">
        <f t="shared" si="95"/>
        <v/>
      </c>
      <c r="BH415" s="4" t="str">
        <f t="shared" si="95"/>
        <v/>
      </c>
      <c r="BI415" s="5" t="str">
        <f t="shared" si="95"/>
        <v/>
      </c>
    </row>
    <row r="416" spans="1:61" x14ac:dyDescent="0.25">
      <c r="A416">
        <v>591745</v>
      </c>
      <c r="B416" t="s">
        <v>14</v>
      </c>
      <c r="C416" t="s">
        <v>16</v>
      </c>
      <c r="D416">
        <v>63653</v>
      </c>
      <c r="E416">
        <v>1171</v>
      </c>
      <c r="F416">
        <v>6</v>
      </c>
      <c r="G416">
        <v>20131</v>
      </c>
      <c r="H416" t="s">
        <v>18</v>
      </c>
      <c r="I416">
        <v>80745</v>
      </c>
      <c r="J416">
        <v>2473</v>
      </c>
      <c r="K416">
        <v>527792.34</v>
      </c>
      <c r="L416">
        <v>520172.04</v>
      </c>
      <c r="M416">
        <v>7620.3</v>
      </c>
      <c r="N416" s="3" t="str">
        <f t="shared" si="90"/>
        <v/>
      </c>
      <c r="O416" s="4" t="str">
        <f t="shared" si="90"/>
        <v/>
      </c>
      <c r="P416" s="4" t="str">
        <f t="shared" si="90"/>
        <v/>
      </c>
      <c r="Q416" s="4" t="str">
        <f t="shared" si="90"/>
        <v/>
      </c>
      <c r="R416" s="4" t="str">
        <f t="shared" si="90"/>
        <v/>
      </c>
      <c r="S416" s="4" t="str">
        <f t="shared" si="90"/>
        <v/>
      </c>
      <c r="T416" s="4" t="str">
        <f t="shared" si="90"/>
        <v/>
      </c>
      <c r="U416" s="4" t="str">
        <f t="shared" si="90"/>
        <v/>
      </c>
      <c r="V416" s="4" t="str">
        <f t="shared" si="82"/>
        <v/>
      </c>
      <c r="W416" s="4" t="str">
        <f t="shared" si="93"/>
        <v/>
      </c>
      <c r="X416" s="4" t="str">
        <f t="shared" si="93"/>
        <v/>
      </c>
      <c r="Y416" s="4" t="str">
        <f t="shared" si="93"/>
        <v/>
      </c>
      <c r="Z416" s="4" t="str">
        <f t="shared" si="93"/>
        <v/>
      </c>
      <c r="AA416" s="4" t="str">
        <f t="shared" si="93"/>
        <v/>
      </c>
      <c r="AB416" s="4" t="str">
        <f t="shared" si="93"/>
        <v/>
      </c>
      <c r="AC416" s="5" t="str">
        <f t="shared" si="93"/>
        <v/>
      </c>
      <c r="AD416" s="3" t="str">
        <f t="shared" si="91"/>
        <v/>
      </c>
      <c r="AE416" s="4" t="str">
        <f t="shared" si="91"/>
        <v/>
      </c>
      <c r="AF416" s="4" t="str">
        <f t="shared" si="91"/>
        <v/>
      </c>
      <c r="AG416" s="4" t="str">
        <f t="shared" si="91"/>
        <v/>
      </c>
      <c r="AH416" s="4" t="str">
        <f t="shared" si="91"/>
        <v/>
      </c>
      <c r="AI416" s="4" t="str">
        <f t="shared" si="91"/>
        <v/>
      </c>
      <c r="AJ416" s="4" t="str">
        <f t="shared" si="91"/>
        <v/>
      </c>
      <c r="AK416" s="4" t="str">
        <f t="shared" si="91"/>
        <v/>
      </c>
      <c r="AL416" s="4" t="str">
        <f t="shared" si="84"/>
        <v/>
      </c>
      <c r="AM416" s="4" t="str">
        <f t="shared" si="94"/>
        <v/>
      </c>
      <c r="AN416" s="4" t="str">
        <f t="shared" si="94"/>
        <v/>
      </c>
      <c r="AO416" s="4" t="str">
        <f t="shared" si="94"/>
        <v/>
      </c>
      <c r="AP416" s="4" t="str">
        <f t="shared" si="94"/>
        <v/>
      </c>
      <c r="AQ416" s="4" t="str">
        <f t="shared" si="94"/>
        <v/>
      </c>
      <c r="AR416" s="4" t="str">
        <f t="shared" si="94"/>
        <v/>
      </c>
      <c r="AS416" s="5" t="str">
        <f t="shared" si="94"/>
        <v/>
      </c>
      <c r="AT416" s="3" t="str">
        <f t="shared" si="92"/>
        <v/>
      </c>
      <c r="AU416" s="4" t="str">
        <f t="shared" si="92"/>
        <v/>
      </c>
      <c r="AV416" s="4" t="str">
        <f t="shared" si="92"/>
        <v/>
      </c>
      <c r="AW416" s="4" t="str">
        <f t="shared" si="92"/>
        <v/>
      </c>
      <c r="AX416" s="4" t="str">
        <f t="shared" si="92"/>
        <v/>
      </c>
      <c r="AY416" s="4" t="str">
        <f t="shared" si="92"/>
        <v/>
      </c>
      <c r="AZ416" s="4" t="str">
        <f t="shared" si="92"/>
        <v/>
      </c>
      <c r="BA416" s="4" t="str">
        <f t="shared" si="92"/>
        <v/>
      </c>
      <c r="BB416" s="4">
        <f t="shared" si="86"/>
        <v>1</v>
      </c>
      <c r="BC416" s="4" t="str">
        <f t="shared" si="95"/>
        <v/>
      </c>
      <c r="BD416" s="4" t="str">
        <f t="shared" si="95"/>
        <v/>
      </c>
      <c r="BE416" s="4" t="str">
        <f t="shared" si="95"/>
        <v/>
      </c>
      <c r="BF416" s="4" t="str">
        <f t="shared" si="95"/>
        <v/>
      </c>
      <c r="BG416" s="4" t="str">
        <f t="shared" si="95"/>
        <v/>
      </c>
      <c r="BH416" s="4" t="str">
        <f t="shared" si="95"/>
        <v/>
      </c>
      <c r="BI416" s="5" t="str">
        <f t="shared" si="95"/>
        <v/>
      </c>
    </row>
    <row r="417" spans="1:61" x14ac:dyDescent="0.25">
      <c r="A417">
        <v>591746</v>
      </c>
      <c r="B417" t="s">
        <v>14</v>
      </c>
      <c r="C417" t="s">
        <v>16</v>
      </c>
      <c r="D417">
        <v>63653</v>
      </c>
      <c r="E417">
        <v>1171</v>
      </c>
      <c r="F417">
        <v>6</v>
      </c>
      <c r="G417">
        <v>20132</v>
      </c>
      <c r="H417" t="s">
        <v>18</v>
      </c>
      <c r="I417">
        <v>97405</v>
      </c>
      <c r="J417">
        <v>3216</v>
      </c>
      <c r="K417">
        <v>630343.73</v>
      </c>
      <c r="L417">
        <v>624137.11</v>
      </c>
      <c r="M417">
        <v>6206.62</v>
      </c>
      <c r="N417" s="3" t="str">
        <f t="shared" si="90"/>
        <v/>
      </c>
      <c r="O417" s="4" t="str">
        <f t="shared" si="90"/>
        <v/>
      </c>
      <c r="P417" s="4" t="str">
        <f t="shared" si="90"/>
        <v/>
      </c>
      <c r="Q417" s="4" t="str">
        <f t="shared" si="90"/>
        <v/>
      </c>
      <c r="R417" s="4" t="str">
        <f t="shared" si="90"/>
        <v/>
      </c>
      <c r="S417" s="4" t="str">
        <f t="shared" si="90"/>
        <v/>
      </c>
      <c r="T417" s="4" t="str">
        <f t="shared" si="90"/>
        <v/>
      </c>
      <c r="U417" s="4" t="str">
        <f t="shared" si="90"/>
        <v/>
      </c>
      <c r="V417" s="4" t="str">
        <f t="shared" si="82"/>
        <v/>
      </c>
      <c r="W417" s="4" t="str">
        <f t="shared" si="93"/>
        <v/>
      </c>
      <c r="X417" s="4" t="str">
        <f t="shared" si="93"/>
        <v/>
      </c>
      <c r="Y417" s="4" t="str">
        <f t="shared" si="93"/>
        <v/>
      </c>
      <c r="Z417" s="4" t="str">
        <f t="shared" si="93"/>
        <v/>
      </c>
      <c r="AA417" s="4" t="str">
        <f t="shared" si="93"/>
        <v/>
      </c>
      <c r="AB417" s="4" t="str">
        <f t="shared" si="93"/>
        <v/>
      </c>
      <c r="AC417" s="5" t="str">
        <f t="shared" si="93"/>
        <v/>
      </c>
      <c r="AD417" s="3" t="str">
        <f t="shared" si="91"/>
        <v/>
      </c>
      <c r="AE417" s="4" t="str">
        <f t="shared" si="91"/>
        <v/>
      </c>
      <c r="AF417" s="4" t="str">
        <f t="shared" si="91"/>
        <v/>
      </c>
      <c r="AG417" s="4" t="str">
        <f t="shared" si="91"/>
        <v/>
      </c>
      <c r="AH417" s="4" t="str">
        <f t="shared" si="91"/>
        <v/>
      </c>
      <c r="AI417" s="4" t="str">
        <f t="shared" si="91"/>
        <v/>
      </c>
      <c r="AJ417" s="4" t="str">
        <f t="shared" si="91"/>
        <v/>
      </c>
      <c r="AK417" s="4" t="str">
        <f t="shared" si="91"/>
        <v/>
      </c>
      <c r="AL417" s="4" t="str">
        <f t="shared" si="84"/>
        <v/>
      </c>
      <c r="AM417" s="4" t="str">
        <f t="shared" si="94"/>
        <v/>
      </c>
      <c r="AN417" s="4" t="str">
        <f t="shared" si="94"/>
        <v/>
      </c>
      <c r="AO417" s="4" t="str">
        <f t="shared" si="94"/>
        <v/>
      </c>
      <c r="AP417" s="4" t="str">
        <f t="shared" si="94"/>
        <v/>
      </c>
      <c r="AQ417" s="4" t="str">
        <f t="shared" si="94"/>
        <v/>
      </c>
      <c r="AR417" s="4" t="str">
        <f t="shared" si="94"/>
        <v/>
      </c>
      <c r="AS417" s="5" t="str">
        <f t="shared" si="94"/>
        <v/>
      </c>
      <c r="AT417" s="3" t="str">
        <f t="shared" si="92"/>
        <v/>
      </c>
      <c r="AU417" s="4" t="str">
        <f t="shared" si="92"/>
        <v/>
      </c>
      <c r="AV417" s="4" t="str">
        <f t="shared" si="92"/>
        <v/>
      </c>
      <c r="AW417" s="4" t="str">
        <f t="shared" si="92"/>
        <v/>
      </c>
      <c r="AX417" s="4" t="str">
        <f t="shared" si="92"/>
        <v/>
      </c>
      <c r="AY417" s="4" t="str">
        <f t="shared" si="92"/>
        <v/>
      </c>
      <c r="AZ417" s="4" t="str">
        <f t="shared" si="92"/>
        <v/>
      </c>
      <c r="BA417" s="4" t="str">
        <f t="shared" si="92"/>
        <v/>
      </c>
      <c r="BB417" s="4" t="str">
        <f t="shared" si="86"/>
        <v/>
      </c>
      <c r="BC417" s="4">
        <f t="shared" si="95"/>
        <v>1</v>
      </c>
      <c r="BD417" s="4" t="str">
        <f t="shared" si="95"/>
        <v/>
      </c>
      <c r="BE417" s="4" t="str">
        <f t="shared" si="95"/>
        <v/>
      </c>
      <c r="BF417" s="4" t="str">
        <f t="shared" si="95"/>
        <v/>
      </c>
      <c r="BG417" s="4" t="str">
        <f t="shared" si="95"/>
        <v/>
      </c>
      <c r="BH417" s="4" t="str">
        <f t="shared" si="95"/>
        <v/>
      </c>
      <c r="BI417" s="5" t="str">
        <f t="shared" si="95"/>
        <v/>
      </c>
    </row>
    <row r="418" spans="1:61" x14ac:dyDescent="0.25">
      <c r="A418">
        <v>591747</v>
      </c>
      <c r="B418" t="s">
        <v>14</v>
      </c>
      <c r="C418" t="s">
        <v>16</v>
      </c>
      <c r="D418">
        <v>63653</v>
      </c>
      <c r="E418">
        <v>1171</v>
      </c>
      <c r="F418">
        <v>6</v>
      </c>
      <c r="G418">
        <v>20133</v>
      </c>
      <c r="H418" t="s">
        <v>18</v>
      </c>
      <c r="I418">
        <v>74699</v>
      </c>
      <c r="J418">
        <v>2286</v>
      </c>
      <c r="K418">
        <v>488312.52</v>
      </c>
      <c r="L418">
        <v>485377.06</v>
      </c>
      <c r="M418">
        <v>2935.46</v>
      </c>
      <c r="N418" s="3" t="str">
        <f t="shared" si="90"/>
        <v/>
      </c>
      <c r="O418" s="4" t="str">
        <f t="shared" si="90"/>
        <v/>
      </c>
      <c r="P418" s="4" t="str">
        <f t="shared" si="90"/>
        <v/>
      </c>
      <c r="Q418" s="4" t="str">
        <f t="shared" si="90"/>
        <v/>
      </c>
      <c r="R418" s="4" t="str">
        <f t="shared" si="90"/>
        <v/>
      </c>
      <c r="S418" s="4" t="str">
        <f t="shared" si="90"/>
        <v/>
      </c>
      <c r="T418" s="4" t="str">
        <f t="shared" si="90"/>
        <v/>
      </c>
      <c r="U418" s="4" t="str">
        <f t="shared" si="90"/>
        <v/>
      </c>
      <c r="V418" s="4" t="str">
        <f t="shared" si="82"/>
        <v/>
      </c>
      <c r="W418" s="4" t="str">
        <f t="shared" si="93"/>
        <v/>
      </c>
      <c r="X418" s="4" t="str">
        <f t="shared" si="93"/>
        <v/>
      </c>
      <c r="Y418" s="4" t="str">
        <f t="shared" si="93"/>
        <v/>
      </c>
      <c r="Z418" s="4" t="str">
        <f t="shared" si="93"/>
        <v/>
      </c>
      <c r="AA418" s="4" t="str">
        <f t="shared" si="93"/>
        <v/>
      </c>
      <c r="AB418" s="4" t="str">
        <f t="shared" si="93"/>
        <v/>
      </c>
      <c r="AC418" s="5" t="str">
        <f t="shared" si="93"/>
        <v/>
      </c>
      <c r="AD418" s="3" t="str">
        <f t="shared" si="91"/>
        <v/>
      </c>
      <c r="AE418" s="4" t="str">
        <f t="shared" si="91"/>
        <v/>
      </c>
      <c r="AF418" s="4" t="str">
        <f t="shared" si="91"/>
        <v/>
      </c>
      <c r="AG418" s="4" t="str">
        <f t="shared" si="91"/>
        <v/>
      </c>
      <c r="AH418" s="4" t="str">
        <f t="shared" si="91"/>
        <v/>
      </c>
      <c r="AI418" s="4" t="str">
        <f t="shared" si="91"/>
        <v/>
      </c>
      <c r="AJ418" s="4" t="str">
        <f t="shared" si="91"/>
        <v/>
      </c>
      <c r="AK418" s="4" t="str">
        <f t="shared" si="91"/>
        <v/>
      </c>
      <c r="AL418" s="4" t="str">
        <f t="shared" si="84"/>
        <v/>
      </c>
      <c r="AM418" s="4" t="str">
        <f t="shared" si="94"/>
        <v/>
      </c>
      <c r="AN418" s="4" t="str">
        <f t="shared" si="94"/>
        <v/>
      </c>
      <c r="AO418" s="4" t="str">
        <f t="shared" si="94"/>
        <v/>
      </c>
      <c r="AP418" s="4" t="str">
        <f t="shared" si="94"/>
        <v/>
      </c>
      <c r="AQ418" s="4" t="str">
        <f t="shared" si="94"/>
        <v/>
      </c>
      <c r="AR418" s="4" t="str">
        <f t="shared" si="94"/>
        <v/>
      </c>
      <c r="AS418" s="5" t="str">
        <f t="shared" si="94"/>
        <v/>
      </c>
      <c r="AT418" s="3" t="str">
        <f t="shared" si="92"/>
        <v/>
      </c>
      <c r="AU418" s="4" t="str">
        <f t="shared" si="92"/>
        <v/>
      </c>
      <c r="AV418" s="4" t="str">
        <f t="shared" si="92"/>
        <v/>
      </c>
      <c r="AW418" s="4" t="str">
        <f t="shared" si="92"/>
        <v/>
      </c>
      <c r="AX418" s="4" t="str">
        <f t="shared" si="92"/>
        <v/>
      </c>
      <c r="AY418" s="4" t="str">
        <f t="shared" si="92"/>
        <v/>
      </c>
      <c r="AZ418" s="4" t="str">
        <f t="shared" si="92"/>
        <v/>
      </c>
      <c r="BA418" s="4" t="str">
        <f t="shared" si="92"/>
        <v/>
      </c>
      <c r="BB418" s="4" t="str">
        <f t="shared" si="86"/>
        <v/>
      </c>
      <c r="BC418" s="4" t="str">
        <f t="shared" si="95"/>
        <v/>
      </c>
      <c r="BD418" s="4">
        <f t="shared" si="95"/>
        <v>1</v>
      </c>
      <c r="BE418" s="4" t="str">
        <f t="shared" si="95"/>
        <v/>
      </c>
      <c r="BF418" s="4" t="str">
        <f t="shared" si="95"/>
        <v/>
      </c>
      <c r="BG418" s="4" t="str">
        <f t="shared" si="95"/>
        <v/>
      </c>
      <c r="BH418" s="4" t="str">
        <f t="shared" si="95"/>
        <v/>
      </c>
      <c r="BI418" s="5" t="str">
        <f t="shared" si="95"/>
        <v/>
      </c>
    </row>
    <row r="419" spans="1:61" x14ac:dyDescent="0.25">
      <c r="A419">
        <v>591748</v>
      </c>
      <c r="B419" t="s">
        <v>14</v>
      </c>
      <c r="C419" t="s">
        <v>16</v>
      </c>
      <c r="D419">
        <v>63653</v>
      </c>
      <c r="E419">
        <v>1171</v>
      </c>
      <c r="F419">
        <v>6</v>
      </c>
      <c r="G419">
        <v>20134</v>
      </c>
      <c r="H419" t="s">
        <v>18</v>
      </c>
      <c r="I419">
        <v>54468</v>
      </c>
      <c r="J419">
        <v>1671</v>
      </c>
      <c r="K419">
        <v>354703.04</v>
      </c>
      <c r="L419">
        <v>350988.79999999999</v>
      </c>
      <c r="M419">
        <v>3714.24</v>
      </c>
      <c r="N419" s="3" t="str">
        <f t="shared" si="90"/>
        <v/>
      </c>
      <c r="O419" s="4" t="str">
        <f t="shared" si="90"/>
        <v/>
      </c>
      <c r="P419" s="4" t="str">
        <f t="shared" si="90"/>
        <v/>
      </c>
      <c r="Q419" s="4" t="str">
        <f t="shared" si="90"/>
        <v/>
      </c>
      <c r="R419" s="4" t="str">
        <f t="shared" si="90"/>
        <v/>
      </c>
      <c r="S419" s="4" t="str">
        <f t="shared" si="90"/>
        <v/>
      </c>
      <c r="T419" s="4" t="str">
        <f t="shared" si="90"/>
        <v/>
      </c>
      <c r="U419" s="4" t="str">
        <f t="shared" si="90"/>
        <v/>
      </c>
      <c r="V419" s="4" t="str">
        <f t="shared" si="82"/>
        <v/>
      </c>
      <c r="W419" s="4" t="str">
        <f t="shared" si="93"/>
        <v/>
      </c>
      <c r="X419" s="4" t="str">
        <f t="shared" si="93"/>
        <v/>
      </c>
      <c r="Y419" s="4" t="str">
        <f t="shared" si="93"/>
        <v/>
      </c>
      <c r="Z419" s="4" t="str">
        <f t="shared" si="93"/>
        <v/>
      </c>
      <c r="AA419" s="4" t="str">
        <f t="shared" si="93"/>
        <v/>
      </c>
      <c r="AB419" s="4" t="str">
        <f t="shared" si="93"/>
        <v/>
      </c>
      <c r="AC419" s="5" t="str">
        <f t="shared" si="93"/>
        <v/>
      </c>
      <c r="AD419" s="3" t="str">
        <f t="shared" si="91"/>
        <v/>
      </c>
      <c r="AE419" s="4" t="str">
        <f t="shared" si="91"/>
        <v/>
      </c>
      <c r="AF419" s="4" t="str">
        <f t="shared" si="91"/>
        <v/>
      </c>
      <c r="AG419" s="4" t="str">
        <f t="shared" si="91"/>
        <v/>
      </c>
      <c r="AH419" s="4" t="str">
        <f t="shared" si="91"/>
        <v/>
      </c>
      <c r="AI419" s="4" t="str">
        <f t="shared" si="91"/>
        <v/>
      </c>
      <c r="AJ419" s="4" t="str">
        <f t="shared" si="91"/>
        <v/>
      </c>
      <c r="AK419" s="4" t="str">
        <f t="shared" si="91"/>
        <v/>
      </c>
      <c r="AL419" s="4" t="str">
        <f t="shared" si="84"/>
        <v/>
      </c>
      <c r="AM419" s="4" t="str">
        <f t="shared" si="94"/>
        <v/>
      </c>
      <c r="AN419" s="4" t="str">
        <f t="shared" si="94"/>
        <v/>
      </c>
      <c r="AO419" s="4" t="str">
        <f t="shared" si="94"/>
        <v/>
      </c>
      <c r="AP419" s="4" t="str">
        <f t="shared" si="94"/>
        <v/>
      </c>
      <c r="AQ419" s="4" t="str">
        <f t="shared" si="94"/>
        <v/>
      </c>
      <c r="AR419" s="4" t="str">
        <f t="shared" si="94"/>
        <v/>
      </c>
      <c r="AS419" s="5" t="str">
        <f t="shared" si="94"/>
        <v/>
      </c>
      <c r="AT419" s="3" t="str">
        <f t="shared" si="92"/>
        <v/>
      </c>
      <c r="AU419" s="4" t="str">
        <f t="shared" si="92"/>
        <v/>
      </c>
      <c r="AV419" s="4" t="str">
        <f t="shared" si="92"/>
        <v/>
      </c>
      <c r="AW419" s="4" t="str">
        <f t="shared" si="92"/>
        <v/>
      </c>
      <c r="AX419" s="4" t="str">
        <f t="shared" si="92"/>
        <v/>
      </c>
      <c r="AY419" s="4" t="str">
        <f t="shared" si="92"/>
        <v/>
      </c>
      <c r="AZ419" s="4" t="str">
        <f t="shared" si="92"/>
        <v/>
      </c>
      <c r="BA419" s="4" t="str">
        <f t="shared" si="92"/>
        <v/>
      </c>
      <c r="BB419" s="4" t="str">
        <f t="shared" si="86"/>
        <v/>
      </c>
      <c r="BC419" s="4" t="str">
        <f t="shared" si="95"/>
        <v/>
      </c>
      <c r="BD419" s="4" t="str">
        <f t="shared" si="95"/>
        <v/>
      </c>
      <c r="BE419" s="4">
        <f t="shared" si="95"/>
        <v>1</v>
      </c>
      <c r="BF419" s="4" t="str">
        <f t="shared" si="95"/>
        <v/>
      </c>
      <c r="BG419" s="4" t="str">
        <f t="shared" si="95"/>
        <v/>
      </c>
      <c r="BH419" s="4" t="str">
        <f t="shared" si="95"/>
        <v/>
      </c>
      <c r="BI419" s="5" t="str">
        <f t="shared" si="95"/>
        <v/>
      </c>
    </row>
    <row r="420" spans="1:61" x14ac:dyDescent="0.25">
      <c r="A420">
        <v>718458</v>
      </c>
      <c r="B420" t="s">
        <v>15</v>
      </c>
      <c r="C420" t="s">
        <v>16</v>
      </c>
      <c r="D420">
        <v>63653</v>
      </c>
      <c r="E420">
        <v>1171</v>
      </c>
      <c r="F420">
        <v>1</v>
      </c>
      <c r="G420">
        <v>20131</v>
      </c>
      <c r="H420" t="s">
        <v>18</v>
      </c>
      <c r="I420">
        <v>64001.25</v>
      </c>
      <c r="J420">
        <v>1845</v>
      </c>
      <c r="K420">
        <v>345310.99</v>
      </c>
      <c r="L420">
        <v>341878.76</v>
      </c>
      <c r="M420">
        <v>3432.23</v>
      </c>
      <c r="N420" s="3" t="str">
        <f t="shared" si="90"/>
        <v/>
      </c>
      <c r="O420" s="4" t="str">
        <f t="shared" si="90"/>
        <v/>
      </c>
      <c r="P420" s="4" t="str">
        <f t="shared" si="90"/>
        <v/>
      </c>
      <c r="Q420" s="4" t="str">
        <f t="shared" si="90"/>
        <v/>
      </c>
      <c r="R420" s="4" t="str">
        <f t="shared" si="90"/>
        <v/>
      </c>
      <c r="S420" s="4" t="str">
        <f t="shared" si="90"/>
        <v/>
      </c>
      <c r="T420" s="4" t="str">
        <f t="shared" si="90"/>
        <v/>
      </c>
      <c r="U420" s="4" t="str">
        <f t="shared" si="90"/>
        <v/>
      </c>
      <c r="V420" s="4" t="str">
        <f t="shared" si="82"/>
        <v/>
      </c>
      <c r="W420" s="4" t="str">
        <f t="shared" si="93"/>
        <v/>
      </c>
      <c r="X420" s="4" t="str">
        <f t="shared" si="93"/>
        <v/>
      </c>
      <c r="Y420" s="4" t="str">
        <f t="shared" si="93"/>
        <v/>
      </c>
      <c r="Z420" s="4" t="str">
        <f t="shared" si="93"/>
        <v/>
      </c>
      <c r="AA420" s="4" t="str">
        <f t="shared" si="93"/>
        <v/>
      </c>
      <c r="AB420" s="4" t="str">
        <f t="shared" si="93"/>
        <v/>
      </c>
      <c r="AC420" s="5" t="str">
        <f t="shared" si="93"/>
        <v/>
      </c>
      <c r="AD420" s="3" t="str">
        <f t="shared" si="91"/>
        <v/>
      </c>
      <c r="AE420" s="4" t="str">
        <f t="shared" si="91"/>
        <v/>
      </c>
      <c r="AF420" s="4" t="str">
        <f t="shared" si="91"/>
        <v/>
      </c>
      <c r="AG420" s="4" t="str">
        <f t="shared" si="91"/>
        <v/>
      </c>
      <c r="AH420" s="4" t="str">
        <f t="shared" si="91"/>
        <v/>
      </c>
      <c r="AI420" s="4" t="str">
        <f t="shared" si="91"/>
        <v/>
      </c>
      <c r="AJ420" s="4" t="str">
        <f t="shared" si="91"/>
        <v/>
      </c>
      <c r="AK420" s="4" t="str">
        <f t="shared" si="91"/>
        <v/>
      </c>
      <c r="AL420" s="4" t="str">
        <f t="shared" si="84"/>
        <v/>
      </c>
      <c r="AM420" s="4" t="str">
        <f t="shared" si="94"/>
        <v/>
      </c>
      <c r="AN420" s="4" t="str">
        <f t="shared" si="94"/>
        <v/>
      </c>
      <c r="AO420" s="4" t="str">
        <f t="shared" si="94"/>
        <v/>
      </c>
      <c r="AP420" s="4" t="str">
        <f t="shared" si="94"/>
        <v/>
      </c>
      <c r="AQ420" s="4" t="str">
        <f t="shared" si="94"/>
        <v/>
      </c>
      <c r="AR420" s="4" t="str">
        <f t="shared" si="94"/>
        <v/>
      </c>
      <c r="AS420" s="5" t="str">
        <f t="shared" si="94"/>
        <v/>
      </c>
      <c r="AT420" s="3" t="str">
        <f t="shared" si="92"/>
        <v/>
      </c>
      <c r="AU420" s="4" t="str">
        <f t="shared" si="92"/>
        <v/>
      </c>
      <c r="AV420" s="4" t="str">
        <f t="shared" si="92"/>
        <v/>
      </c>
      <c r="AW420" s="4" t="str">
        <f t="shared" si="92"/>
        <v/>
      </c>
      <c r="AX420" s="4" t="str">
        <f t="shared" si="92"/>
        <v/>
      </c>
      <c r="AY420" s="4" t="str">
        <f t="shared" si="92"/>
        <v/>
      </c>
      <c r="AZ420" s="4" t="str">
        <f t="shared" si="92"/>
        <v/>
      </c>
      <c r="BA420" s="4" t="str">
        <f t="shared" si="92"/>
        <v/>
      </c>
      <c r="BB420" s="4" t="str">
        <f t="shared" si="86"/>
        <v/>
      </c>
      <c r="BC420" s="4" t="str">
        <f t="shared" si="95"/>
        <v/>
      </c>
      <c r="BD420" s="4" t="str">
        <f t="shared" si="95"/>
        <v/>
      </c>
      <c r="BE420" s="4" t="str">
        <f t="shared" si="95"/>
        <v/>
      </c>
      <c r="BF420" s="4">
        <f t="shared" si="95"/>
        <v>1</v>
      </c>
      <c r="BG420" s="4" t="str">
        <f t="shared" si="95"/>
        <v/>
      </c>
      <c r="BH420" s="4" t="str">
        <f t="shared" si="95"/>
        <v/>
      </c>
      <c r="BI420" s="5" t="str">
        <f t="shared" si="95"/>
        <v/>
      </c>
    </row>
    <row r="421" spans="1:61" x14ac:dyDescent="0.25">
      <c r="A421">
        <v>718459</v>
      </c>
      <c r="B421" t="s">
        <v>15</v>
      </c>
      <c r="C421" t="s">
        <v>16</v>
      </c>
      <c r="D421">
        <v>63653</v>
      </c>
      <c r="E421">
        <v>1171</v>
      </c>
      <c r="F421">
        <v>1</v>
      </c>
      <c r="G421">
        <v>20132</v>
      </c>
      <c r="H421" t="s">
        <v>18</v>
      </c>
      <c r="I421">
        <v>35609</v>
      </c>
      <c r="J421">
        <v>1085</v>
      </c>
      <c r="K421">
        <v>229936.58</v>
      </c>
      <c r="L421">
        <v>204724.18</v>
      </c>
      <c r="M421">
        <v>25212.400000000001</v>
      </c>
      <c r="N421" s="3" t="str">
        <f t="shared" si="90"/>
        <v/>
      </c>
      <c r="O421" s="4" t="str">
        <f t="shared" si="90"/>
        <v/>
      </c>
      <c r="P421" s="4" t="str">
        <f t="shared" si="90"/>
        <v/>
      </c>
      <c r="Q421" s="4" t="str">
        <f t="shared" si="90"/>
        <v/>
      </c>
      <c r="R421" s="4" t="str">
        <f t="shared" si="90"/>
        <v/>
      </c>
      <c r="S421" s="4" t="str">
        <f t="shared" si="90"/>
        <v/>
      </c>
      <c r="T421" s="4" t="str">
        <f t="shared" si="90"/>
        <v/>
      </c>
      <c r="U421" s="4" t="str">
        <f t="shared" si="90"/>
        <v/>
      </c>
      <c r="V421" s="4" t="str">
        <f t="shared" si="82"/>
        <v/>
      </c>
      <c r="W421" s="4" t="str">
        <f t="shared" si="93"/>
        <v/>
      </c>
      <c r="X421" s="4" t="str">
        <f t="shared" si="93"/>
        <v/>
      </c>
      <c r="Y421" s="4" t="str">
        <f t="shared" si="93"/>
        <v/>
      </c>
      <c r="Z421" s="4" t="str">
        <f t="shared" si="93"/>
        <v/>
      </c>
      <c r="AA421" s="4" t="str">
        <f t="shared" si="93"/>
        <v/>
      </c>
      <c r="AB421" s="4" t="str">
        <f t="shared" si="93"/>
        <v/>
      </c>
      <c r="AC421" s="5" t="str">
        <f t="shared" si="93"/>
        <v/>
      </c>
      <c r="AD421" s="3" t="str">
        <f t="shared" si="91"/>
        <v/>
      </c>
      <c r="AE421" s="4" t="str">
        <f t="shared" si="91"/>
        <v/>
      </c>
      <c r="AF421" s="4" t="str">
        <f t="shared" si="91"/>
        <v/>
      </c>
      <c r="AG421" s="4" t="str">
        <f t="shared" si="91"/>
        <v/>
      </c>
      <c r="AH421" s="4" t="str">
        <f t="shared" si="91"/>
        <v/>
      </c>
      <c r="AI421" s="4" t="str">
        <f t="shared" si="91"/>
        <v/>
      </c>
      <c r="AJ421" s="4" t="str">
        <f t="shared" si="91"/>
        <v/>
      </c>
      <c r="AK421" s="4" t="str">
        <f t="shared" si="91"/>
        <v/>
      </c>
      <c r="AL421" s="4" t="str">
        <f t="shared" si="84"/>
        <v/>
      </c>
      <c r="AM421" s="4" t="str">
        <f t="shared" si="94"/>
        <v/>
      </c>
      <c r="AN421" s="4" t="str">
        <f t="shared" si="94"/>
        <v/>
      </c>
      <c r="AO421" s="4" t="str">
        <f t="shared" si="94"/>
        <v/>
      </c>
      <c r="AP421" s="4" t="str">
        <f t="shared" si="94"/>
        <v/>
      </c>
      <c r="AQ421" s="4" t="str">
        <f t="shared" si="94"/>
        <v/>
      </c>
      <c r="AR421" s="4" t="str">
        <f t="shared" si="94"/>
        <v/>
      </c>
      <c r="AS421" s="5" t="str">
        <f t="shared" si="94"/>
        <v/>
      </c>
      <c r="AT421" s="3" t="str">
        <f t="shared" si="92"/>
        <v/>
      </c>
      <c r="AU421" s="4" t="str">
        <f t="shared" si="92"/>
        <v/>
      </c>
      <c r="AV421" s="4" t="str">
        <f t="shared" si="92"/>
        <v/>
      </c>
      <c r="AW421" s="4" t="str">
        <f t="shared" si="92"/>
        <v/>
      </c>
      <c r="AX421" s="4" t="str">
        <f t="shared" si="92"/>
        <v/>
      </c>
      <c r="AY421" s="4" t="str">
        <f t="shared" si="92"/>
        <v/>
      </c>
      <c r="AZ421" s="4" t="str">
        <f t="shared" si="92"/>
        <v/>
      </c>
      <c r="BA421" s="4" t="str">
        <f t="shared" si="92"/>
        <v/>
      </c>
      <c r="BB421" s="4" t="str">
        <f t="shared" si="86"/>
        <v/>
      </c>
      <c r="BC421" s="4" t="str">
        <f t="shared" si="95"/>
        <v/>
      </c>
      <c r="BD421" s="4" t="str">
        <f t="shared" si="95"/>
        <v/>
      </c>
      <c r="BE421" s="4" t="str">
        <f t="shared" si="95"/>
        <v/>
      </c>
      <c r="BF421" s="4" t="str">
        <f t="shared" si="95"/>
        <v/>
      </c>
      <c r="BG421" s="4">
        <f t="shared" si="95"/>
        <v>1</v>
      </c>
      <c r="BH421" s="4" t="str">
        <f t="shared" si="95"/>
        <v/>
      </c>
      <c r="BI421" s="5" t="str">
        <f t="shared" si="95"/>
        <v/>
      </c>
    </row>
    <row r="422" spans="1:61" x14ac:dyDescent="0.25">
      <c r="A422">
        <v>718460</v>
      </c>
      <c r="B422" t="s">
        <v>15</v>
      </c>
      <c r="C422" t="s">
        <v>16</v>
      </c>
      <c r="D422">
        <v>63653</v>
      </c>
      <c r="E422">
        <v>1171</v>
      </c>
      <c r="F422">
        <v>1</v>
      </c>
      <c r="G422">
        <v>20133</v>
      </c>
      <c r="H422" t="s">
        <v>18</v>
      </c>
      <c r="I422">
        <v>26788.94</v>
      </c>
      <c r="J422">
        <v>893</v>
      </c>
      <c r="K422">
        <v>183741.94</v>
      </c>
      <c r="L422">
        <v>181577.03</v>
      </c>
      <c r="M422">
        <v>2164.91</v>
      </c>
      <c r="N422" s="3" t="str">
        <f t="shared" si="90"/>
        <v/>
      </c>
      <c r="O422" s="4" t="str">
        <f t="shared" si="90"/>
        <v/>
      </c>
      <c r="P422" s="4" t="str">
        <f t="shared" si="90"/>
        <v/>
      </c>
      <c r="Q422" s="4" t="str">
        <f t="shared" si="90"/>
        <v/>
      </c>
      <c r="R422" s="4" t="str">
        <f t="shared" si="90"/>
        <v/>
      </c>
      <c r="S422" s="4" t="str">
        <f t="shared" si="90"/>
        <v/>
      </c>
      <c r="T422" s="4" t="str">
        <f t="shared" si="90"/>
        <v/>
      </c>
      <c r="U422" s="4" t="str">
        <f t="shared" si="90"/>
        <v/>
      </c>
      <c r="V422" s="4" t="str">
        <f t="shared" si="82"/>
        <v/>
      </c>
      <c r="W422" s="4" t="str">
        <f t="shared" si="93"/>
        <v/>
      </c>
      <c r="X422" s="4" t="str">
        <f t="shared" si="93"/>
        <v/>
      </c>
      <c r="Y422" s="4" t="str">
        <f t="shared" si="93"/>
        <v/>
      </c>
      <c r="Z422" s="4" t="str">
        <f t="shared" si="93"/>
        <v/>
      </c>
      <c r="AA422" s="4" t="str">
        <f t="shared" si="93"/>
        <v/>
      </c>
      <c r="AB422" s="4" t="str">
        <f t="shared" si="93"/>
        <v/>
      </c>
      <c r="AC422" s="5" t="str">
        <f t="shared" si="93"/>
        <v/>
      </c>
      <c r="AD422" s="3" t="str">
        <f t="shared" si="91"/>
        <v/>
      </c>
      <c r="AE422" s="4" t="str">
        <f t="shared" si="91"/>
        <v/>
      </c>
      <c r="AF422" s="4" t="str">
        <f t="shared" si="91"/>
        <v/>
      </c>
      <c r="AG422" s="4" t="str">
        <f t="shared" si="91"/>
        <v/>
      </c>
      <c r="AH422" s="4" t="str">
        <f t="shared" si="91"/>
        <v/>
      </c>
      <c r="AI422" s="4" t="str">
        <f t="shared" si="91"/>
        <v/>
      </c>
      <c r="AJ422" s="4" t="str">
        <f t="shared" si="91"/>
        <v/>
      </c>
      <c r="AK422" s="4" t="str">
        <f t="shared" si="91"/>
        <v/>
      </c>
      <c r="AL422" s="4" t="str">
        <f t="shared" si="84"/>
        <v/>
      </c>
      <c r="AM422" s="4" t="str">
        <f t="shared" si="94"/>
        <v/>
      </c>
      <c r="AN422" s="4" t="str">
        <f t="shared" si="94"/>
        <v/>
      </c>
      <c r="AO422" s="4" t="str">
        <f t="shared" si="94"/>
        <v/>
      </c>
      <c r="AP422" s="4" t="str">
        <f t="shared" si="94"/>
        <v/>
      </c>
      <c r="AQ422" s="4" t="str">
        <f t="shared" si="94"/>
        <v/>
      </c>
      <c r="AR422" s="4" t="str">
        <f t="shared" si="94"/>
        <v/>
      </c>
      <c r="AS422" s="5" t="str">
        <f t="shared" si="94"/>
        <v/>
      </c>
      <c r="AT422" s="3" t="str">
        <f t="shared" si="92"/>
        <v/>
      </c>
      <c r="AU422" s="4" t="str">
        <f t="shared" si="92"/>
        <v/>
      </c>
      <c r="AV422" s="4" t="str">
        <f t="shared" si="92"/>
        <v/>
      </c>
      <c r="AW422" s="4" t="str">
        <f t="shared" si="92"/>
        <v/>
      </c>
      <c r="AX422" s="4" t="str">
        <f t="shared" si="92"/>
        <v/>
      </c>
      <c r="AY422" s="4" t="str">
        <f t="shared" si="92"/>
        <v/>
      </c>
      <c r="AZ422" s="4" t="str">
        <f t="shared" si="92"/>
        <v/>
      </c>
      <c r="BA422" s="4" t="str">
        <f t="shared" si="92"/>
        <v/>
      </c>
      <c r="BB422" s="4" t="str">
        <f t="shared" si="86"/>
        <v/>
      </c>
      <c r="BC422" s="4" t="str">
        <f t="shared" si="95"/>
        <v/>
      </c>
      <c r="BD422" s="4" t="str">
        <f t="shared" si="95"/>
        <v/>
      </c>
      <c r="BE422" s="4" t="str">
        <f t="shared" si="95"/>
        <v/>
      </c>
      <c r="BF422" s="4" t="str">
        <f t="shared" si="95"/>
        <v/>
      </c>
      <c r="BG422" s="4" t="str">
        <f t="shared" si="95"/>
        <v/>
      </c>
      <c r="BH422" s="4">
        <f t="shared" si="95"/>
        <v>1</v>
      </c>
      <c r="BI422" s="5" t="str">
        <f t="shared" si="95"/>
        <v/>
      </c>
    </row>
    <row r="423" spans="1:61" x14ac:dyDescent="0.25">
      <c r="A423">
        <v>718461</v>
      </c>
      <c r="B423" t="s">
        <v>15</v>
      </c>
      <c r="C423" t="s">
        <v>16</v>
      </c>
      <c r="D423">
        <v>63653</v>
      </c>
      <c r="E423">
        <v>1171</v>
      </c>
      <c r="F423">
        <v>1</v>
      </c>
      <c r="G423">
        <v>20134</v>
      </c>
      <c r="H423" t="s">
        <v>18</v>
      </c>
      <c r="I423">
        <v>19943.375</v>
      </c>
      <c r="J423">
        <v>670</v>
      </c>
      <c r="K423">
        <v>117394.97</v>
      </c>
      <c r="L423">
        <v>115917.32</v>
      </c>
      <c r="M423">
        <v>1477.65</v>
      </c>
      <c r="N423" s="3" t="str">
        <f t="shared" si="90"/>
        <v/>
      </c>
      <c r="O423" s="4" t="str">
        <f t="shared" si="90"/>
        <v/>
      </c>
      <c r="P423" s="4" t="str">
        <f t="shared" si="90"/>
        <v/>
      </c>
      <c r="Q423" s="4" t="str">
        <f t="shared" si="90"/>
        <v/>
      </c>
      <c r="R423" s="4" t="str">
        <f t="shared" si="90"/>
        <v/>
      </c>
      <c r="S423" s="4" t="str">
        <f t="shared" si="90"/>
        <v/>
      </c>
      <c r="T423" s="4" t="str">
        <f t="shared" si="90"/>
        <v/>
      </c>
      <c r="U423" s="4" t="str">
        <f t="shared" si="90"/>
        <v/>
      </c>
      <c r="V423" s="4" t="str">
        <f t="shared" si="82"/>
        <v/>
      </c>
      <c r="W423" s="4" t="str">
        <f t="shared" si="93"/>
        <v/>
      </c>
      <c r="X423" s="4" t="str">
        <f t="shared" si="93"/>
        <v/>
      </c>
      <c r="Y423" s="4" t="str">
        <f t="shared" si="93"/>
        <v/>
      </c>
      <c r="Z423" s="4" t="str">
        <f t="shared" si="93"/>
        <v/>
      </c>
      <c r="AA423" s="4" t="str">
        <f t="shared" si="93"/>
        <v/>
      </c>
      <c r="AB423" s="4" t="str">
        <f t="shared" si="93"/>
        <v/>
      </c>
      <c r="AC423" s="5" t="str">
        <f t="shared" si="93"/>
        <v/>
      </c>
      <c r="AD423" s="3" t="str">
        <f t="shared" si="91"/>
        <v/>
      </c>
      <c r="AE423" s="4" t="str">
        <f t="shared" si="91"/>
        <v/>
      </c>
      <c r="AF423" s="4" t="str">
        <f t="shared" si="91"/>
        <v/>
      </c>
      <c r="AG423" s="4" t="str">
        <f t="shared" si="91"/>
        <v/>
      </c>
      <c r="AH423" s="4" t="str">
        <f t="shared" si="91"/>
        <v/>
      </c>
      <c r="AI423" s="4" t="str">
        <f t="shared" si="91"/>
        <v/>
      </c>
      <c r="AJ423" s="4" t="str">
        <f t="shared" si="91"/>
        <v/>
      </c>
      <c r="AK423" s="4" t="str">
        <f t="shared" si="91"/>
        <v/>
      </c>
      <c r="AL423" s="4" t="str">
        <f t="shared" si="84"/>
        <v/>
      </c>
      <c r="AM423" s="4" t="str">
        <f t="shared" si="94"/>
        <v/>
      </c>
      <c r="AN423" s="4" t="str">
        <f t="shared" si="94"/>
        <v/>
      </c>
      <c r="AO423" s="4" t="str">
        <f t="shared" si="94"/>
        <v/>
      </c>
      <c r="AP423" s="4" t="str">
        <f t="shared" si="94"/>
        <v/>
      </c>
      <c r="AQ423" s="4" t="str">
        <f t="shared" si="94"/>
        <v/>
      </c>
      <c r="AR423" s="4" t="str">
        <f t="shared" si="94"/>
        <v/>
      </c>
      <c r="AS423" s="5" t="str">
        <f t="shared" si="94"/>
        <v/>
      </c>
      <c r="AT423" s="3" t="str">
        <f t="shared" si="92"/>
        <v/>
      </c>
      <c r="AU423" s="4" t="str">
        <f t="shared" si="92"/>
        <v/>
      </c>
      <c r="AV423" s="4" t="str">
        <f t="shared" si="92"/>
        <v/>
      </c>
      <c r="AW423" s="4" t="str">
        <f t="shared" si="92"/>
        <v/>
      </c>
      <c r="AX423" s="4" t="str">
        <f t="shared" si="92"/>
        <v/>
      </c>
      <c r="AY423" s="4" t="str">
        <f t="shared" si="92"/>
        <v/>
      </c>
      <c r="AZ423" s="4" t="str">
        <f t="shared" si="92"/>
        <v/>
      </c>
      <c r="BA423" s="4" t="str">
        <f t="shared" si="92"/>
        <v/>
      </c>
      <c r="BB423" s="4" t="str">
        <f t="shared" si="86"/>
        <v/>
      </c>
      <c r="BC423" s="4" t="str">
        <f t="shared" si="95"/>
        <v/>
      </c>
      <c r="BD423" s="4" t="str">
        <f t="shared" si="95"/>
        <v/>
      </c>
      <c r="BE423" s="4" t="str">
        <f t="shared" si="95"/>
        <v/>
      </c>
      <c r="BF423" s="4" t="str">
        <f t="shared" si="95"/>
        <v/>
      </c>
      <c r="BG423" s="4" t="str">
        <f t="shared" si="95"/>
        <v/>
      </c>
      <c r="BH423" s="4" t="str">
        <f t="shared" si="95"/>
        <v/>
      </c>
      <c r="BI423" s="5">
        <f t="shared" si="95"/>
        <v>1</v>
      </c>
    </row>
    <row r="424" spans="1:61" x14ac:dyDescent="0.25">
      <c r="A424">
        <v>718462</v>
      </c>
      <c r="B424" t="s">
        <v>15</v>
      </c>
      <c r="C424" t="s">
        <v>16</v>
      </c>
      <c r="D424">
        <v>63653</v>
      </c>
      <c r="E424">
        <v>1171</v>
      </c>
      <c r="F424">
        <v>3</v>
      </c>
      <c r="G424">
        <v>20131</v>
      </c>
      <c r="H424" t="s">
        <v>18</v>
      </c>
      <c r="I424">
        <v>384.00099999999998</v>
      </c>
      <c r="J424">
        <v>159</v>
      </c>
      <c r="K424">
        <v>124902.87</v>
      </c>
      <c r="L424">
        <v>124807.23</v>
      </c>
      <c r="M424">
        <v>95.64</v>
      </c>
      <c r="N424" s="3" t="str">
        <f t="shared" si="90"/>
        <v/>
      </c>
      <c r="O424" s="4" t="str">
        <f t="shared" si="90"/>
        <v/>
      </c>
      <c r="P424" s="4" t="str">
        <f t="shared" si="90"/>
        <v/>
      </c>
      <c r="Q424" s="4" t="str">
        <f t="shared" si="90"/>
        <v/>
      </c>
      <c r="R424" s="4" t="str">
        <f t="shared" si="90"/>
        <v/>
      </c>
      <c r="S424" s="4" t="str">
        <f t="shared" si="90"/>
        <v/>
      </c>
      <c r="T424" s="4" t="str">
        <f t="shared" si="90"/>
        <v/>
      </c>
      <c r="U424" s="4" t="str">
        <f t="shared" si="90"/>
        <v/>
      </c>
      <c r="V424" s="4" t="str">
        <f t="shared" si="82"/>
        <v/>
      </c>
      <c r="W424" s="4" t="str">
        <f t="shared" si="93"/>
        <v/>
      </c>
      <c r="X424" s="4" t="str">
        <f t="shared" si="93"/>
        <v/>
      </c>
      <c r="Y424" s="4" t="str">
        <f t="shared" si="93"/>
        <v/>
      </c>
      <c r="Z424" s="4" t="str">
        <f t="shared" si="93"/>
        <v/>
      </c>
      <c r="AA424" s="4" t="str">
        <f t="shared" si="93"/>
        <v/>
      </c>
      <c r="AB424" s="4" t="str">
        <f t="shared" si="93"/>
        <v/>
      </c>
      <c r="AC424" s="5" t="str">
        <f t="shared" si="93"/>
        <v/>
      </c>
      <c r="AD424" s="3" t="str">
        <f t="shared" si="91"/>
        <v/>
      </c>
      <c r="AE424" s="4" t="str">
        <f t="shared" si="91"/>
        <v/>
      </c>
      <c r="AF424" s="4" t="str">
        <f t="shared" si="91"/>
        <v/>
      </c>
      <c r="AG424" s="4" t="str">
        <f t="shared" si="91"/>
        <v/>
      </c>
      <c r="AH424" s="4" t="str">
        <f t="shared" si="91"/>
        <v/>
      </c>
      <c r="AI424" s="4" t="str">
        <f t="shared" si="91"/>
        <v/>
      </c>
      <c r="AJ424" s="4" t="str">
        <f t="shared" si="91"/>
        <v/>
      </c>
      <c r="AK424" s="4" t="str">
        <f t="shared" si="91"/>
        <v/>
      </c>
      <c r="AL424" s="4" t="str">
        <f t="shared" si="84"/>
        <v/>
      </c>
      <c r="AM424" s="4" t="str">
        <f t="shared" si="94"/>
        <v/>
      </c>
      <c r="AN424" s="4" t="str">
        <f t="shared" si="94"/>
        <v/>
      </c>
      <c r="AO424" s="4" t="str">
        <f t="shared" si="94"/>
        <v/>
      </c>
      <c r="AP424" s="4" t="str">
        <f t="shared" si="94"/>
        <v/>
      </c>
      <c r="AQ424" s="4" t="str">
        <f t="shared" si="94"/>
        <v/>
      </c>
      <c r="AR424" s="4" t="str">
        <f t="shared" si="94"/>
        <v/>
      </c>
      <c r="AS424" s="5" t="str">
        <f t="shared" si="94"/>
        <v/>
      </c>
      <c r="AT424" s="3" t="str">
        <f t="shared" si="92"/>
        <v/>
      </c>
      <c r="AU424" s="4" t="str">
        <f t="shared" si="92"/>
        <v/>
      </c>
      <c r="AV424" s="4" t="str">
        <f t="shared" si="92"/>
        <v/>
      </c>
      <c r="AW424" s="4" t="str">
        <f t="shared" si="92"/>
        <v/>
      </c>
      <c r="AX424" s="4" t="str">
        <f t="shared" si="92"/>
        <v/>
      </c>
      <c r="AY424" s="4" t="str">
        <f t="shared" si="92"/>
        <v/>
      </c>
      <c r="AZ424" s="4" t="str">
        <f t="shared" si="92"/>
        <v/>
      </c>
      <c r="BA424" s="4" t="str">
        <f t="shared" si="92"/>
        <v/>
      </c>
      <c r="BB424" s="4" t="str">
        <f t="shared" si="86"/>
        <v/>
      </c>
      <c r="BC424" s="4" t="str">
        <f t="shared" si="95"/>
        <v/>
      </c>
      <c r="BD424" s="4" t="str">
        <f t="shared" si="95"/>
        <v/>
      </c>
      <c r="BE424" s="4" t="str">
        <f t="shared" si="95"/>
        <v/>
      </c>
      <c r="BF424" s="4">
        <f t="shared" si="95"/>
        <v>1</v>
      </c>
      <c r="BG424" s="4" t="str">
        <f t="shared" si="95"/>
        <v/>
      </c>
      <c r="BH424" s="4" t="str">
        <f t="shared" si="95"/>
        <v/>
      </c>
      <c r="BI424" s="5" t="str">
        <f t="shared" si="95"/>
        <v/>
      </c>
    </row>
    <row r="425" spans="1:61" x14ac:dyDescent="0.25">
      <c r="A425">
        <v>718463</v>
      </c>
      <c r="B425" t="s">
        <v>15</v>
      </c>
      <c r="C425" t="s">
        <v>16</v>
      </c>
      <c r="D425">
        <v>63653</v>
      </c>
      <c r="E425">
        <v>1171</v>
      </c>
      <c r="F425">
        <v>3</v>
      </c>
      <c r="G425">
        <v>20132</v>
      </c>
      <c r="H425" t="s">
        <v>18</v>
      </c>
      <c r="I425">
        <v>548</v>
      </c>
      <c r="J425">
        <v>193</v>
      </c>
      <c r="K425">
        <v>147194.06</v>
      </c>
      <c r="L425">
        <v>146915.25</v>
      </c>
      <c r="M425">
        <v>278.81</v>
      </c>
      <c r="N425" s="3" t="str">
        <f t="shared" si="90"/>
        <v/>
      </c>
      <c r="O425" s="4" t="str">
        <f t="shared" si="90"/>
        <v/>
      </c>
      <c r="P425" s="4" t="str">
        <f t="shared" si="90"/>
        <v/>
      </c>
      <c r="Q425" s="4" t="str">
        <f t="shared" si="90"/>
        <v/>
      </c>
      <c r="R425" s="4" t="str">
        <f t="shared" si="90"/>
        <v/>
      </c>
      <c r="S425" s="4" t="str">
        <f t="shared" si="90"/>
        <v/>
      </c>
      <c r="T425" s="4" t="str">
        <f t="shared" si="90"/>
        <v/>
      </c>
      <c r="U425" s="4" t="str">
        <f t="shared" si="90"/>
        <v/>
      </c>
      <c r="V425" s="4" t="str">
        <f t="shared" si="82"/>
        <v/>
      </c>
      <c r="W425" s="4" t="str">
        <f t="shared" si="93"/>
        <v/>
      </c>
      <c r="X425" s="4" t="str">
        <f t="shared" si="93"/>
        <v/>
      </c>
      <c r="Y425" s="4" t="str">
        <f t="shared" si="93"/>
        <v/>
      </c>
      <c r="Z425" s="4" t="str">
        <f t="shared" si="93"/>
        <v/>
      </c>
      <c r="AA425" s="4" t="str">
        <f t="shared" si="93"/>
        <v/>
      </c>
      <c r="AB425" s="4" t="str">
        <f t="shared" si="93"/>
        <v/>
      </c>
      <c r="AC425" s="5" t="str">
        <f t="shared" si="93"/>
        <v/>
      </c>
      <c r="AD425" s="3" t="str">
        <f t="shared" si="91"/>
        <v/>
      </c>
      <c r="AE425" s="4" t="str">
        <f t="shared" si="91"/>
        <v/>
      </c>
      <c r="AF425" s="4" t="str">
        <f t="shared" si="91"/>
        <v/>
      </c>
      <c r="AG425" s="4" t="str">
        <f t="shared" si="91"/>
        <v/>
      </c>
      <c r="AH425" s="4" t="str">
        <f t="shared" si="91"/>
        <v/>
      </c>
      <c r="AI425" s="4" t="str">
        <f t="shared" si="91"/>
        <v/>
      </c>
      <c r="AJ425" s="4" t="str">
        <f t="shared" si="91"/>
        <v/>
      </c>
      <c r="AK425" s="4" t="str">
        <f t="shared" si="91"/>
        <v/>
      </c>
      <c r="AL425" s="4" t="str">
        <f t="shared" si="84"/>
        <v/>
      </c>
      <c r="AM425" s="4" t="str">
        <f t="shared" si="94"/>
        <v/>
      </c>
      <c r="AN425" s="4" t="str">
        <f t="shared" si="94"/>
        <v/>
      </c>
      <c r="AO425" s="4" t="str">
        <f t="shared" si="94"/>
        <v/>
      </c>
      <c r="AP425" s="4" t="str">
        <f t="shared" si="94"/>
        <v/>
      </c>
      <c r="AQ425" s="4" t="str">
        <f t="shared" si="94"/>
        <v/>
      </c>
      <c r="AR425" s="4" t="str">
        <f t="shared" si="94"/>
        <v/>
      </c>
      <c r="AS425" s="5" t="str">
        <f t="shared" si="94"/>
        <v/>
      </c>
      <c r="AT425" s="3" t="str">
        <f t="shared" si="92"/>
        <v/>
      </c>
      <c r="AU425" s="4" t="str">
        <f t="shared" si="92"/>
        <v/>
      </c>
      <c r="AV425" s="4" t="str">
        <f t="shared" si="92"/>
        <v/>
      </c>
      <c r="AW425" s="4" t="str">
        <f t="shared" si="92"/>
        <v/>
      </c>
      <c r="AX425" s="4" t="str">
        <f t="shared" si="92"/>
        <v/>
      </c>
      <c r="AY425" s="4" t="str">
        <f t="shared" si="92"/>
        <v/>
      </c>
      <c r="AZ425" s="4" t="str">
        <f t="shared" si="92"/>
        <v/>
      </c>
      <c r="BA425" s="4" t="str">
        <f t="shared" si="92"/>
        <v/>
      </c>
      <c r="BB425" s="4" t="str">
        <f t="shared" si="86"/>
        <v/>
      </c>
      <c r="BC425" s="4" t="str">
        <f t="shared" si="95"/>
        <v/>
      </c>
      <c r="BD425" s="4" t="str">
        <f t="shared" si="95"/>
        <v/>
      </c>
      <c r="BE425" s="4" t="str">
        <f t="shared" si="95"/>
        <v/>
      </c>
      <c r="BF425" s="4" t="str">
        <f t="shared" si="95"/>
        <v/>
      </c>
      <c r="BG425" s="4">
        <f t="shared" si="95"/>
        <v>1</v>
      </c>
      <c r="BH425" s="4" t="str">
        <f t="shared" si="95"/>
        <v/>
      </c>
      <c r="BI425" s="5" t="str">
        <f t="shared" si="95"/>
        <v/>
      </c>
    </row>
    <row r="426" spans="1:61" x14ac:dyDescent="0.25">
      <c r="A426">
        <v>718464</v>
      </c>
      <c r="B426" t="s">
        <v>15</v>
      </c>
      <c r="C426" t="s">
        <v>16</v>
      </c>
      <c r="D426">
        <v>63653</v>
      </c>
      <c r="E426">
        <v>1171</v>
      </c>
      <c r="F426">
        <v>3</v>
      </c>
      <c r="G426">
        <v>20133</v>
      </c>
      <c r="H426" t="s">
        <v>18</v>
      </c>
      <c r="I426">
        <v>525</v>
      </c>
      <c r="J426">
        <v>222</v>
      </c>
      <c r="K426">
        <v>97287.11</v>
      </c>
      <c r="L426">
        <v>97106.68</v>
      </c>
      <c r="M426">
        <v>180.43</v>
      </c>
      <c r="N426" s="3" t="str">
        <f t="shared" si="90"/>
        <v/>
      </c>
      <c r="O426" s="4" t="str">
        <f t="shared" si="90"/>
        <v/>
      </c>
      <c r="P426" s="4" t="str">
        <f t="shared" si="90"/>
        <v/>
      </c>
      <c r="Q426" s="4" t="str">
        <f t="shared" si="90"/>
        <v/>
      </c>
      <c r="R426" s="4" t="str">
        <f t="shared" si="90"/>
        <v/>
      </c>
      <c r="S426" s="4" t="str">
        <f t="shared" si="90"/>
        <v/>
      </c>
      <c r="T426" s="4" t="str">
        <f t="shared" si="90"/>
        <v/>
      </c>
      <c r="U426" s="4" t="str">
        <f t="shared" si="90"/>
        <v/>
      </c>
      <c r="V426" s="4" t="str">
        <f t="shared" si="82"/>
        <v/>
      </c>
      <c r="W426" s="4" t="str">
        <f t="shared" si="93"/>
        <v/>
      </c>
      <c r="X426" s="4" t="str">
        <f t="shared" si="93"/>
        <v/>
      </c>
      <c r="Y426" s="4" t="str">
        <f t="shared" si="93"/>
        <v/>
      </c>
      <c r="Z426" s="4" t="str">
        <f t="shared" si="93"/>
        <v/>
      </c>
      <c r="AA426" s="4" t="str">
        <f t="shared" si="93"/>
        <v/>
      </c>
      <c r="AB426" s="4" t="str">
        <f t="shared" si="93"/>
        <v/>
      </c>
      <c r="AC426" s="5" t="str">
        <f t="shared" si="93"/>
        <v/>
      </c>
      <c r="AD426" s="3" t="str">
        <f t="shared" si="91"/>
        <v/>
      </c>
      <c r="AE426" s="4" t="str">
        <f t="shared" si="91"/>
        <v/>
      </c>
      <c r="AF426" s="4" t="str">
        <f t="shared" si="91"/>
        <v/>
      </c>
      <c r="AG426" s="4" t="str">
        <f t="shared" si="91"/>
        <v/>
      </c>
      <c r="AH426" s="4" t="str">
        <f t="shared" si="91"/>
        <v/>
      </c>
      <c r="AI426" s="4" t="str">
        <f t="shared" si="91"/>
        <v/>
      </c>
      <c r="AJ426" s="4" t="str">
        <f t="shared" si="91"/>
        <v/>
      </c>
      <c r="AK426" s="4" t="str">
        <f t="shared" si="91"/>
        <v/>
      </c>
      <c r="AL426" s="4" t="str">
        <f t="shared" si="84"/>
        <v/>
      </c>
      <c r="AM426" s="4" t="str">
        <f t="shared" si="94"/>
        <v/>
      </c>
      <c r="AN426" s="4" t="str">
        <f t="shared" si="94"/>
        <v/>
      </c>
      <c r="AO426" s="4" t="str">
        <f t="shared" si="94"/>
        <v/>
      </c>
      <c r="AP426" s="4" t="str">
        <f t="shared" si="94"/>
        <v/>
      </c>
      <c r="AQ426" s="4" t="str">
        <f t="shared" si="94"/>
        <v/>
      </c>
      <c r="AR426" s="4" t="str">
        <f t="shared" si="94"/>
        <v/>
      </c>
      <c r="AS426" s="5" t="str">
        <f t="shared" si="94"/>
        <v/>
      </c>
      <c r="AT426" s="3" t="str">
        <f t="shared" si="92"/>
        <v/>
      </c>
      <c r="AU426" s="4" t="str">
        <f t="shared" si="92"/>
        <v/>
      </c>
      <c r="AV426" s="4" t="str">
        <f t="shared" si="92"/>
        <v/>
      </c>
      <c r="AW426" s="4" t="str">
        <f t="shared" si="92"/>
        <v/>
      </c>
      <c r="AX426" s="4" t="str">
        <f t="shared" si="92"/>
        <v/>
      </c>
      <c r="AY426" s="4" t="str">
        <f t="shared" si="92"/>
        <v/>
      </c>
      <c r="AZ426" s="4" t="str">
        <f t="shared" si="92"/>
        <v/>
      </c>
      <c r="BA426" s="4" t="str">
        <f t="shared" si="92"/>
        <v/>
      </c>
      <c r="BB426" s="4" t="str">
        <f t="shared" si="86"/>
        <v/>
      </c>
      <c r="BC426" s="4" t="str">
        <f t="shared" si="95"/>
        <v/>
      </c>
      <c r="BD426" s="4" t="str">
        <f t="shared" si="95"/>
        <v/>
      </c>
      <c r="BE426" s="4" t="str">
        <f t="shared" si="95"/>
        <v/>
      </c>
      <c r="BF426" s="4" t="str">
        <f t="shared" si="95"/>
        <v/>
      </c>
      <c r="BG426" s="4" t="str">
        <f t="shared" si="95"/>
        <v/>
      </c>
      <c r="BH426" s="4">
        <f t="shared" si="95"/>
        <v>1</v>
      </c>
      <c r="BI426" s="5" t="str">
        <f t="shared" si="95"/>
        <v/>
      </c>
    </row>
    <row r="427" spans="1:61" x14ac:dyDescent="0.25">
      <c r="A427">
        <v>718465</v>
      </c>
      <c r="B427" t="s">
        <v>15</v>
      </c>
      <c r="C427" t="s">
        <v>16</v>
      </c>
      <c r="D427">
        <v>63653</v>
      </c>
      <c r="E427">
        <v>1171</v>
      </c>
      <c r="F427">
        <v>3</v>
      </c>
      <c r="G427">
        <v>20134</v>
      </c>
      <c r="H427" t="s">
        <v>18</v>
      </c>
      <c r="I427">
        <v>344</v>
      </c>
      <c r="J427">
        <v>153</v>
      </c>
      <c r="K427">
        <v>4203.21</v>
      </c>
      <c r="L427">
        <v>4130.88</v>
      </c>
      <c r="M427">
        <v>72.33</v>
      </c>
      <c r="N427" s="3" t="str">
        <f t="shared" si="90"/>
        <v/>
      </c>
      <c r="O427" s="4" t="str">
        <f t="shared" si="90"/>
        <v/>
      </c>
      <c r="P427" s="4" t="str">
        <f t="shared" si="90"/>
        <v/>
      </c>
      <c r="Q427" s="4" t="str">
        <f t="shared" si="90"/>
        <v/>
      </c>
      <c r="R427" s="4" t="str">
        <f t="shared" si="90"/>
        <v/>
      </c>
      <c r="S427" s="4" t="str">
        <f t="shared" si="90"/>
        <v/>
      </c>
      <c r="T427" s="4" t="str">
        <f t="shared" si="90"/>
        <v/>
      </c>
      <c r="U427" s="4" t="str">
        <f t="shared" si="90"/>
        <v/>
      </c>
      <c r="V427" s="4" t="str">
        <f t="shared" si="82"/>
        <v/>
      </c>
      <c r="W427" s="4" t="str">
        <f t="shared" si="93"/>
        <v/>
      </c>
      <c r="X427" s="4" t="str">
        <f t="shared" si="93"/>
        <v/>
      </c>
      <c r="Y427" s="4" t="str">
        <f t="shared" si="93"/>
        <v/>
      </c>
      <c r="Z427" s="4" t="str">
        <f t="shared" si="93"/>
        <v/>
      </c>
      <c r="AA427" s="4" t="str">
        <f t="shared" si="93"/>
        <v/>
      </c>
      <c r="AB427" s="4" t="str">
        <f t="shared" si="93"/>
        <v/>
      </c>
      <c r="AC427" s="5" t="str">
        <f t="shared" si="93"/>
        <v/>
      </c>
      <c r="AD427" s="3" t="str">
        <f t="shared" si="91"/>
        <v/>
      </c>
      <c r="AE427" s="4" t="str">
        <f t="shared" si="91"/>
        <v/>
      </c>
      <c r="AF427" s="4" t="str">
        <f t="shared" si="91"/>
        <v/>
      </c>
      <c r="AG427" s="4" t="str">
        <f t="shared" si="91"/>
        <v/>
      </c>
      <c r="AH427" s="4" t="str">
        <f t="shared" si="91"/>
        <v/>
      </c>
      <c r="AI427" s="4" t="str">
        <f t="shared" si="91"/>
        <v/>
      </c>
      <c r="AJ427" s="4" t="str">
        <f t="shared" si="91"/>
        <v/>
      </c>
      <c r="AK427" s="4" t="str">
        <f t="shared" si="91"/>
        <v/>
      </c>
      <c r="AL427" s="4" t="str">
        <f t="shared" si="84"/>
        <v/>
      </c>
      <c r="AM427" s="4" t="str">
        <f t="shared" si="94"/>
        <v/>
      </c>
      <c r="AN427" s="4" t="str">
        <f t="shared" si="94"/>
        <v/>
      </c>
      <c r="AO427" s="4" t="str">
        <f t="shared" si="94"/>
        <v/>
      </c>
      <c r="AP427" s="4" t="str">
        <f t="shared" si="94"/>
        <v/>
      </c>
      <c r="AQ427" s="4" t="str">
        <f t="shared" si="94"/>
        <v/>
      </c>
      <c r="AR427" s="4" t="str">
        <f t="shared" si="94"/>
        <v/>
      </c>
      <c r="AS427" s="5" t="str">
        <f t="shared" si="94"/>
        <v/>
      </c>
      <c r="AT427" s="3" t="str">
        <f t="shared" si="92"/>
        <v/>
      </c>
      <c r="AU427" s="4" t="str">
        <f t="shared" si="92"/>
        <v/>
      </c>
      <c r="AV427" s="4" t="str">
        <f t="shared" si="92"/>
        <v/>
      </c>
      <c r="AW427" s="4" t="str">
        <f t="shared" si="92"/>
        <v/>
      </c>
      <c r="AX427" s="4" t="str">
        <f t="shared" si="92"/>
        <v/>
      </c>
      <c r="AY427" s="4" t="str">
        <f t="shared" si="92"/>
        <v/>
      </c>
      <c r="AZ427" s="4" t="str">
        <f t="shared" si="92"/>
        <v/>
      </c>
      <c r="BA427" s="4" t="str">
        <f t="shared" si="92"/>
        <v/>
      </c>
      <c r="BB427" s="4" t="str">
        <f t="shared" si="86"/>
        <v/>
      </c>
      <c r="BC427" s="4" t="str">
        <f t="shared" si="95"/>
        <v/>
      </c>
      <c r="BD427" s="4" t="str">
        <f t="shared" si="95"/>
        <v/>
      </c>
      <c r="BE427" s="4" t="str">
        <f t="shared" si="95"/>
        <v/>
      </c>
      <c r="BF427" s="4" t="str">
        <f t="shared" si="95"/>
        <v/>
      </c>
      <c r="BG427" s="4" t="str">
        <f t="shared" si="95"/>
        <v/>
      </c>
      <c r="BH427" s="4" t="str">
        <f t="shared" si="95"/>
        <v/>
      </c>
      <c r="BI427" s="5">
        <f t="shared" si="95"/>
        <v>1</v>
      </c>
    </row>
    <row r="428" spans="1:61" x14ac:dyDescent="0.25">
      <c r="A428">
        <v>718466</v>
      </c>
      <c r="B428" t="s">
        <v>15</v>
      </c>
      <c r="C428" t="s">
        <v>16</v>
      </c>
      <c r="D428">
        <v>63653</v>
      </c>
      <c r="E428">
        <v>1171</v>
      </c>
      <c r="F428">
        <v>5</v>
      </c>
      <c r="G428">
        <v>20131</v>
      </c>
      <c r="H428" t="s">
        <v>18</v>
      </c>
      <c r="I428">
        <v>6743.3630000000003</v>
      </c>
      <c r="J428">
        <v>181</v>
      </c>
      <c r="K428">
        <v>51521.06</v>
      </c>
      <c r="L428">
        <v>50549.95</v>
      </c>
      <c r="M428">
        <v>971.11</v>
      </c>
      <c r="N428" s="3" t="str">
        <f t="shared" si="90"/>
        <v/>
      </c>
      <c r="O428" s="4" t="str">
        <f t="shared" si="90"/>
        <v/>
      </c>
      <c r="P428" s="4" t="str">
        <f t="shared" si="90"/>
        <v/>
      </c>
      <c r="Q428" s="4" t="str">
        <f t="shared" si="90"/>
        <v/>
      </c>
      <c r="R428" s="4" t="str">
        <f t="shared" si="90"/>
        <v/>
      </c>
      <c r="S428" s="4" t="str">
        <f t="shared" si="90"/>
        <v/>
      </c>
      <c r="T428" s="4" t="str">
        <f t="shared" si="90"/>
        <v/>
      </c>
      <c r="U428" s="4" t="str">
        <f t="shared" si="90"/>
        <v/>
      </c>
      <c r="V428" s="4" t="str">
        <f t="shared" si="82"/>
        <v/>
      </c>
      <c r="W428" s="4" t="str">
        <f t="shared" si="93"/>
        <v/>
      </c>
      <c r="X428" s="4" t="str">
        <f t="shared" si="93"/>
        <v/>
      </c>
      <c r="Y428" s="4" t="str">
        <f t="shared" si="93"/>
        <v/>
      </c>
      <c r="Z428" s="4" t="str">
        <f t="shared" si="93"/>
        <v/>
      </c>
      <c r="AA428" s="4" t="str">
        <f t="shared" si="93"/>
        <v/>
      </c>
      <c r="AB428" s="4" t="str">
        <f t="shared" si="93"/>
        <v/>
      </c>
      <c r="AC428" s="5" t="str">
        <f t="shared" si="93"/>
        <v/>
      </c>
      <c r="AD428" s="3" t="str">
        <f t="shared" si="91"/>
        <v/>
      </c>
      <c r="AE428" s="4" t="str">
        <f t="shared" si="91"/>
        <v/>
      </c>
      <c r="AF428" s="4" t="str">
        <f t="shared" si="91"/>
        <v/>
      </c>
      <c r="AG428" s="4" t="str">
        <f t="shared" si="91"/>
        <v/>
      </c>
      <c r="AH428" s="4" t="str">
        <f t="shared" si="91"/>
        <v/>
      </c>
      <c r="AI428" s="4" t="str">
        <f t="shared" si="91"/>
        <v/>
      </c>
      <c r="AJ428" s="4" t="str">
        <f t="shared" si="91"/>
        <v/>
      </c>
      <c r="AK428" s="4" t="str">
        <f t="shared" si="91"/>
        <v/>
      </c>
      <c r="AL428" s="4" t="str">
        <f t="shared" si="84"/>
        <v/>
      </c>
      <c r="AM428" s="4" t="str">
        <f t="shared" si="94"/>
        <v/>
      </c>
      <c r="AN428" s="4" t="str">
        <f t="shared" si="94"/>
        <v/>
      </c>
      <c r="AO428" s="4" t="str">
        <f t="shared" si="94"/>
        <v/>
      </c>
      <c r="AP428" s="4" t="str">
        <f t="shared" si="94"/>
        <v/>
      </c>
      <c r="AQ428" s="4" t="str">
        <f t="shared" si="94"/>
        <v/>
      </c>
      <c r="AR428" s="4" t="str">
        <f t="shared" si="94"/>
        <v/>
      </c>
      <c r="AS428" s="5" t="str">
        <f t="shared" si="94"/>
        <v/>
      </c>
      <c r="AT428" s="3" t="str">
        <f t="shared" si="92"/>
        <v/>
      </c>
      <c r="AU428" s="4" t="str">
        <f t="shared" si="92"/>
        <v/>
      </c>
      <c r="AV428" s="4" t="str">
        <f t="shared" si="92"/>
        <v/>
      </c>
      <c r="AW428" s="4" t="str">
        <f t="shared" si="92"/>
        <v/>
      </c>
      <c r="AX428" s="4" t="str">
        <f t="shared" si="92"/>
        <v/>
      </c>
      <c r="AY428" s="4" t="str">
        <f t="shared" si="92"/>
        <v/>
      </c>
      <c r="AZ428" s="4" t="str">
        <f t="shared" si="92"/>
        <v/>
      </c>
      <c r="BA428" s="4" t="str">
        <f t="shared" si="92"/>
        <v/>
      </c>
      <c r="BB428" s="4" t="str">
        <f t="shared" si="86"/>
        <v/>
      </c>
      <c r="BC428" s="4" t="str">
        <f t="shared" si="95"/>
        <v/>
      </c>
      <c r="BD428" s="4" t="str">
        <f t="shared" si="95"/>
        <v/>
      </c>
      <c r="BE428" s="4" t="str">
        <f t="shared" si="95"/>
        <v/>
      </c>
      <c r="BF428" s="4">
        <f t="shared" si="95"/>
        <v>1</v>
      </c>
      <c r="BG428" s="4" t="str">
        <f t="shared" si="95"/>
        <v/>
      </c>
      <c r="BH428" s="4" t="str">
        <f t="shared" si="95"/>
        <v/>
      </c>
      <c r="BI428" s="5" t="str">
        <f t="shared" si="95"/>
        <v/>
      </c>
    </row>
    <row r="429" spans="1:61" x14ac:dyDescent="0.25">
      <c r="A429">
        <v>718467</v>
      </c>
      <c r="B429" t="s">
        <v>15</v>
      </c>
      <c r="C429" t="s">
        <v>16</v>
      </c>
      <c r="D429">
        <v>63653</v>
      </c>
      <c r="E429">
        <v>1171</v>
      </c>
      <c r="F429">
        <v>5</v>
      </c>
      <c r="G429">
        <v>20132</v>
      </c>
      <c r="H429" t="s">
        <v>18</v>
      </c>
      <c r="I429">
        <v>10834</v>
      </c>
      <c r="J429">
        <v>317</v>
      </c>
      <c r="K429">
        <v>77526.83</v>
      </c>
      <c r="L429">
        <v>59514.31</v>
      </c>
      <c r="M429">
        <v>18012.52</v>
      </c>
      <c r="N429" s="3" t="str">
        <f t="shared" si="90"/>
        <v/>
      </c>
      <c r="O429" s="4" t="str">
        <f t="shared" si="90"/>
        <v/>
      </c>
      <c r="P429" s="4" t="str">
        <f t="shared" si="90"/>
        <v/>
      </c>
      <c r="Q429" s="4" t="str">
        <f t="shared" si="90"/>
        <v/>
      </c>
      <c r="R429" s="4" t="str">
        <f t="shared" si="90"/>
        <v/>
      </c>
      <c r="S429" s="4" t="str">
        <f t="shared" si="90"/>
        <v/>
      </c>
      <c r="T429" s="4" t="str">
        <f t="shared" si="90"/>
        <v/>
      </c>
      <c r="U429" s="4" t="str">
        <f t="shared" si="90"/>
        <v/>
      </c>
      <c r="V429" s="4" t="str">
        <f t="shared" si="82"/>
        <v/>
      </c>
      <c r="W429" s="4" t="str">
        <f t="shared" si="93"/>
        <v/>
      </c>
      <c r="X429" s="4" t="str">
        <f t="shared" si="93"/>
        <v/>
      </c>
      <c r="Y429" s="4" t="str">
        <f t="shared" si="93"/>
        <v/>
      </c>
      <c r="Z429" s="4" t="str">
        <f t="shared" si="93"/>
        <v/>
      </c>
      <c r="AA429" s="4" t="str">
        <f t="shared" si="93"/>
        <v/>
      </c>
      <c r="AB429" s="4" t="str">
        <f t="shared" si="93"/>
        <v/>
      </c>
      <c r="AC429" s="5" t="str">
        <f t="shared" si="93"/>
        <v/>
      </c>
      <c r="AD429" s="3" t="str">
        <f t="shared" si="91"/>
        <v/>
      </c>
      <c r="AE429" s="4" t="str">
        <f t="shared" si="91"/>
        <v/>
      </c>
      <c r="AF429" s="4" t="str">
        <f t="shared" si="91"/>
        <v/>
      </c>
      <c r="AG429" s="4" t="str">
        <f t="shared" si="91"/>
        <v/>
      </c>
      <c r="AH429" s="4" t="str">
        <f t="shared" si="91"/>
        <v/>
      </c>
      <c r="AI429" s="4" t="str">
        <f t="shared" si="91"/>
        <v/>
      </c>
      <c r="AJ429" s="4" t="str">
        <f t="shared" si="91"/>
        <v/>
      </c>
      <c r="AK429" s="4" t="str">
        <f t="shared" si="91"/>
        <v/>
      </c>
      <c r="AL429" s="4" t="str">
        <f t="shared" si="84"/>
        <v/>
      </c>
      <c r="AM429" s="4" t="str">
        <f t="shared" si="94"/>
        <v/>
      </c>
      <c r="AN429" s="4" t="str">
        <f t="shared" si="94"/>
        <v/>
      </c>
      <c r="AO429" s="4" t="str">
        <f t="shared" si="94"/>
        <v/>
      </c>
      <c r="AP429" s="4" t="str">
        <f t="shared" si="94"/>
        <v/>
      </c>
      <c r="AQ429" s="4" t="str">
        <f t="shared" si="94"/>
        <v/>
      </c>
      <c r="AR429" s="4" t="str">
        <f t="shared" si="94"/>
        <v/>
      </c>
      <c r="AS429" s="5" t="str">
        <f t="shared" si="94"/>
        <v/>
      </c>
      <c r="AT429" s="3" t="str">
        <f t="shared" si="92"/>
        <v/>
      </c>
      <c r="AU429" s="4" t="str">
        <f t="shared" si="92"/>
        <v/>
      </c>
      <c r="AV429" s="4" t="str">
        <f t="shared" si="92"/>
        <v/>
      </c>
      <c r="AW429" s="4" t="str">
        <f t="shared" si="92"/>
        <v/>
      </c>
      <c r="AX429" s="4" t="str">
        <f t="shared" si="92"/>
        <v/>
      </c>
      <c r="AY429" s="4" t="str">
        <f t="shared" si="92"/>
        <v/>
      </c>
      <c r="AZ429" s="4" t="str">
        <f t="shared" si="92"/>
        <v/>
      </c>
      <c r="BA429" s="4" t="str">
        <f t="shared" si="92"/>
        <v/>
      </c>
      <c r="BB429" s="4" t="str">
        <f t="shared" si="86"/>
        <v/>
      </c>
      <c r="BC429" s="4" t="str">
        <f t="shared" si="95"/>
        <v/>
      </c>
      <c r="BD429" s="4" t="str">
        <f t="shared" si="95"/>
        <v/>
      </c>
      <c r="BE429" s="4" t="str">
        <f t="shared" si="95"/>
        <v/>
      </c>
      <c r="BF429" s="4" t="str">
        <f t="shared" si="95"/>
        <v/>
      </c>
      <c r="BG429" s="4">
        <f t="shared" si="95"/>
        <v>1</v>
      </c>
      <c r="BH429" s="4" t="str">
        <f t="shared" si="95"/>
        <v/>
      </c>
      <c r="BI429" s="5" t="str">
        <f t="shared" si="95"/>
        <v/>
      </c>
    </row>
    <row r="430" spans="1:61" x14ac:dyDescent="0.25">
      <c r="A430">
        <v>718468</v>
      </c>
      <c r="B430" t="s">
        <v>15</v>
      </c>
      <c r="C430" t="s">
        <v>16</v>
      </c>
      <c r="D430">
        <v>63653</v>
      </c>
      <c r="E430">
        <v>1171</v>
      </c>
      <c r="F430">
        <v>5</v>
      </c>
      <c r="G430">
        <v>20133</v>
      </c>
      <c r="H430" t="s">
        <v>18</v>
      </c>
      <c r="I430">
        <v>4884</v>
      </c>
      <c r="J430">
        <v>173</v>
      </c>
      <c r="K430">
        <v>33159.21</v>
      </c>
      <c r="L430">
        <v>33102.239999999998</v>
      </c>
      <c r="M430">
        <v>56.97</v>
      </c>
      <c r="N430" s="3" t="str">
        <f t="shared" si="90"/>
        <v/>
      </c>
      <c r="O430" s="4" t="str">
        <f t="shared" si="90"/>
        <v/>
      </c>
      <c r="P430" s="4" t="str">
        <f t="shared" si="90"/>
        <v/>
      </c>
      <c r="Q430" s="4" t="str">
        <f t="shared" si="90"/>
        <v/>
      </c>
      <c r="R430" s="4" t="str">
        <f t="shared" si="90"/>
        <v/>
      </c>
      <c r="S430" s="4" t="str">
        <f t="shared" si="90"/>
        <v/>
      </c>
      <c r="T430" s="4" t="str">
        <f t="shared" si="90"/>
        <v/>
      </c>
      <c r="U430" s="4" t="str">
        <f t="shared" si="90"/>
        <v/>
      </c>
      <c r="V430" s="4" t="str">
        <f t="shared" si="82"/>
        <v/>
      </c>
      <c r="W430" s="4" t="str">
        <f t="shared" si="93"/>
        <v/>
      </c>
      <c r="X430" s="4" t="str">
        <f t="shared" si="93"/>
        <v/>
      </c>
      <c r="Y430" s="4" t="str">
        <f t="shared" si="93"/>
        <v/>
      </c>
      <c r="Z430" s="4" t="str">
        <f t="shared" si="93"/>
        <v/>
      </c>
      <c r="AA430" s="4" t="str">
        <f t="shared" si="93"/>
        <v/>
      </c>
      <c r="AB430" s="4" t="str">
        <f t="shared" si="93"/>
        <v/>
      </c>
      <c r="AC430" s="5" t="str">
        <f t="shared" si="93"/>
        <v/>
      </c>
      <c r="AD430" s="3" t="str">
        <f t="shared" si="91"/>
        <v/>
      </c>
      <c r="AE430" s="4" t="str">
        <f t="shared" si="91"/>
        <v/>
      </c>
      <c r="AF430" s="4" t="str">
        <f t="shared" si="91"/>
        <v/>
      </c>
      <c r="AG430" s="4" t="str">
        <f t="shared" si="91"/>
        <v/>
      </c>
      <c r="AH430" s="4" t="str">
        <f t="shared" si="91"/>
        <v/>
      </c>
      <c r="AI430" s="4" t="str">
        <f t="shared" si="91"/>
        <v/>
      </c>
      <c r="AJ430" s="4" t="str">
        <f t="shared" si="91"/>
        <v/>
      </c>
      <c r="AK430" s="4" t="str">
        <f t="shared" si="91"/>
        <v/>
      </c>
      <c r="AL430" s="4" t="str">
        <f t="shared" si="84"/>
        <v/>
      </c>
      <c r="AM430" s="4" t="str">
        <f t="shared" si="94"/>
        <v/>
      </c>
      <c r="AN430" s="4" t="str">
        <f t="shared" si="94"/>
        <v/>
      </c>
      <c r="AO430" s="4" t="str">
        <f t="shared" si="94"/>
        <v/>
      </c>
      <c r="AP430" s="4" t="str">
        <f t="shared" si="94"/>
        <v/>
      </c>
      <c r="AQ430" s="4" t="str">
        <f t="shared" si="94"/>
        <v/>
      </c>
      <c r="AR430" s="4" t="str">
        <f t="shared" si="94"/>
        <v/>
      </c>
      <c r="AS430" s="5" t="str">
        <f t="shared" si="94"/>
        <v/>
      </c>
      <c r="AT430" s="3" t="str">
        <f t="shared" si="92"/>
        <v/>
      </c>
      <c r="AU430" s="4" t="str">
        <f t="shared" si="92"/>
        <v/>
      </c>
      <c r="AV430" s="4" t="str">
        <f t="shared" si="92"/>
        <v/>
      </c>
      <c r="AW430" s="4" t="str">
        <f t="shared" si="92"/>
        <v/>
      </c>
      <c r="AX430" s="4" t="str">
        <f t="shared" si="92"/>
        <v/>
      </c>
      <c r="AY430" s="4" t="str">
        <f t="shared" si="92"/>
        <v/>
      </c>
      <c r="AZ430" s="4" t="str">
        <f t="shared" si="92"/>
        <v/>
      </c>
      <c r="BA430" s="4" t="str">
        <f t="shared" si="92"/>
        <v/>
      </c>
      <c r="BB430" s="4" t="str">
        <f t="shared" si="86"/>
        <v/>
      </c>
      <c r="BC430" s="4" t="str">
        <f t="shared" si="95"/>
        <v/>
      </c>
      <c r="BD430" s="4" t="str">
        <f t="shared" si="95"/>
        <v/>
      </c>
      <c r="BE430" s="4" t="str">
        <f t="shared" si="95"/>
        <v/>
      </c>
      <c r="BF430" s="4" t="str">
        <f t="shared" si="95"/>
        <v/>
      </c>
      <c r="BG430" s="4" t="str">
        <f t="shared" si="95"/>
        <v/>
      </c>
      <c r="BH430" s="4">
        <f t="shared" si="95"/>
        <v>1</v>
      </c>
      <c r="BI430" s="5" t="str">
        <f t="shared" si="95"/>
        <v/>
      </c>
    </row>
    <row r="431" spans="1:61" x14ac:dyDescent="0.25">
      <c r="A431">
        <v>718469</v>
      </c>
      <c r="B431" t="s">
        <v>15</v>
      </c>
      <c r="C431" t="s">
        <v>16</v>
      </c>
      <c r="D431">
        <v>63653</v>
      </c>
      <c r="E431">
        <v>1171</v>
      </c>
      <c r="F431">
        <v>5</v>
      </c>
      <c r="G431">
        <v>20134</v>
      </c>
      <c r="H431" t="s">
        <v>18</v>
      </c>
      <c r="I431">
        <v>2150.94</v>
      </c>
      <c r="J431">
        <v>86</v>
      </c>
      <c r="K431">
        <v>20229.55</v>
      </c>
      <c r="L431">
        <v>20171.080000000002</v>
      </c>
      <c r="M431">
        <v>58.47</v>
      </c>
      <c r="N431" s="3" t="str">
        <f t="shared" si="90"/>
        <v/>
      </c>
      <c r="O431" s="4" t="str">
        <f t="shared" si="90"/>
        <v/>
      </c>
      <c r="P431" s="4" t="str">
        <f t="shared" si="90"/>
        <v/>
      </c>
      <c r="Q431" s="4" t="str">
        <f t="shared" si="90"/>
        <v/>
      </c>
      <c r="R431" s="4" t="str">
        <f t="shared" si="90"/>
        <v/>
      </c>
      <c r="S431" s="4" t="str">
        <f t="shared" si="90"/>
        <v/>
      </c>
      <c r="T431" s="4" t="str">
        <f t="shared" si="90"/>
        <v/>
      </c>
      <c r="U431" s="4" t="str">
        <f t="shared" si="90"/>
        <v/>
      </c>
      <c r="V431" s="4" t="str">
        <f t="shared" si="82"/>
        <v/>
      </c>
      <c r="W431" s="4" t="str">
        <f t="shared" si="93"/>
        <v/>
      </c>
      <c r="X431" s="4" t="str">
        <f t="shared" si="93"/>
        <v/>
      </c>
      <c r="Y431" s="4" t="str">
        <f t="shared" si="93"/>
        <v/>
      </c>
      <c r="Z431" s="4" t="str">
        <f t="shared" si="93"/>
        <v/>
      </c>
      <c r="AA431" s="4" t="str">
        <f t="shared" si="93"/>
        <v/>
      </c>
      <c r="AB431" s="4" t="str">
        <f t="shared" si="93"/>
        <v/>
      </c>
      <c r="AC431" s="5" t="str">
        <f t="shared" si="93"/>
        <v/>
      </c>
      <c r="AD431" s="3" t="str">
        <f t="shared" si="91"/>
        <v/>
      </c>
      <c r="AE431" s="4" t="str">
        <f t="shared" si="91"/>
        <v/>
      </c>
      <c r="AF431" s="4" t="str">
        <f t="shared" si="91"/>
        <v/>
      </c>
      <c r="AG431" s="4" t="str">
        <f t="shared" si="91"/>
        <v/>
      </c>
      <c r="AH431" s="4" t="str">
        <f t="shared" si="91"/>
        <v/>
      </c>
      <c r="AI431" s="4" t="str">
        <f t="shared" si="91"/>
        <v/>
      </c>
      <c r="AJ431" s="4" t="str">
        <f t="shared" si="91"/>
        <v/>
      </c>
      <c r="AK431" s="4" t="str">
        <f t="shared" si="91"/>
        <v/>
      </c>
      <c r="AL431" s="4" t="str">
        <f t="shared" si="84"/>
        <v/>
      </c>
      <c r="AM431" s="4" t="str">
        <f t="shared" si="94"/>
        <v/>
      </c>
      <c r="AN431" s="4" t="str">
        <f t="shared" si="94"/>
        <v/>
      </c>
      <c r="AO431" s="4" t="str">
        <f t="shared" si="94"/>
        <v/>
      </c>
      <c r="AP431" s="4" t="str">
        <f t="shared" si="94"/>
        <v/>
      </c>
      <c r="AQ431" s="4" t="str">
        <f t="shared" si="94"/>
        <v/>
      </c>
      <c r="AR431" s="4" t="str">
        <f t="shared" si="94"/>
        <v/>
      </c>
      <c r="AS431" s="5" t="str">
        <f t="shared" si="94"/>
        <v/>
      </c>
      <c r="AT431" s="3" t="str">
        <f t="shared" si="92"/>
        <v/>
      </c>
      <c r="AU431" s="4" t="str">
        <f t="shared" si="92"/>
        <v/>
      </c>
      <c r="AV431" s="4" t="str">
        <f t="shared" si="92"/>
        <v/>
      </c>
      <c r="AW431" s="4" t="str">
        <f t="shared" si="92"/>
        <v/>
      </c>
      <c r="AX431" s="4" t="str">
        <f t="shared" si="92"/>
        <v/>
      </c>
      <c r="AY431" s="4" t="str">
        <f t="shared" si="92"/>
        <v/>
      </c>
      <c r="AZ431" s="4" t="str">
        <f t="shared" si="92"/>
        <v/>
      </c>
      <c r="BA431" s="4" t="str">
        <f t="shared" si="92"/>
        <v/>
      </c>
      <c r="BB431" s="4" t="str">
        <f t="shared" si="86"/>
        <v/>
      </c>
      <c r="BC431" s="4" t="str">
        <f t="shared" si="95"/>
        <v/>
      </c>
      <c r="BD431" s="4" t="str">
        <f t="shared" si="95"/>
        <v/>
      </c>
      <c r="BE431" s="4" t="str">
        <f t="shared" si="95"/>
        <v/>
      </c>
      <c r="BF431" s="4" t="str">
        <f t="shared" si="95"/>
        <v/>
      </c>
      <c r="BG431" s="4" t="str">
        <f t="shared" si="95"/>
        <v/>
      </c>
      <c r="BH431" s="4" t="str">
        <f t="shared" si="95"/>
        <v/>
      </c>
      <c r="BI431" s="5">
        <f t="shared" si="95"/>
        <v>1</v>
      </c>
    </row>
    <row r="432" spans="1:61" x14ac:dyDescent="0.25">
      <c r="A432">
        <v>718470</v>
      </c>
      <c r="B432" t="s">
        <v>15</v>
      </c>
      <c r="C432" t="s">
        <v>16</v>
      </c>
      <c r="D432">
        <v>63653</v>
      </c>
      <c r="E432">
        <v>1171</v>
      </c>
      <c r="F432">
        <v>6</v>
      </c>
      <c r="G432">
        <v>20131</v>
      </c>
      <c r="H432" t="s">
        <v>18</v>
      </c>
      <c r="I432">
        <v>110272.68</v>
      </c>
      <c r="J432">
        <v>3378</v>
      </c>
      <c r="K432">
        <v>615693.98</v>
      </c>
      <c r="L432">
        <v>613167.71</v>
      </c>
      <c r="M432">
        <v>2526.27</v>
      </c>
      <c r="N432" s="3" t="str">
        <f t="shared" si="90"/>
        <v/>
      </c>
      <c r="O432" s="4" t="str">
        <f t="shared" si="90"/>
        <v/>
      </c>
      <c r="P432" s="4" t="str">
        <f t="shared" si="90"/>
        <v/>
      </c>
      <c r="Q432" s="4" t="str">
        <f t="shared" si="90"/>
        <v/>
      </c>
      <c r="R432" s="4" t="str">
        <f t="shared" si="90"/>
        <v/>
      </c>
      <c r="S432" s="4" t="str">
        <f t="shared" si="90"/>
        <v/>
      </c>
      <c r="T432" s="4" t="str">
        <f t="shared" si="90"/>
        <v/>
      </c>
      <c r="U432" s="4" t="str">
        <f t="shared" si="90"/>
        <v/>
      </c>
      <c r="V432" s="4" t="str">
        <f t="shared" si="82"/>
        <v/>
      </c>
      <c r="W432" s="4" t="str">
        <f t="shared" si="93"/>
        <v/>
      </c>
      <c r="X432" s="4" t="str">
        <f t="shared" si="93"/>
        <v/>
      </c>
      <c r="Y432" s="4" t="str">
        <f t="shared" si="93"/>
        <v/>
      </c>
      <c r="Z432" s="4" t="str">
        <f t="shared" si="93"/>
        <v/>
      </c>
      <c r="AA432" s="4" t="str">
        <f t="shared" si="93"/>
        <v/>
      </c>
      <c r="AB432" s="4" t="str">
        <f t="shared" si="93"/>
        <v/>
      </c>
      <c r="AC432" s="5" t="str">
        <f t="shared" si="93"/>
        <v/>
      </c>
      <c r="AD432" s="3" t="str">
        <f t="shared" si="91"/>
        <v/>
      </c>
      <c r="AE432" s="4" t="str">
        <f t="shared" si="91"/>
        <v/>
      </c>
      <c r="AF432" s="4" t="str">
        <f t="shared" si="91"/>
        <v/>
      </c>
      <c r="AG432" s="4" t="str">
        <f t="shared" si="91"/>
        <v/>
      </c>
      <c r="AH432" s="4" t="str">
        <f t="shared" si="91"/>
        <v/>
      </c>
      <c r="AI432" s="4" t="str">
        <f t="shared" si="91"/>
        <v/>
      </c>
      <c r="AJ432" s="4" t="str">
        <f t="shared" si="91"/>
        <v/>
      </c>
      <c r="AK432" s="4" t="str">
        <f t="shared" si="91"/>
        <v/>
      </c>
      <c r="AL432" s="4" t="str">
        <f t="shared" si="84"/>
        <v/>
      </c>
      <c r="AM432" s="4" t="str">
        <f t="shared" si="94"/>
        <v/>
      </c>
      <c r="AN432" s="4" t="str">
        <f t="shared" si="94"/>
        <v/>
      </c>
      <c r="AO432" s="4" t="str">
        <f t="shared" si="94"/>
        <v/>
      </c>
      <c r="AP432" s="4" t="str">
        <f t="shared" si="94"/>
        <v/>
      </c>
      <c r="AQ432" s="4" t="str">
        <f t="shared" si="94"/>
        <v/>
      </c>
      <c r="AR432" s="4" t="str">
        <f t="shared" si="94"/>
        <v/>
      </c>
      <c r="AS432" s="5" t="str">
        <f t="shared" si="94"/>
        <v/>
      </c>
      <c r="AT432" s="3" t="str">
        <f t="shared" si="92"/>
        <v/>
      </c>
      <c r="AU432" s="4" t="str">
        <f t="shared" si="92"/>
        <v/>
      </c>
      <c r="AV432" s="4" t="str">
        <f t="shared" si="92"/>
        <v/>
      </c>
      <c r="AW432" s="4" t="str">
        <f t="shared" si="92"/>
        <v/>
      </c>
      <c r="AX432" s="4" t="str">
        <f t="shared" si="92"/>
        <v/>
      </c>
      <c r="AY432" s="4" t="str">
        <f t="shared" si="92"/>
        <v/>
      </c>
      <c r="AZ432" s="4" t="str">
        <f t="shared" si="92"/>
        <v/>
      </c>
      <c r="BA432" s="4" t="str">
        <f t="shared" si="92"/>
        <v/>
      </c>
      <c r="BB432" s="4" t="str">
        <f t="shared" si="86"/>
        <v/>
      </c>
      <c r="BC432" s="4" t="str">
        <f t="shared" si="95"/>
        <v/>
      </c>
      <c r="BD432" s="4" t="str">
        <f t="shared" si="95"/>
        <v/>
      </c>
      <c r="BE432" s="4" t="str">
        <f t="shared" si="95"/>
        <v/>
      </c>
      <c r="BF432" s="4">
        <f t="shared" si="95"/>
        <v>1</v>
      </c>
      <c r="BG432" s="4" t="str">
        <f t="shared" si="95"/>
        <v/>
      </c>
      <c r="BH432" s="4" t="str">
        <f t="shared" si="95"/>
        <v/>
      </c>
      <c r="BI432" s="5" t="str">
        <f t="shared" si="95"/>
        <v/>
      </c>
    </row>
    <row r="433" spans="1:61" x14ac:dyDescent="0.25">
      <c r="A433">
        <v>718471</v>
      </c>
      <c r="B433" t="s">
        <v>15</v>
      </c>
      <c r="C433" t="s">
        <v>16</v>
      </c>
      <c r="D433">
        <v>63653</v>
      </c>
      <c r="E433">
        <v>1171</v>
      </c>
      <c r="F433">
        <v>6</v>
      </c>
      <c r="G433">
        <v>20132</v>
      </c>
      <c r="H433" t="s">
        <v>18</v>
      </c>
      <c r="I433">
        <v>56019.8</v>
      </c>
      <c r="J433">
        <v>1781</v>
      </c>
      <c r="K433">
        <v>391834.86</v>
      </c>
      <c r="L433">
        <v>345639.55</v>
      </c>
      <c r="M433">
        <v>46195.31</v>
      </c>
      <c r="N433" s="3" t="str">
        <f t="shared" si="90"/>
        <v/>
      </c>
      <c r="O433" s="4" t="str">
        <f t="shared" si="90"/>
        <v/>
      </c>
      <c r="P433" s="4" t="str">
        <f t="shared" si="90"/>
        <v/>
      </c>
      <c r="Q433" s="4" t="str">
        <f t="shared" si="90"/>
        <v/>
      </c>
      <c r="R433" s="4" t="str">
        <f t="shared" si="90"/>
        <v/>
      </c>
      <c r="S433" s="4" t="str">
        <f t="shared" si="90"/>
        <v/>
      </c>
      <c r="T433" s="4" t="str">
        <f t="shared" si="90"/>
        <v/>
      </c>
      <c r="U433" s="4" t="str">
        <f t="shared" si="90"/>
        <v/>
      </c>
      <c r="V433" s="4" t="str">
        <f t="shared" si="82"/>
        <v/>
      </c>
      <c r="W433" s="4" t="str">
        <f t="shared" si="93"/>
        <v/>
      </c>
      <c r="X433" s="4" t="str">
        <f t="shared" si="93"/>
        <v/>
      </c>
      <c r="Y433" s="4" t="str">
        <f t="shared" si="93"/>
        <v/>
      </c>
      <c r="Z433" s="4" t="str">
        <f t="shared" si="93"/>
        <v/>
      </c>
      <c r="AA433" s="4" t="str">
        <f t="shared" si="93"/>
        <v/>
      </c>
      <c r="AB433" s="4" t="str">
        <f t="shared" si="93"/>
        <v/>
      </c>
      <c r="AC433" s="5" t="str">
        <f t="shared" si="93"/>
        <v/>
      </c>
      <c r="AD433" s="3" t="str">
        <f t="shared" si="91"/>
        <v/>
      </c>
      <c r="AE433" s="4" t="str">
        <f t="shared" si="91"/>
        <v/>
      </c>
      <c r="AF433" s="4" t="str">
        <f t="shared" si="91"/>
        <v/>
      </c>
      <c r="AG433" s="4" t="str">
        <f t="shared" si="91"/>
        <v/>
      </c>
      <c r="AH433" s="4" t="str">
        <f t="shared" si="91"/>
        <v/>
      </c>
      <c r="AI433" s="4" t="str">
        <f t="shared" si="91"/>
        <v/>
      </c>
      <c r="AJ433" s="4" t="str">
        <f t="shared" si="91"/>
        <v/>
      </c>
      <c r="AK433" s="4" t="str">
        <f t="shared" si="91"/>
        <v/>
      </c>
      <c r="AL433" s="4" t="str">
        <f t="shared" si="84"/>
        <v/>
      </c>
      <c r="AM433" s="4" t="str">
        <f t="shared" si="94"/>
        <v/>
      </c>
      <c r="AN433" s="4" t="str">
        <f t="shared" si="94"/>
        <v/>
      </c>
      <c r="AO433" s="4" t="str">
        <f t="shared" si="94"/>
        <v/>
      </c>
      <c r="AP433" s="4" t="str">
        <f t="shared" si="94"/>
        <v/>
      </c>
      <c r="AQ433" s="4" t="str">
        <f t="shared" si="94"/>
        <v/>
      </c>
      <c r="AR433" s="4" t="str">
        <f t="shared" si="94"/>
        <v/>
      </c>
      <c r="AS433" s="5" t="str">
        <f t="shared" si="94"/>
        <v/>
      </c>
      <c r="AT433" s="3" t="str">
        <f t="shared" si="92"/>
        <v/>
      </c>
      <c r="AU433" s="4" t="str">
        <f t="shared" si="92"/>
        <v/>
      </c>
      <c r="AV433" s="4" t="str">
        <f t="shared" si="92"/>
        <v/>
      </c>
      <c r="AW433" s="4" t="str">
        <f t="shared" si="92"/>
        <v/>
      </c>
      <c r="AX433" s="4" t="str">
        <f t="shared" si="92"/>
        <v/>
      </c>
      <c r="AY433" s="4" t="str">
        <f t="shared" si="92"/>
        <v/>
      </c>
      <c r="AZ433" s="4" t="str">
        <f t="shared" si="92"/>
        <v/>
      </c>
      <c r="BA433" s="4" t="str">
        <f t="shared" si="92"/>
        <v/>
      </c>
      <c r="BB433" s="4" t="str">
        <f t="shared" si="86"/>
        <v/>
      </c>
      <c r="BC433" s="4" t="str">
        <f t="shared" si="95"/>
        <v/>
      </c>
      <c r="BD433" s="4" t="str">
        <f t="shared" si="95"/>
        <v/>
      </c>
      <c r="BE433" s="4" t="str">
        <f t="shared" si="95"/>
        <v/>
      </c>
      <c r="BF433" s="4" t="str">
        <f t="shared" si="95"/>
        <v/>
      </c>
      <c r="BG433" s="4">
        <f t="shared" si="95"/>
        <v>1</v>
      </c>
      <c r="BH433" s="4" t="str">
        <f t="shared" si="95"/>
        <v/>
      </c>
      <c r="BI433" s="5" t="str">
        <f t="shared" si="95"/>
        <v/>
      </c>
    </row>
    <row r="434" spans="1:61" x14ac:dyDescent="0.25">
      <c r="A434">
        <v>718472</v>
      </c>
      <c r="B434" t="s">
        <v>15</v>
      </c>
      <c r="C434" t="s">
        <v>16</v>
      </c>
      <c r="D434">
        <v>63653</v>
      </c>
      <c r="E434">
        <v>1171</v>
      </c>
      <c r="F434">
        <v>6</v>
      </c>
      <c r="G434">
        <v>20133</v>
      </c>
      <c r="H434" t="s">
        <v>18</v>
      </c>
      <c r="I434">
        <v>36472.800000000003</v>
      </c>
      <c r="J434">
        <v>1200</v>
      </c>
      <c r="K434">
        <v>235070.98</v>
      </c>
      <c r="L434">
        <v>231150.57</v>
      </c>
      <c r="M434">
        <v>3920.41</v>
      </c>
      <c r="N434" s="3" t="str">
        <f t="shared" si="90"/>
        <v/>
      </c>
      <c r="O434" s="4" t="str">
        <f t="shared" si="90"/>
        <v/>
      </c>
      <c r="P434" s="4" t="str">
        <f t="shared" si="90"/>
        <v/>
      </c>
      <c r="Q434" s="4" t="str">
        <f t="shared" ref="N434:U466" si="96">IF(AND($B434=Q$3, $G434=Q$2, $H434=Q$1), 1, "")</f>
        <v/>
      </c>
      <c r="R434" s="4" t="str">
        <f t="shared" si="96"/>
        <v/>
      </c>
      <c r="S434" s="4" t="str">
        <f t="shared" si="96"/>
        <v/>
      </c>
      <c r="T434" s="4" t="str">
        <f t="shared" si="96"/>
        <v/>
      </c>
      <c r="U434" s="4" t="str">
        <f t="shared" si="96"/>
        <v/>
      </c>
      <c r="V434" s="4" t="str">
        <f t="shared" ref="V434:AC488" si="97">IF(AND($B434=V$3, $G434=V$2, LEFT($H434, 6)=V$1), 1, "")</f>
        <v/>
      </c>
      <c r="W434" s="4" t="str">
        <f t="shared" si="93"/>
        <v/>
      </c>
      <c r="X434" s="4" t="str">
        <f t="shared" si="93"/>
        <v/>
      </c>
      <c r="Y434" s="4" t="str">
        <f t="shared" si="93"/>
        <v/>
      </c>
      <c r="Z434" s="4" t="str">
        <f t="shared" si="93"/>
        <v/>
      </c>
      <c r="AA434" s="4" t="str">
        <f t="shared" si="93"/>
        <v/>
      </c>
      <c r="AB434" s="4" t="str">
        <f t="shared" si="93"/>
        <v/>
      </c>
      <c r="AC434" s="5" t="str">
        <f t="shared" si="93"/>
        <v/>
      </c>
      <c r="AD434" s="3" t="str">
        <f t="shared" si="91"/>
        <v/>
      </c>
      <c r="AE434" s="4" t="str">
        <f t="shared" si="91"/>
        <v/>
      </c>
      <c r="AF434" s="4" t="str">
        <f t="shared" si="91"/>
        <v/>
      </c>
      <c r="AG434" s="4" t="str">
        <f t="shared" ref="AD434:AK466" si="98">IF(AND($B434=AG$3, $G434=AG$2, $H434=AG$1), 1, "")</f>
        <v/>
      </c>
      <c r="AH434" s="4" t="str">
        <f t="shared" si="98"/>
        <v/>
      </c>
      <c r="AI434" s="4" t="str">
        <f t="shared" si="98"/>
        <v/>
      </c>
      <c r="AJ434" s="4" t="str">
        <f t="shared" si="98"/>
        <v/>
      </c>
      <c r="AK434" s="4" t="str">
        <f t="shared" si="98"/>
        <v/>
      </c>
      <c r="AL434" s="4" t="str">
        <f t="shared" ref="AL434:AS488" si="99">IF(AND($B434=AL$3, $G434=AL$2, LEFT($H434, 6)=AL$1), 1, "")</f>
        <v/>
      </c>
      <c r="AM434" s="4" t="str">
        <f t="shared" si="94"/>
        <v/>
      </c>
      <c r="AN434" s="4" t="str">
        <f t="shared" si="94"/>
        <v/>
      </c>
      <c r="AO434" s="4" t="str">
        <f t="shared" si="94"/>
        <v/>
      </c>
      <c r="AP434" s="4" t="str">
        <f t="shared" si="94"/>
        <v/>
      </c>
      <c r="AQ434" s="4" t="str">
        <f t="shared" si="94"/>
        <v/>
      </c>
      <c r="AR434" s="4" t="str">
        <f t="shared" si="94"/>
        <v/>
      </c>
      <c r="AS434" s="5" t="str">
        <f t="shared" si="94"/>
        <v/>
      </c>
      <c r="AT434" s="3" t="str">
        <f t="shared" si="92"/>
        <v/>
      </c>
      <c r="AU434" s="4" t="str">
        <f t="shared" si="92"/>
        <v/>
      </c>
      <c r="AV434" s="4" t="str">
        <f t="shared" si="92"/>
        <v/>
      </c>
      <c r="AW434" s="4" t="str">
        <f t="shared" ref="AT434:BA466" si="100">IF(AND($B434=AW$3, $G434=AW$2, $H434=AW$1), 1, "")</f>
        <v/>
      </c>
      <c r="AX434" s="4" t="str">
        <f t="shared" si="100"/>
        <v/>
      </c>
      <c r="AY434" s="4" t="str">
        <f t="shared" si="100"/>
        <v/>
      </c>
      <c r="AZ434" s="4" t="str">
        <f t="shared" si="100"/>
        <v/>
      </c>
      <c r="BA434" s="4" t="str">
        <f t="shared" si="100"/>
        <v/>
      </c>
      <c r="BB434" s="4" t="str">
        <f t="shared" ref="BB434:BI488" si="101">IF(AND($B434=BB$3, $G434=BB$2, LEFT($H434, 6)=BB$1), 1, "")</f>
        <v/>
      </c>
      <c r="BC434" s="4" t="str">
        <f t="shared" si="95"/>
        <v/>
      </c>
      <c r="BD434" s="4" t="str">
        <f t="shared" si="95"/>
        <v/>
      </c>
      <c r="BE434" s="4" t="str">
        <f t="shared" si="95"/>
        <v/>
      </c>
      <c r="BF434" s="4" t="str">
        <f t="shared" si="95"/>
        <v/>
      </c>
      <c r="BG434" s="4" t="str">
        <f t="shared" si="95"/>
        <v/>
      </c>
      <c r="BH434" s="4">
        <f t="shared" si="95"/>
        <v>1</v>
      </c>
      <c r="BI434" s="5" t="str">
        <f t="shared" si="95"/>
        <v/>
      </c>
    </row>
    <row r="435" spans="1:61" x14ac:dyDescent="0.25">
      <c r="A435">
        <v>718473</v>
      </c>
      <c r="B435" t="s">
        <v>15</v>
      </c>
      <c r="C435" t="s">
        <v>16</v>
      </c>
      <c r="D435">
        <v>63653</v>
      </c>
      <c r="E435">
        <v>1171</v>
      </c>
      <c r="F435">
        <v>6</v>
      </c>
      <c r="G435">
        <v>20134</v>
      </c>
      <c r="H435" t="s">
        <v>18</v>
      </c>
      <c r="I435">
        <v>32562.66</v>
      </c>
      <c r="J435">
        <v>1039</v>
      </c>
      <c r="K435">
        <v>190615.34</v>
      </c>
      <c r="L435">
        <v>189590.61</v>
      </c>
      <c r="M435">
        <v>1024.73</v>
      </c>
      <c r="N435" s="3" t="str">
        <f t="shared" si="96"/>
        <v/>
      </c>
      <c r="O435" s="4" t="str">
        <f t="shared" si="96"/>
        <v/>
      </c>
      <c r="P435" s="4" t="str">
        <f t="shared" si="96"/>
        <v/>
      </c>
      <c r="Q435" s="4" t="str">
        <f t="shared" si="96"/>
        <v/>
      </c>
      <c r="R435" s="4" t="str">
        <f t="shared" si="96"/>
        <v/>
      </c>
      <c r="S435" s="4" t="str">
        <f t="shared" si="96"/>
        <v/>
      </c>
      <c r="T435" s="4" t="str">
        <f t="shared" si="96"/>
        <v/>
      </c>
      <c r="U435" s="4" t="str">
        <f t="shared" si="96"/>
        <v/>
      </c>
      <c r="V435" s="4" t="str">
        <f t="shared" si="97"/>
        <v/>
      </c>
      <c r="W435" s="4" t="str">
        <f t="shared" si="93"/>
        <v/>
      </c>
      <c r="X435" s="4" t="str">
        <f t="shared" si="93"/>
        <v/>
      </c>
      <c r="Y435" s="4" t="str">
        <f t="shared" si="93"/>
        <v/>
      </c>
      <c r="Z435" s="4" t="str">
        <f t="shared" si="93"/>
        <v/>
      </c>
      <c r="AA435" s="4" t="str">
        <f t="shared" si="93"/>
        <v/>
      </c>
      <c r="AB435" s="4" t="str">
        <f t="shared" si="93"/>
        <v/>
      </c>
      <c r="AC435" s="5" t="str">
        <f t="shared" si="93"/>
        <v/>
      </c>
      <c r="AD435" s="3" t="str">
        <f t="shared" si="98"/>
        <v/>
      </c>
      <c r="AE435" s="4" t="str">
        <f t="shared" si="98"/>
        <v/>
      </c>
      <c r="AF435" s="4" t="str">
        <f t="shared" si="98"/>
        <v/>
      </c>
      <c r="AG435" s="4" t="str">
        <f t="shared" si="98"/>
        <v/>
      </c>
      <c r="AH435" s="4" t="str">
        <f t="shared" si="98"/>
        <v/>
      </c>
      <c r="AI435" s="4" t="str">
        <f t="shared" si="98"/>
        <v/>
      </c>
      <c r="AJ435" s="4" t="str">
        <f t="shared" si="98"/>
        <v/>
      </c>
      <c r="AK435" s="4" t="str">
        <f t="shared" si="98"/>
        <v/>
      </c>
      <c r="AL435" s="4" t="str">
        <f t="shared" si="99"/>
        <v/>
      </c>
      <c r="AM435" s="4" t="str">
        <f t="shared" si="94"/>
        <v/>
      </c>
      <c r="AN435" s="4" t="str">
        <f t="shared" si="94"/>
        <v/>
      </c>
      <c r="AO435" s="4" t="str">
        <f t="shared" si="94"/>
        <v/>
      </c>
      <c r="AP435" s="4" t="str">
        <f t="shared" si="94"/>
        <v/>
      </c>
      <c r="AQ435" s="4" t="str">
        <f t="shared" si="94"/>
        <v/>
      </c>
      <c r="AR435" s="4" t="str">
        <f t="shared" si="94"/>
        <v/>
      </c>
      <c r="AS435" s="5" t="str">
        <f t="shared" si="94"/>
        <v/>
      </c>
      <c r="AT435" s="3" t="str">
        <f t="shared" si="100"/>
        <v/>
      </c>
      <c r="AU435" s="4" t="str">
        <f t="shared" si="100"/>
        <v/>
      </c>
      <c r="AV435" s="4" t="str">
        <f t="shared" si="100"/>
        <v/>
      </c>
      <c r="AW435" s="4" t="str">
        <f t="shared" si="100"/>
        <v/>
      </c>
      <c r="AX435" s="4" t="str">
        <f t="shared" si="100"/>
        <v/>
      </c>
      <c r="AY435" s="4" t="str">
        <f t="shared" si="100"/>
        <v/>
      </c>
      <c r="AZ435" s="4" t="str">
        <f t="shared" si="100"/>
        <v/>
      </c>
      <c r="BA435" s="4" t="str">
        <f t="shared" si="100"/>
        <v/>
      </c>
      <c r="BB435" s="4" t="str">
        <f t="shared" si="101"/>
        <v/>
      </c>
      <c r="BC435" s="4" t="str">
        <f t="shared" si="95"/>
        <v/>
      </c>
      <c r="BD435" s="4" t="str">
        <f t="shared" si="95"/>
        <v/>
      </c>
      <c r="BE435" s="4" t="str">
        <f t="shared" si="95"/>
        <v/>
      </c>
      <c r="BF435" s="4" t="str">
        <f t="shared" si="95"/>
        <v/>
      </c>
      <c r="BG435" s="4" t="str">
        <f t="shared" si="95"/>
        <v/>
      </c>
      <c r="BH435" s="4" t="str">
        <f t="shared" si="95"/>
        <v/>
      </c>
      <c r="BI435" s="5">
        <f t="shared" si="95"/>
        <v>1</v>
      </c>
    </row>
    <row r="436" spans="1:61" x14ac:dyDescent="0.25">
      <c r="A436">
        <v>115090</v>
      </c>
      <c r="B436" t="s">
        <v>14</v>
      </c>
      <c r="C436" t="s">
        <v>16</v>
      </c>
      <c r="D436">
        <v>63653</v>
      </c>
      <c r="E436">
        <v>1332</v>
      </c>
      <c r="F436">
        <v>2</v>
      </c>
      <c r="G436">
        <v>20111</v>
      </c>
      <c r="H436" t="s">
        <v>20</v>
      </c>
      <c r="I436">
        <v>279</v>
      </c>
      <c r="J436">
        <v>61</v>
      </c>
      <c r="K436">
        <v>4377.05</v>
      </c>
      <c r="L436">
        <v>4377.05</v>
      </c>
      <c r="M436">
        <v>0</v>
      </c>
      <c r="N436" s="3" t="str">
        <f t="shared" si="96"/>
        <v/>
      </c>
      <c r="O436" s="4" t="str">
        <f t="shared" si="96"/>
        <v/>
      </c>
      <c r="P436" s="4" t="str">
        <f t="shared" si="96"/>
        <v/>
      </c>
      <c r="Q436" s="4" t="str">
        <f t="shared" si="96"/>
        <v/>
      </c>
      <c r="R436" s="4" t="str">
        <f t="shared" si="96"/>
        <v/>
      </c>
      <c r="S436" s="4" t="str">
        <f t="shared" si="96"/>
        <v/>
      </c>
      <c r="T436" s="4" t="str">
        <f t="shared" si="96"/>
        <v/>
      </c>
      <c r="U436" s="4" t="str">
        <f t="shared" si="96"/>
        <v/>
      </c>
      <c r="V436" s="4">
        <f t="shared" si="97"/>
        <v>1</v>
      </c>
      <c r="W436" s="4" t="str">
        <f t="shared" si="93"/>
        <v/>
      </c>
      <c r="X436" s="4" t="str">
        <f t="shared" si="93"/>
        <v/>
      </c>
      <c r="Y436" s="4" t="str">
        <f t="shared" si="93"/>
        <v/>
      </c>
      <c r="Z436" s="4" t="str">
        <f t="shared" si="93"/>
        <v/>
      </c>
      <c r="AA436" s="4" t="str">
        <f t="shared" si="93"/>
        <v/>
      </c>
      <c r="AB436" s="4" t="str">
        <f t="shared" si="93"/>
        <v/>
      </c>
      <c r="AC436" s="5" t="str">
        <f t="shared" si="93"/>
        <v/>
      </c>
      <c r="AD436" s="3" t="str">
        <f t="shared" si="98"/>
        <v/>
      </c>
      <c r="AE436" s="4" t="str">
        <f t="shared" si="98"/>
        <v/>
      </c>
      <c r="AF436" s="4" t="str">
        <f t="shared" si="98"/>
        <v/>
      </c>
      <c r="AG436" s="4" t="str">
        <f t="shared" si="98"/>
        <v/>
      </c>
      <c r="AH436" s="4" t="str">
        <f t="shared" si="98"/>
        <v/>
      </c>
      <c r="AI436" s="4" t="str">
        <f t="shared" si="98"/>
        <v/>
      </c>
      <c r="AJ436" s="4" t="str">
        <f t="shared" si="98"/>
        <v/>
      </c>
      <c r="AK436" s="4" t="str">
        <f t="shared" si="98"/>
        <v/>
      </c>
      <c r="AL436" s="4" t="str">
        <f t="shared" si="99"/>
        <v/>
      </c>
      <c r="AM436" s="4" t="str">
        <f t="shared" si="94"/>
        <v/>
      </c>
      <c r="AN436" s="4" t="str">
        <f t="shared" si="94"/>
        <v/>
      </c>
      <c r="AO436" s="4" t="str">
        <f t="shared" si="94"/>
        <v/>
      </c>
      <c r="AP436" s="4" t="str">
        <f t="shared" si="94"/>
        <v/>
      </c>
      <c r="AQ436" s="4" t="str">
        <f t="shared" si="94"/>
        <v/>
      </c>
      <c r="AR436" s="4" t="str">
        <f t="shared" si="94"/>
        <v/>
      </c>
      <c r="AS436" s="5" t="str">
        <f t="shared" si="94"/>
        <v/>
      </c>
      <c r="AT436" s="3" t="str">
        <f t="shared" si="100"/>
        <v/>
      </c>
      <c r="AU436" s="4" t="str">
        <f t="shared" si="100"/>
        <v/>
      </c>
      <c r="AV436" s="4" t="str">
        <f t="shared" si="100"/>
        <v/>
      </c>
      <c r="AW436" s="4" t="str">
        <f t="shared" si="100"/>
        <v/>
      </c>
      <c r="AX436" s="4" t="str">
        <f t="shared" si="100"/>
        <v/>
      </c>
      <c r="AY436" s="4" t="str">
        <f t="shared" si="100"/>
        <v/>
      </c>
      <c r="AZ436" s="4" t="str">
        <f t="shared" si="100"/>
        <v/>
      </c>
      <c r="BA436" s="4" t="str">
        <f t="shared" si="100"/>
        <v/>
      </c>
      <c r="BB436" s="4" t="str">
        <f t="shared" si="101"/>
        <v/>
      </c>
      <c r="BC436" s="4" t="str">
        <f t="shared" si="95"/>
        <v/>
      </c>
      <c r="BD436" s="4" t="str">
        <f t="shared" si="95"/>
        <v/>
      </c>
      <c r="BE436" s="4" t="str">
        <f t="shared" si="95"/>
        <v/>
      </c>
      <c r="BF436" s="4" t="str">
        <f t="shared" si="95"/>
        <v/>
      </c>
      <c r="BG436" s="4" t="str">
        <f t="shared" si="95"/>
        <v/>
      </c>
      <c r="BH436" s="4" t="str">
        <f t="shared" si="95"/>
        <v/>
      </c>
      <c r="BI436" s="5" t="str">
        <f t="shared" si="95"/>
        <v/>
      </c>
    </row>
    <row r="437" spans="1:61" x14ac:dyDescent="0.25">
      <c r="A437">
        <v>115091</v>
      </c>
      <c r="B437" t="s">
        <v>14</v>
      </c>
      <c r="C437" t="s">
        <v>16</v>
      </c>
      <c r="D437">
        <v>63653</v>
      </c>
      <c r="E437">
        <v>1332</v>
      </c>
      <c r="F437">
        <v>2</v>
      </c>
      <c r="G437">
        <v>20112</v>
      </c>
      <c r="H437" t="s">
        <v>20</v>
      </c>
      <c r="I437">
        <v>299</v>
      </c>
      <c r="J437">
        <v>62</v>
      </c>
      <c r="K437">
        <v>3998.01</v>
      </c>
      <c r="L437">
        <v>3998.01</v>
      </c>
      <c r="M437">
        <v>0</v>
      </c>
      <c r="N437" s="3" t="str">
        <f t="shared" si="96"/>
        <v/>
      </c>
      <c r="O437" s="4" t="str">
        <f t="shared" si="96"/>
        <v/>
      </c>
      <c r="P437" s="4" t="str">
        <f t="shared" si="96"/>
        <v/>
      </c>
      <c r="Q437" s="4" t="str">
        <f t="shared" si="96"/>
        <v/>
      </c>
      <c r="R437" s="4" t="str">
        <f t="shared" si="96"/>
        <v/>
      </c>
      <c r="S437" s="4" t="str">
        <f t="shared" si="96"/>
        <v/>
      </c>
      <c r="T437" s="4" t="str">
        <f t="shared" si="96"/>
        <v/>
      </c>
      <c r="U437" s="4" t="str">
        <f t="shared" si="96"/>
        <v/>
      </c>
      <c r="V437" s="4" t="str">
        <f t="shared" si="97"/>
        <v/>
      </c>
      <c r="W437" s="4">
        <f t="shared" si="93"/>
        <v>1</v>
      </c>
      <c r="X437" s="4" t="str">
        <f t="shared" si="93"/>
        <v/>
      </c>
      <c r="Y437" s="4" t="str">
        <f t="shared" si="93"/>
        <v/>
      </c>
      <c r="Z437" s="4" t="str">
        <f t="shared" si="93"/>
        <v/>
      </c>
      <c r="AA437" s="4" t="str">
        <f t="shared" si="93"/>
        <v/>
      </c>
      <c r="AB437" s="4" t="str">
        <f t="shared" si="93"/>
        <v/>
      </c>
      <c r="AC437" s="5" t="str">
        <f t="shared" si="93"/>
        <v/>
      </c>
      <c r="AD437" s="3" t="str">
        <f t="shared" si="98"/>
        <v/>
      </c>
      <c r="AE437" s="4" t="str">
        <f t="shared" si="98"/>
        <v/>
      </c>
      <c r="AF437" s="4" t="str">
        <f t="shared" si="98"/>
        <v/>
      </c>
      <c r="AG437" s="4" t="str">
        <f t="shared" si="98"/>
        <v/>
      </c>
      <c r="AH437" s="4" t="str">
        <f t="shared" si="98"/>
        <v/>
      </c>
      <c r="AI437" s="4" t="str">
        <f t="shared" si="98"/>
        <v/>
      </c>
      <c r="AJ437" s="4" t="str">
        <f t="shared" si="98"/>
        <v/>
      </c>
      <c r="AK437" s="4" t="str">
        <f t="shared" si="98"/>
        <v/>
      </c>
      <c r="AL437" s="4" t="str">
        <f t="shared" si="99"/>
        <v/>
      </c>
      <c r="AM437" s="4" t="str">
        <f t="shared" si="94"/>
        <v/>
      </c>
      <c r="AN437" s="4" t="str">
        <f t="shared" si="94"/>
        <v/>
      </c>
      <c r="AO437" s="4" t="str">
        <f t="shared" si="94"/>
        <v/>
      </c>
      <c r="AP437" s="4" t="str">
        <f t="shared" si="94"/>
        <v/>
      </c>
      <c r="AQ437" s="4" t="str">
        <f t="shared" si="94"/>
        <v/>
      </c>
      <c r="AR437" s="4" t="str">
        <f t="shared" si="94"/>
        <v/>
      </c>
      <c r="AS437" s="5" t="str">
        <f t="shared" si="94"/>
        <v/>
      </c>
      <c r="AT437" s="3" t="str">
        <f t="shared" si="100"/>
        <v/>
      </c>
      <c r="AU437" s="4" t="str">
        <f t="shared" si="100"/>
        <v/>
      </c>
      <c r="AV437" s="4" t="str">
        <f t="shared" si="100"/>
        <v/>
      </c>
      <c r="AW437" s="4" t="str">
        <f t="shared" si="100"/>
        <v/>
      </c>
      <c r="AX437" s="4" t="str">
        <f t="shared" si="100"/>
        <v/>
      </c>
      <c r="AY437" s="4" t="str">
        <f t="shared" si="100"/>
        <v/>
      </c>
      <c r="AZ437" s="4" t="str">
        <f t="shared" si="100"/>
        <v/>
      </c>
      <c r="BA437" s="4" t="str">
        <f t="shared" si="100"/>
        <v/>
      </c>
      <c r="BB437" s="4" t="str">
        <f t="shared" si="101"/>
        <v/>
      </c>
      <c r="BC437" s="4" t="str">
        <f t="shared" si="95"/>
        <v/>
      </c>
      <c r="BD437" s="4" t="str">
        <f t="shared" si="95"/>
        <v/>
      </c>
      <c r="BE437" s="4" t="str">
        <f t="shared" si="95"/>
        <v/>
      </c>
      <c r="BF437" s="4" t="str">
        <f t="shared" si="95"/>
        <v/>
      </c>
      <c r="BG437" s="4" t="str">
        <f t="shared" si="95"/>
        <v/>
      </c>
      <c r="BH437" s="4" t="str">
        <f t="shared" si="95"/>
        <v/>
      </c>
      <c r="BI437" s="5" t="str">
        <f t="shared" si="95"/>
        <v/>
      </c>
    </row>
    <row r="438" spans="1:61" x14ac:dyDescent="0.25">
      <c r="A438">
        <v>115092</v>
      </c>
      <c r="B438" t="s">
        <v>14</v>
      </c>
      <c r="C438" t="s">
        <v>16</v>
      </c>
      <c r="D438">
        <v>63653</v>
      </c>
      <c r="E438">
        <v>1332</v>
      </c>
      <c r="F438">
        <v>2</v>
      </c>
      <c r="G438">
        <v>20113</v>
      </c>
      <c r="H438" t="s">
        <v>20</v>
      </c>
      <c r="I438">
        <v>370.00099999999998</v>
      </c>
      <c r="J438">
        <v>94</v>
      </c>
      <c r="K438">
        <v>6898.01</v>
      </c>
      <c r="L438">
        <v>6895.01</v>
      </c>
      <c r="M438">
        <v>3</v>
      </c>
      <c r="N438" s="3" t="str">
        <f t="shared" si="96"/>
        <v/>
      </c>
      <c r="O438" s="4" t="str">
        <f t="shared" si="96"/>
        <v/>
      </c>
      <c r="P438" s="4" t="str">
        <f t="shared" si="96"/>
        <v/>
      </c>
      <c r="Q438" s="4" t="str">
        <f t="shared" si="96"/>
        <v/>
      </c>
      <c r="R438" s="4" t="str">
        <f t="shared" si="96"/>
        <v/>
      </c>
      <c r="S438" s="4" t="str">
        <f t="shared" si="96"/>
        <v/>
      </c>
      <c r="T438" s="4" t="str">
        <f t="shared" si="96"/>
        <v/>
      </c>
      <c r="U438" s="4" t="str">
        <f t="shared" si="96"/>
        <v/>
      </c>
      <c r="V438" s="4" t="str">
        <f t="shared" si="97"/>
        <v/>
      </c>
      <c r="W438" s="4" t="str">
        <f t="shared" si="93"/>
        <v/>
      </c>
      <c r="X438" s="4">
        <f t="shared" si="93"/>
        <v>1</v>
      </c>
      <c r="Y438" s="4" t="str">
        <f t="shared" si="93"/>
        <v/>
      </c>
      <c r="Z438" s="4" t="str">
        <f t="shared" si="93"/>
        <v/>
      </c>
      <c r="AA438" s="4" t="str">
        <f t="shared" si="93"/>
        <v/>
      </c>
      <c r="AB438" s="4" t="str">
        <f t="shared" si="93"/>
        <v/>
      </c>
      <c r="AC438" s="5" t="str">
        <f t="shared" si="93"/>
        <v/>
      </c>
      <c r="AD438" s="3" t="str">
        <f t="shared" si="98"/>
        <v/>
      </c>
      <c r="AE438" s="4" t="str">
        <f t="shared" si="98"/>
        <v/>
      </c>
      <c r="AF438" s="4" t="str">
        <f t="shared" si="98"/>
        <v/>
      </c>
      <c r="AG438" s="4" t="str">
        <f t="shared" si="98"/>
        <v/>
      </c>
      <c r="AH438" s="4" t="str">
        <f t="shared" si="98"/>
        <v/>
      </c>
      <c r="AI438" s="4" t="str">
        <f t="shared" si="98"/>
        <v/>
      </c>
      <c r="AJ438" s="4" t="str">
        <f t="shared" si="98"/>
        <v/>
      </c>
      <c r="AK438" s="4" t="str">
        <f t="shared" si="98"/>
        <v/>
      </c>
      <c r="AL438" s="4" t="str">
        <f t="shared" si="99"/>
        <v/>
      </c>
      <c r="AM438" s="4" t="str">
        <f t="shared" si="94"/>
        <v/>
      </c>
      <c r="AN438" s="4" t="str">
        <f t="shared" si="94"/>
        <v/>
      </c>
      <c r="AO438" s="4" t="str">
        <f t="shared" si="94"/>
        <v/>
      </c>
      <c r="AP438" s="4" t="str">
        <f t="shared" si="94"/>
        <v/>
      </c>
      <c r="AQ438" s="4" t="str">
        <f t="shared" si="94"/>
        <v/>
      </c>
      <c r="AR438" s="4" t="str">
        <f t="shared" si="94"/>
        <v/>
      </c>
      <c r="AS438" s="5" t="str">
        <f t="shared" si="94"/>
        <v/>
      </c>
      <c r="AT438" s="3" t="str">
        <f t="shared" si="100"/>
        <v/>
      </c>
      <c r="AU438" s="4" t="str">
        <f t="shared" si="100"/>
        <v/>
      </c>
      <c r="AV438" s="4" t="str">
        <f t="shared" si="100"/>
        <v/>
      </c>
      <c r="AW438" s="4" t="str">
        <f t="shared" si="100"/>
        <v/>
      </c>
      <c r="AX438" s="4" t="str">
        <f t="shared" si="100"/>
        <v/>
      </c>
      <c r="AY438" s="4" t="str">
        <f t="shared" si="100"/>
        <v/>
      </c>
      <c r="AZ438" s="4" t="str">
        <f t="shared" si="100"/>
        <v/>
      </c>
      <c r="BA438" s="4" t="str">
        <f t="shared" si="100"/>
        <v/>
      </c>
      <c r="BB438" s="4" t="str">
        <f t="shared" si="101"/>
        <v/>
      </c>
      <c r="BC438" s="4" t="str">
        <f t="shared" si="95"/>
        <v/>
      </c>
      <c r="BD438" s="4" t="str">
        <f t="shared" si="95"/>
        <v/>
      </c>
      <c r="BE438" s="4" t="str">
        <f t="shared" si="95"/>
        <v/>
      </c>
      <c r="BF438" s="4" t="str">
        <f t="shared" si="95"/>
        <v/>
      </c>
      <c r="BG438" s="4" t="str">
        <f t="shared" si="95"/>
        <v/>
      </c>
      <c r="BH438" s="4" t="str">
        <f t="shared" si="95"/>
        <v/>
      </c>
      <c r="BI438" s="5" t="str">
        <f t="shared" si="95"/>
        <v/>
      </c>
    </row>
    <row r="439" spans="1:61" x14ac:dyDescent="0.25">
      <c r="A439">
        <v>115093</v>
      </c>
      <c r="B439" t="s">
        <v>14</v>
      </c>
      <c r="C439" t="s">
        <v>16</v>
      </c>
      <c r="D439">
        <v>63653</v>
      </c>
      <c r="E439">
        <v>1332</v>
      </c>
      <c r="F439">
        <v>2</v>
      </c>
      <c r="G439">
        <v>20114</v>
      </c>
      <c r="H439" t="s">
        <v>20</v>
      </c>
      <c r="I439">
        <v>194.304</v>
      </c>
      <c r="J439">
        <v>68</v>
      </c>
      <c r="K439">
        <v>2635.18</v>
      </c>
      <c r="L439">
        <v>2632.18</v>
      </c>
      <c r="M439">
        <v>3</v>
      </c>
      <c r="N439" s="3" t="str">
        <f t="shared" si="96"/>
        <v/>
      </c>
      <c r="O439" s="4" t="str">
        <f t="shared" si="96"/>
        <v/>
      </c>
      <c r="P439" s="4" t="str">
        <f t="shared" si="96"/>
        <v/>
      </c>
      <c r="Q439" s="4" t="str">
        <f t="shared" si="96"/>
        <v/>
      </c>
      <c r="R439" s="4" t="str">
        <f t="shared" si="96"/>
        <v/>
      </c>
      <c r="S439" s="4" t="str">
        <f t="shared" si="96"/>
        <v/>
      </c>
      <c r="T439" s="4" t="str">
        <f t="shared" si="96"/>
        <v/>
      </c>
      <c r="U439" s="4" t="str">
        <f t="shared" si="96"/>
        <v/>
      </c>
      <c r="V439" s="4" t="str">
        <f t="shared" si="97"/>
        <v/>
      </c>
      <c r="W439" s="4" t="str">
        <f t="shared" si="93"/>
        <v/>
      </c>
      <c r="X439" s="4" t="str">
        <f t="shared" si="93"/>
        <v/>
      </c>
      <c r="Y439" s="4">
        <f t="shared" si="93"/>
        <v>1</v>
      </c>
      <c r="Z439" s="4" t="str">
        <f t="shared" si="93"/>
        <v/>
      </c>
      <c r="AA439" s="4" t="str">
        <f t="shared" si="93"/>
        <v/>
      </c>
      <c r="AB439" s="4" t="str">
        <f t="shared" si="93"/>
        <v/>
      </c>
      <c r="AC439" s="5" t="str">
        <f t="shared" si="93"/>
        <v/>
      </c>
      <c r="AD439" s="3" t="str">
        <f t="shared" si="98"/>
        <v/>
      </c>
      <c r="AE439" s="4" t="str">
        <f t="shared" si="98"/>
        <v/>
      </c>
      <c r="AF439" s="4" t="str">
        <f t="shared" si="98"/>
        <v/>
      </c>
      <c r="AG439" s="4" t="str">
        <f t="shared" si="98"/>
        <v/>
      </c>
      <c r="AH439" s="4" t="str">
        <f t="shared" si="98"/>
        <v/>
      </c>
      <c r="AI439" s="4" t="str">
        <f t="shared" si="98"/>
        <v/>
      </c>
      <c r="AJ439" s="4" t="str">
        <f t="shared" si="98"/>
        <v/>
      </c>
      <c r="AK439" s="4" t="str">
        <f t="shared" si="98"/>
        <v/>
      </c>
      <c r="AL439" s="4" t="str">
        <f t="shared" si="99"/>
        <v/>
      </c>
      <c r="AM439" s="4" t="str">
        <f t="shared" si="94"/>
        <v/>
      </c>
      <c r="AN439" s="4" t="str">
        <f t="shared" si="94"/>
        <v/>
      </c>
      <c r="AO439" s="4" t="str">
        <f t="shared" si="94"/>
        <v/>
      </c>
      <c r="AP439" s="4" t="str">
        <f t="shared" si="94"/>
        <v/>
      </c>
      <c r="AQ439" s="4" t="str">
        <f t="shared" si="94"/>
        <v/>
      </c>
      <c r="AR439" s="4" t="str">
        <f t="shared" si="94"/>
        <v/>
      </c>
      <c r="AS439" s="5" t="str">
        <f t="shared" si="94"/>
        <v/>
      </c>
      <c r="AT439" s="3" t="str">
        <f t="shared" si="100"/>
        <v/>
      </c>
      <c r="AU439" s="4" t="str">
        <f t="shared" si="100"/>
        <v/>
      </c>
      <c r="AV439" s="4" t="str">
        <f t="shared" si="100"/>
        <v/>
      </c>
      <c r="AW439" s="4" t="str">
        <f t="shared" si="100"/>
        <v/>
      </c>
      <c r="AX439" s="4" t="str">
        <f t="shared" si="100"/>
        <v/>
      </c>
      <c r="AY439" s="4" t="str">
        <f t="shared" si="100"/>
        <v/>
      </c>
      <c r="AZ439" s="4" t="str">
        <f t="shared" si="100"/>
        <v/>
      </c>
      <c r="BA439" s="4" t="str">
        <f t="shared" si="100"/>
        <v/>
      </c>
      <c r="BB439" s="4" t="str">
        <f t="shared" si="101"/>
        <v/>
      </c>
      <c r="BC439" s="4" t="str">
        <f t="shared" si="95"/>
        <v/>
      </c>
      <c r="BD439" s="4" t="str">
        <f t="shared" si="95"/>
        <v/>
      </c>
      <c r="BE439" s="4" t="str">
        <f t="shared" si="95"/>
        <v/>
      </c>
      <c r="BF439" s="4" t="str">
        <f t="shared" si="95"/>
        <v/>
      </c>
      <c r="BG439" s="4" t="str">
        <f t="shared" si="95"/>
        <v/>
      </c>
      <c r="BH439" s="4" t="str">
        <f t="shared" si="95"/>
        <v/>
      </c>
      <c r="BI439" s="5" t="str">
        <f t="shared" si="95"/>
        <v/>
      </c>
    </row>
    <row r="440" spans="1:61" x14ac:dyDescent="0.25">
      <c r="A440">
        <v>115094</v>
      </c>
      <c r="B440" t="s">
        <v>14</v>
      </c>
      <c r="C440" t="s">
        <v>16</v>
      </c>
      <c r="D440">
        <v>63653</v>
      </c>
      <c r="E440">
        <v>1332</v>
      </c>
      <c r="F440">
        <v>3</v>
      </c>
      <c r="G440">
        <v>20111</v>
      </c>
      <c r="H440" t="s">
        <v>20</v>
      </c>
      <c r="I440">
        <v>37</v>
      </c>
      <c r="J440">
        <v>16</v>
      </c>
      <c r="K440">
        <v>690.63</v>
      </c>
      <c r="L440">
        <v>690.63</v>
      </c>
      <c r="M440">
        <v>0</v>
      </c>
      <c r="N440" s="3" t="str">
        <f t="shared" si="96"/>
        <v/>
      </c>
      <c r="O440" s="4" t="str">
        <f t="shared" si="96"/>
        <v/>
      </c>
      <c r="P440" s="4" t="str">
        <f t="shared" si="96"/>
        <v/>
      </c>
      <c r="Q440" s="4" t="str">
        <f t="shared" si="96"/>
        <v/>
      </c>
      <c r="R440" s="4" t="str">
        <f t="shared" si="96"/>
        <v/>
      </c>
      <c r="S440" s="4" t="str">
        <f t="shared" si="96"/>
        <v/>
      </c>
      <c r="T440" s="4" t="str">
        <f t="shared" si="96"/>
        <v/>
      </c>
      <c r="U440" s="4" t="str">
        <f t="shared" si="96"/>
        <v/>
      </c>
      <c r="V440" s="4">
        <f t="shared" si="97"/>
        <v>1</v>
      </c>
      <c r="W440" s="4" t="str">
        <f t="shared" si="93"/>
        <v/>
      </c>
      <c r="X440" s="4" t="str">
        <f t="shared" si="93"/>
        <v/>
      </c>
      <c r="Y440" s="4" t="str">
        <f t="shared" si="93"/>
        <v/>
      </c>
      <c r="Z440" s="4" t="str">
        <f t="shared" si="93"/>
        <v/>
      </c>
      <c r="AA440" s="4" t="str">
        <f t="shared" si="93"/>
        <v/>
      </c>
      <c r="AB440" s="4" t="str">
        <f t="shared" si="93"/>
        <v/>
      </c>
      <c r="AC440" s="5" t="str">
        <f t="shared" si="93"/>
        <v/>
      </c>
      <c r="AD440" s="3" t="str">
        <f t="shared" si="98"/>
        <v/>
      </c>
      <c r="AE440" s="4" t="str">
        <f t="shared" si="98"/>
        <v/>
      </c>
      <c r="AF440" s="4" t="str">
        <f t="shared" si="98"/>
        <v/>
      </c>
      <c r="AG440" s="4" t="str">
        <f t="shared" si="98"/>
        <v/>
      </c>
      <c r="AH440" s="4" t="str">
        <f t="shared" si="98"/>
        <v/>
      </c>
      <c r="AI440" s="4" t="str">
        <f t="shared" si="98"/>
        <v/>
      </c>
      <c r="AJ440" s="4" t="str">
        <f t="shared" si="98"/>
        <v/>
      </c>
      <c r="AK440" s="4" t="str">
        <f t="shared" si="98"/>
        <v/>
      </c>
      <c r="AL440" s="4" t="str">
        <f t="shared" si="99"/>
        <v/>
      </c>
      <c r="AM440" s="4" t="str">
        <f t="shared" si="94"/>
        <v/>
      </c>
      <c r="AN440" s="4" t="str">
        <f t="shared" si="94"/>
        <v/>
      </c>
      <c r="AO440" s="4" t="str">
        <f t="shared" si="94"/>
        <v/>
      </c>
      <c r="AP440" s="4" t="str">
        <f t="shared" si="94"/>
        <v/>
      </c>
      <c r="AQ440" s="4" t="str">
        <f t="shared" si="94"/>
        <v/>
      </c>
      <c r="AR440" s="4" t="str">
        <f t="shared" si="94"/>
        <v/>
      </c>
      <c r="AS440" s="5" t="str">
        <f t="shared" si="94"/>
        <v/>
      </c>
      <c r="AT440" s="3" t="str">
        <f t="shared" si="100"/>
        <v/>
      </c>
      <c r="AU440" s="4" t="str">
        <f t="shared" si="100"/>
        <v/>
      </c>
      <c r="AV440" s="4" t="str">
        <f t="shared" si="100"/>
        <v/>
      </c>
      <c r="AW440" s="4" t="str">
        <f t="shared" si="100"/>
        <v/>
      </c>
      <c r="AX440" s="4" t="str">
        <f t="shared" si="100"/>
        <v/>
      </c>
      <c r="AY440" s="4" t="str">
        <f t="shared" si="100"/>
        <v/>
      </c>
      <c r="AZ440" s="4" t="str">
        <f t="shared" si="100"/>
        <v/>
      </c>
      <c r="BA440" s="4" t="str">
        <f t="shared" si="100"/>
        <v/>
      </c>
      <c r="BB440" s="4" t="str">
        <f t="shared" si="101"/>
        <v/>
      </c>
      <c r="BC440" s="4" t="str">
        <f t="shared" si="95"/>
        <v/>
      </c>
      <c r="BD440" s="4" t="str">
        <f t="shared" si="95"/>
        <v/>
      </c>
      <c r="BE440" s="4" t="str">
        <f t="shared" si="95"/>
        <v/>
      </c>
      <c r="BF440" s="4" t="str">
        <f t="shared" si="95"/>
        <v/>
      </c>
      <c r="BG440" s="4" t="str">
        <f t="shared" si="95"/>
        <v/>
      </c>
      <c r="BH440" s="4" t="str">
        <f t="shared" si="95"/>
        <v/>
      </c>
      <c r="BI440" s="5" t="str">
        <f t="shared" si="95"/>
        <v/>
      </c>
    </row>
    <row r="441" spans="1:61" x14ac:dyDescent="0.25">
      <c r="A441">
        <v>115095</v>
      </c>
      <c r="B441" t="s">
        <v>14</v>
      </c>
      <c r="C441" t="s">
        <v>16</v>
      </c>
      <c r="D441">
        <v>63653</v>
      </c>
      <c r="E441">
        <v>1332</v>
      </c>
      <c r="F441">
        <v>3</v>
      </c>
      <c r="G441">
        <v>20112</v>
      </c>
      <c r="H441" t="s">
        <v>20</v>
      </c>
      <c r="I441">
        <v>49</v>
      </c>
      <c r="J441">
        <v>14</v>
      </c>
      <c r="K441">
        <v>1452.71</v>
      </c>
      <c r="L441">
        <v>1452.71</v>
      </c>
      <c r="M441">
        <v>0</v>
      </c>
      <c r="N441" s="3" t="str">
        <f t="shared" si="96"/>
        <v/>
      </c>
      <c r="O441" s="4" t="str">
        <f t="shared" si="96"/>
        <v/>
      </c>
      <c r="P441" s="4" t="str">
        <f t="shared" si="96"/>
        <v/>
      </c>
      <c r="Q441" s="4" t="str">
        <f t="shared" si="96"/>
        <v/>
      </c>
      <c r="R441" s="4" t="str">
        <f t="shared" si="96"/>
        <v/>
      </c>
      <c r="S441" s="4" t="str">
        <f t="shared" si="96"/>
        <v/>
      </c>
      <c r="T441" s="4" t="str">
        <f t="shared" si="96"/>
        <v/>
      </c>
      <c r="U441" s="4" t="str">
        <f t="shared" si="96"/>
        <v/>
      </c>
      <c r="V441" s="4" t="str">
        <f t="shared" si="97"/>
        <v/>
      </c>
      <c r="W441" s="4">
        <f t="shared" si="93"/>
        <v>1</v>
      </c>
      <c r="X441" s="4" t="str">
        <f t="shared" si="93"/>
        <v/>
      </c>
      <c r="Y441" s="4" t="str">
        <f t="shared" si="93"/>
        <v/>
      </c>
      <c r="Z441" s="4" t="str">
        <f t="shared" si="93"/>
        <v/>
      </c>
      <c r="AA441" s="4" t="str">
        <f t="shared" si="93"/>
        <v/>
      </c>
      <c r="AB441" s="4" t="str">
        <f t="shared" si="93"/>
        <v/>
      </c>
      <c r="AC441" s="5" t="str">
        <f t="shared" si="93"/>
        <v/>
      </c>
      <c r="AD441" s="3" t="str">
        <f t="shared" si="98"/>
        <v/>
      </c>
      <c r="AE441" s="4" t="str">
        <f t="shared" si="98"/>
        <v/>
      </c>
      <c r="AF441" s="4" t="str">
        <f t="shared" si="98"/>
        <v/>
      </c>
      <c r="AG441" s="4" t="str">
        <f t="shared" si="98"/>
        <v/>
      </c>
      <c r="AH441" s="4" t="str">
        <f t="shared" si="98"/>
        <v/>
      </c>
      <c r="AI441" s="4" t="str">
        <f t="shared" si="98"/>
        <v/>
      </c>
      <c r="AJ441" s="4" t="str">
        <f t="shared" si="98"/>
        <v/>
      </c>
      <c r="AK441" s="4" t="str">
        <f t="shared" si="98"/>
        <v/>
      </c>
      <c r="AL441" s="4" t="str">
        <f t="shared" si="99"/>
        <v/>
      </c>
      <c r="AM441" s="4" t="str">
        <f t="shared" si="94"/>
        <v/>
      </c>
      <c r="AN441" s="4" t="str">
        <f t="shared" si="94"/>
        <v/>
      </c>
      <c r="AO441" s="4" t="str">
        <f t="shared" si="94"/>
        <v/>
      </c>
      <c r="AP441" s="4" t="str">
        <f t="shared" si="94"/>
        <v/>
      </c>
      <c r="AQ441" s="4" t="str">
        <f t="shared" si="94"/>
        <v/>
      </c>
      <c r="AR441" s="4" t="str">
        <f t="shared" si="94"/>
        <v/>
      </c>
      <c r="AS441" s="5" t="str">
        <f t="shared" si="94"/>
        <v/>
      </c>
      <c r="AT441" s="3" t="str">
        <f t="shared" si="100"/>
        <v/>
      </c>
      <c r="AU441" s="4" t="str">
        <f t="shared" si="100"/>
        <v/>
      </c>
      <c r="AV441" s="4" t="str">
        <f t="shared" si="100"/>
        <v/>
      </c>
      <c r="AW441" s="4" t="str">
        <f t="shared" si="100"/>
        <v/>
      </c>
      <c r="AX441" s="4" t="str">
        <f t="shared" si="100"/>
        <v/>
      </c>
      <c r="AY441" s="4" t="str">
        <f t="shared" si="100"/>
        <v/>
      </c>
      <c r="AZ441" s="4" t="str">
        <f t="shared" si="100"/>
        <v/>
      </c>
      <c r="BA441" s="4" t="str">
        <f t="shared" si="100"/>
        <v/>
      </c>
      <c r="BB441" s="4" t="str">
        <f t="shared" si="101"/>
        <v/>
      </c>
      <c r="BC441" s="4" t="str">
        <f t="shared" si="95"/>
        <v/>
      </c>
      <c r="BD441" s="4" t="str">
        <f t="shared" si="95"/>
        <v/>
      </c>
      <c r="BE441" s="4" t="str">
        <f t="shared" si="95"/>
        <v/>
      </c>
      <c r="BF441" s="4" t="str">
        <f t="shared" si="95"/>
        <v/>
      </c>
      <c r="BG441" s="4" t="str">
        <f t="shared" si="95"/>
        <v/>
      </c>
      <c r="BH441" s="4" t="str">
        <f t="shared" si="95"/>
        <v/>
      </c>
      <c r="BI441" s="5" t="str">
        <f t="shared" si="95"/>
        <v/>
      </c>
    </row>
    <row r="442" spans="1:61" x14ac:dyDescent="0.25">
      <c r="A442">
        <v>115096</v>
      </c>
      <c r="B442" t="s">
        <v>14</v>
      </c>
      <c r="C442" t="s">
        <v>16</v>
      </c>
      <c r="D442">
        <v>63653</v>
      </c>
      <c r="E442">
        <v>1332</v>
      </c>
      <c r="F442">
        <v>3</v>
      </c>
      <c r="G442">
        <v>20113</v>
      </c>
      <c r="H442" t="s">
        <v>21</v>
      </c>
      <c r="I442">
        <v>49</v>
      </c>
      <c r="J442">
        <v>19</v>
      </c>
      <c r="K442">
        <v>599.09</v>
      </c>
      <c r="L442">
        <v>599.09</v>
      </c>
      <c r="M442">
        <v>0</v>
      </c>
      <c r="N442" s="3" t="str">
        <f t="shared" si="96"/>
        <v/>
      </c>
      <c r="O442" s="4" t="str">
        <f t="shared" si="96"/>
        <v/>
      </c>
      <c r="P442" s="4" t="str">
        <f t="shared" si="96"/>
        <v/>
      </c>
      <c r="Q442" s="4" t="str">
        <f t="shared" si="96"/>
        <v/>
      </c>
      <c r="R442" s="4" t="str">
        <f t="shared" si="96"/>
        <v/>
      </c>
      <c r="S442" s="4" t="str">
        <f t="shared" si="96"/>
        <v/>
      </c>
      <c r="T442" s="4" t="str">
        <f t="shared" si="96"/>
        <v/>
      </c>
      <c r="U442" s="4" t="str">
        <f t="shared" si="96"/>
        <v/>
      </c>
      <c r="V442" s="4" t="str">
        <f t="shared" si="97"/>
        <v/>
      </c>
      <c r="W442" s="4" t="str">
        <f t="shared" si="93"/>
        <v/>
      </c>
      <c r="X442" s="4">
        <f t="shared" si="93"/>
        <v>1</v>
      </c>
      <c r="Y442" s="4" t="str">
        <f t="shared" si="93"/>
        <v/>
      </c>
      <c r="Z442" s="4" t="str">
        <f t="shared" si="93"/>
        <v/>
      </c>
      <c r="AA442" s="4" t="str">
        <f t="shared" si="93"/>
        <v/>
      </c>
      <c r="AB442" s="4" t="str">
        <f t="shared" si="93"/>
        <v/>
      </c>
      <c r="AC442" s="5" t="str">
        <f t="shared" si="93"/>
        <v/>
      </c>
      <c r="AD442" s="3" t="str">
        <f t="shared" si="98"/>
        <v/>
      </c>
      <c r="AE442" s="4" t="str">
        <f t="shared" si="98"/>
        <v/>
      </c>
      <c r="AF442" s="4" t="str">
        <f t="shared" si="98"/>
        <v/>
      </c>
      <c r="AG442" s="4" t="str">
        <f t="shared" si="98"/>
        <v/>
      </c>
      <c r="AH442" s="4" t="str">
        <f t="shared" si="98"/>
        <v/>
      </c>
      <c r="AI442" s="4" t="str">
        <f t="shared" si="98"/>
        <v/>
      </c>
      <c r="AJ442" s="4" t="str">
        <f t="shared" si="98"/>
        <v/>
      </c>
      <c r="AK442" s="4" t="str">
        <f t="shared" si="98"/>
        <v/>
      </c>
      <c r="AL442" s="4" t="str">
        <f t="shared" si="99"/>
        <v/>
      </c>
      <c r="AM442" s="4" t="str">
        <f t="shared" si="94"/>
        <v/>
      </c>
      <c r="AN442" s="4" t="str">
        <f t="shared" si="94"/>
        <v/>
      </c>
      <c r="AO442" s="4" t="str">
        <f t="shared" si="94"/>
        <v/>
      </c>
      <c r="AP442" s="4" t="str">
        <f t="shared" si="94"/>
        <v/>
      </c>
      <c r="AQ442" s="4" t="str">
        <f t="shared" si="94"/>
        <v/>
      </c>
      <c r="AR442" s="4" t="str">
        <f t="shared" si="94"/>
        <v/>
      </c>
      <c r="AS442" s="5" t="str">
        <f t="shared" si="94"/>
        <v/>
      </c>
      <c r="AT442" s="3" t="str">
        <f t="shared" si="100"/>
        <v/>
      </c>
      <c r="AU442" s="4" t="str">
        <f t="shared" si="100"/>
        <v/>
      </c>
      <c r="AV442" s="4" t="str">
        <f t="shared" si="100"/>
        <v/>
      </c>
      <c r="AW442" s="4" t="str">
        <f t="shared" si="100"/>
        <v/>
      </c>
      <c r="AX442" s="4" t="str">
        <f t="shared" si="100"/>
        <v/>
      </c>
      <c r="AY442" s="4" t="str">
        <f t="shared" si="100"/>
        <v/>
      </c>
      <c r="AZ442" s="4" t="str">
        <f t="shared" si="100"/>
        <v/>
      </c>
      <c r="BA442" s="4" t="str">
        <f t="shared" si="100"/>
        <v/>
      </c>
      <c r="BB442" s="4" t="str">
        <f t="shared" si="101"/>
        <v/>
      </c>
      <c r="BC442" s="4" t="str">
        <f t="shared" si="95"/>
        <v/>
      </c>
      <c r="BD442" s="4" t="str">
        <f t="shared" si="95"/>
        <v/>
      </c>
      <c r="BE442" s="4" t="str">
        <f t="shared" si="95"/>
        <v/>
      </c>
      <c r="BF442" s="4" t="str">
        <f t="shared" si="95"/>
        <v/>
      </c>
      <c r="BG442" s="4" t="str">
        <f t="shared" si="95"/>
        <v/>
      </c>
      <c r="BH442" s="4" t="str">
        <f t="shared" si="95"/>
        <v/>
      </c>
      <c r="BI442" s="5" t="str">
        <f t="shared" si="95"/>
        <v/>
      </c>
    </row>
    <row r="443" spans="1:61" x14ac:dyDescent="0.25">
      <c r="A443">
        <v>115097</v>
      </c>
      <c r="B443" t="s">
        <v>14</v>
      </c>
      <c r="C443" t="s">
        <v>16</v>
      </c>
      <c r="D443">
        <v>63653</v>
      </c>
      <c r="E443">
        <v>1332</v>
      </c>
      <c r="F443">
        <v>3</v>
      </c>
      <c r="G443">
        <v>20114</v>
      </c>
      <c r="H443" t="s">
        <v>21</v>
      </c>
      <c r="I443">
        <v>19</v>
      </c>
      <c r="J443">
        <v>9</v>
      </c>
      <c r="K443">
        <v>350.85</v>
      </c>
      <c r="L443">
        <v>350.85</v>
      </c>
      <c r="M443">
        <v>0</v>
      </c>
      <c r="N443" s="3" t="str">
        <f t="shared" si="96"/>
        <v/>
      </c>
      <c r="O443" s="4" t="str">
        <f t="shared" si="96"/>
        <v/>
      </c>
      <c r="P443" s="4" t="str">
        <f t="shared" si="96"/>
        <v/>
      </c>
      <c r="Q443" s="4" t="str">
        <f t="shared" si="96"/>
        <v/>
      </c>
      <c r="R443" s="4" t="str">
        <f t="shared" si="96"/>
        <v/>
      </c>
      <c r="S443" s="4" t="str">
        <f t="shared" si="96"/>
        <v/>
      </c>
      <c r="T443" s="4" t="str">
        <f t="shared" si="96"/>
        <v/>
      </c>
      <c r="U443" s="4" t="str">
        <f t="shared" si="96"/>
        <v/>
      </c>
      <c r="V443" s="4" t="str">
        <f t="shared" si="97"/>
        <v/>
      </c>
      <c r="W443" s="4" t="str">
        <f t="shared" si="93"/>
        <v/>
      </c>
      <c r="X443" s="4" t="str">
        <f t="shared" si="93"/>
        <v/>
      </c>
      <c r="Y443" s="4">
        <f t="shared" si="93"/>
        <v>1</v>
      </c>
      <c r="Z443" s="4" t="str">
        <f t="shared" si="93"/>
        <v/>
      </c>
      <c r="AA443" s="4" t="str">
        <f t="shared" si="93"/>
        <v/>
      </c>
      <c r="AB443" s="4" t="str">
        <f t="shared" si="93"/>
        <v/>
      </c>
      <c r="AC443" s="5" t="str">
        <f t="shared" si="93"/>
        <v/>
      </c>
      <c r="AD443" s="3" t="str">
        <f t="shared" si="98"/>
        <v/>
      </c>
      <c r="AE443" s="4" t="str">
        <f t="shared" si="98"/>
        <v/>
      </c>
      <c r="AF443" s="4" t="str">
        <f t="shared" si="98"/>
        <v/>
      </c>
      <c r="AG443" s="4" t="str">
        <f t="shared" si="98"/>
        <v/>
      </c>
      <c r="AH443" s="4" t="str">
        <f t="shared" si="98"/>
        <v/>
      </c>
      <c r="AI443" s="4" t="str">
        <f t="shared" si="98"/>
        <v/>
      </c>
      <c r="AJ443" s="4" t="str">
        <f t="shared" si="98"/>
        <v/>
      </c>
      <c r="AK443" s="4" t="str">
        <f t="shared" si="98"/>
        <v/>
      </c>
      <c r="AL443" s="4" t="str">
        <f t="shared" si="99"/>
        <v/>
      </c>
      <c r="AM443" s="4" t="str">
        <f t="shared" si="94"/>
        <v/>
      </c>
      <c r="AN443" s="4" t="str">
        <f t="shared" si="94"/>
        <v/>
      </c>
      <c r="AO443" s="4" t="str">
        <f t="shared" si="94"/>
        <v/>
      </c>
      <c r="AP443" s="4" t="str">
        <f t="shared" si="94"/>
        <v/>
      </c>
      <c r="AQ443" s="4" t="str">
        <f t="shared" si="94"/>
        <v/>
      </c>
      <c r="AR443" s="4" t="str">
        <f t="shared" si="94"/>
        <v/>
      </c>
      <c r="AS443" s="5" t="str">
        <f t="shared" si="94"/>
        <v/>
      </c>
      <c r="AT443" s="3" t="str">
        <f t="shared" si="100"/>
        <v/>
      </c>
      <c r="AU443" s="4" t="str">
        <f t="shared" si="100"/>
        <v/>
      </c>
      <c r="AV443" s="4" t="str">
        <f t="shared" si="100"/>
        <v/>
      </c>
      <c r="AW443" s="4" t="str">
        <f t="shared" si="100"/>
        <v/>
      </c>
      <c r="AX443" s="4" t="str">
        <f t="shared" si="100"/>
        <v/>
      </c>
      <c r="AY443" s="4" t="str">
        <f t="shared" si="100"/>
        <v/>
      </c>
      <c r="AZ443" s="4" t="str">
        <f t="shared" si="100"/>
        <v/>
      </c>
      <c r="BA443" s="4" t="str">
        <f t="shared" si="100"/>
        <v/>
      </c>
      <c r="BB443" s="4" t="str">
        <f t="shared" si="101"/>
        <v/>
      </c>
      <c r="BC443" s="4" t="str">
        <f t="shared" si="95"/>
        <v/>
      </c>
      <c r="BD443" s="4" t="str">
        <f t="shared" si="95"/>
        <v/>
      </c>
      <c r="BE443" s="4" t="str">
        <f t="shared" si="95"/>
        <v/>
      </c>
      <c r="BF443" s="4" t="str">
        <f t="shared" si="95"/>
        <v/>
      </c>
      <c r="BG443" s="4" t="str">
        <f t="shared" si="95"/>
        <v/>
      </c>
      <c r="BH443" s="4" t="str">
        <f t="shared" si="95"/>
        <v/>
      </c>
      <c r="BI443" s="5" t="str">
        <f t="shared" si="95"/>
        <v/>
      </c>
    </row>
    <row r="444" spans="1:61" x14ac:dyDescent="0.25">
      <c r="A444">
        <v>221504</v>
      </c>
      <c r="B444" t="s">
        <v>15</v>
      </c>
      <c r="C444" t="s">
        <v>16</v>
      </c>
      <c r="D444">
        <v>63653</v>
      </c>
      <c r="E444">
        <v>1332</v>
      </c>
      <c r="F444">
        <v>2</v>
      </c>
      <c r="G444">
        <v>20111</v>
      </c>
      <c r="H444" t="s">
        <v>21</v>
      </c>
      <c r="I444">
        <v>2</v>
      </c>
      <c r="J444">
        <v>2</v>
      </c>
      <c r="K444">
        <v>49.48</v>
      </c>
      <c r="L444">
        <v>49.48</v>
      </c>
      <c r="M444">
        <v>0</v>
      </c>
      <c r="N444" s="3" t="str">
        <f t="shared" si="96"/>
        <v/>
      </c>
      <c r="O444" s="4" t="str">
        <f t="shared" si="96"/>
        <v/>
      </c>
      <c r="P444" s="4" t="str">
        <f t="shared" si="96"/>
        <v/>
      </c>
      <c r="Q444" s="4" t="str">
        <f t="shared" si="96"/>
        <v/>
      </c>
      <c r="R444" s="4" t="str">
        <f t="shared" si="96"/>
        <v/>
      </c>
      <c r="S444" s="4" t="str">
        <f t="shared" si="96"/>
        <v/>
      </c>
      <c r="T444" s="4" t="str">
        <f t="shared" si="96"/>
        <v/>
      </c>
      <c r="U444" s="4" t="str">
        <f t="shared" si="96"/>
        <v/>
      </c>
      <c r="V444" s="4" t="str">
        <f t="shared" si="97"/>
        <v/>
      </c>
      <c r="W444" s="4" t="str">
        <f t="shared" si="93"/>
        <v/>
      </c>
      <c r="X444" s="4" t="str">
        <f t="shared" si="93"/>
        <v/>
      </c>
      <c r="Y444" s="4" t="str">
        <f t="shared" si="93"/>
        <v/>
      </c>
      <c r="Z444" s="4">
        <f t="shared" si="93"/>
        <v>1</v>
      </c>
      <c r="AA444" s="4" t="str">
        <f t="shared" si="93"/>
        <v/>
      </c>
      <c r="AB444" s="4" t="str">
        <f t="shared" si="93"/>
        <v/>
      </c>
      <c r="AC444" s="5" t="str">
        <f t="shared" si="93"/>
        <v/>
      </c>
      <c r="AD444" s="3" t="str">
        <f t="shared" si="98"/>
        <v/>
      </c>
      <c r="AE444" s="4" t="str">
        <f t="shared" si="98"/>
        <v/>
      </c>
      <c r="AF444" s="4" t="str">
        <f t="shared" si="98"/>
        <v/>
      </c>
      <c r="AG444" s="4" t="str">
        <f t="shared" si="98"/>
        <v/>
      </c>
      <c r="AH444" s="4" t="str">
        <f t="shared" si="98"/>
        <v/>
      </c>
      <c r="AI444" s="4" t="str">
        <f t="shared" si="98"/>
        <v/>
      </c>
      <c r="AJ444" s="4" t="str">
        <f t="shared" si="98"/>
        <v/>
      </c>
      <c r="AK444" s="4" t="str">
        <f t="shared" si="98"/>
        <v/>
      </c>
      <c r="AL444" s="4" t="str">
        <f t="shared" si="99"/>
        <v/>
      </c>
      <c r="AM444" s="4" t="str">
        <f t="shared" si="94"/>
        <v/>
      </c>
      <c r="AN444" s="4" t="str">
        <f t="shared" si="94"/>
        <v/>
      </c>
      <c r="AO444" s="4" t="str">
        <f t="shared" si="94"/>
        <v/>
      </c>
      <c r="AP444" s="4" t="str">
        <f t="shared" si="94"/>
        <v/>
      </c>
      <c r="AQ444" s="4" t="str">
        <f t="shared" si="94"/>
        <v/>
      </c>
      <c r="AR444" s="4" t="str">
        <f t="shared" si="94"/>
        <v/>
      </c>
      <c r="AS444" s="5" t="str">
        <f t="shared" si="94"/>
        <v/>
      </c>
      <c r="AT444" s="3" t="str">
        <f t="shared" si="100"/>
        <v/>
      </c>
      <c r="AU444" s="4" t="str">
        <f t="shared" si="100"/>
        <v/>
      </c>
      <c r="AV444" s="4" t="str">
        <f t="shared" si="100"/>
        <v/>
      </c>
      <c r="AW444" s="4" t="str">
        <f t="shared" si="100"/>
        <v/>
      </c>
      <c r="AX444" s="4" t="str">
        <f t="shared" si="100"/>
        <v/>
      </c>
      <c r="AY444" s="4" t="str">
        <f t="shared" si="100"/>
        <v/>
      </c>
      <c r="AZ444" s="4" t="str">
        <f t="shared" si="100"/>
        <v/>
      </c>
      <c r="BA444" s="4" t="str">
        <f t="shared" si="100"/>
        <v/>
      </c>
      <c r="BB444" s="4" t="str">
        <f t="shared" si="101"/>
        <v/>
      </c>
      <c r="BC444" s="4" t="str">
        <f t="shared" si="95"/>
        <v/>
      </c>
      <c r="BD444" s="4" t="str">
        <f t="shared" si="95"/>
        <v/>
      </c>
      <c r="BE444" s="4" t="str">
        <f t="shared" si="95"/>
        <v/>
      </c>
      <c r="BF444" s="4" t="str">
        <f t="shared" si="95"/>
        <v/>
      </c>
      <c r="BG444" s="4" t="str">
        <f t="shared" si="95"/>
        <v/>
      </c>
      <c r="BH444" s="4" t="str">
        <f t="shared" si="95"/>
        <v/>
      </c>
      <c r="BI444" s="5" t="str">
        <f t="shared" si="95"/>
        <v/>
      </c>
    </row>
    <row r="445" spans="1:61" x14ac:dyDescent="0.25">
      <c r="A445">
        <v>221505</v>
      </c>
      <c r="B445" t="s">
        <v>15</v>
      </c>
      <c r="C445" t="s">
        <v>16</v>
      </c>
      <c r="D445">
        <v>63653</v>
      </c>
      <c r="E445">
        <v>1332</v>
      </c>
      <c r="F445">
        <v>2</v>
      </c>
      <c r="G445">
        <v>20112</v>
      </c>
      <c r="H445" t="s">
        <v>20</v>
      </c>
      <c r="I445">
        <v>1</v>
      </c>
      <c r="J445">
        <v>1</v>
      </c>
      <c r="K445">
        <v>12.75</v>
      </c>
      <c r="L445">
        <v>12.75</v>
      </c>
      <c r="M445">
        <v>0</v>
      </c>
      <c r="N445" s="3" t="str">
        <f t="shared" si="96"/>
        <v/>
      </c>
      <c r="O445" s="4" t="str">
        <f t="shared" si="96"/>
        <v/>
      </c>
      <c r="P445" s="4" t="str">
        <f t="shared" si="96"/>
        <v/>
      </c>
      <c r="Q445" s="4" t="str">
        <f t="shared" si="96"/>
        <v/>
      </c>
      <c r="R445" s="4" t="str">
        <f t="shared" si="96"/>
        <v/>
      </c>
      <c r="S445" s="4" t="str">
        <f t="shared" si="96"/>
        <v/>
      </c>
      <c r="T445" s="4" t="str">
        <f t="shared" si="96"/>
        <v/>
      </c>
      <c r="U445" s="4" t="str">
        <f t="shared" si="96"/>
        <v/>
      </c>
      <c r="V445" s="4" t="str">
        <f t="shared" si="97"/>
        <v/>
      </c>
      <c r="W445" s="4" t="str">
        <f t="shared" si="93"/>
        <v/>
      </c>
      <c r="X445" s="4" t="str">
        <f t="shared" si="93"/>
        <v/>
      </c>
      <c r="Y445" s="4" t="str">
        <f t="shared" si="93"/>
        <v/>
      </c>
      <c r="Z445" s="4" t="str">
        <f t="shared" si="93"/>
        <v/>
      </c>
      <c r="AA445" s="4">
        <f t="shared" si="93"/>
        <v>1</v>
      </c>
      <c r="AB445" s="4" t="str">
        <f t="shared" si="93"/>
        <v/>
      </c>
      <c r="AC445" s="5" t="str">
        <f t="shared" si="93"/>
        <v/>
      </c>
      <c r="AD445" s="3" t="str">
        <f t="shared" si="98"/>
        <v/>
      </c>
      <c r="AE445" s="4" t="str">
        <f t="shared" si="98"/>
        <v/>
      </c>
      <c r="AF445" s="4" t="str">
        <f t="shared" si="98"/>
        <v/>
      </c>
      <c r="AG445" s="4" t="str">
        <f t="shared" si="98"/>
        <v/>
      </c>
      <c r="AH445" s="4" t="str">
        <f t="shared" si="98"/>
        <v/>
      </c>
      <c r="AI445" s="4" t="str">
        <f t="shared" si="98"/>
        <v/>
      </c>
      <c r="AJ445" s="4" t="str">
        <f t="shared" si="98"/>
        <v/>
      </c>
      <c r="AK445" s="4" t="str">
        <f t="shared" si="98"/>
        <v/>
      </c>
      <c r="AL445" s="4" t="str">
        <f t="shared" si="99"/>
        <v/>
      </c>
      <c r="AM445" s="4" t="str">
        <f t="shared" si="94"/>
        <v/>
      </c>
      <c r="AN445" s="4" t="str">
        <f t="shared" si="94"/>
        <v/>
      </c>
      <c r="AO445" s="4" t="str">
        <f t="shared" si="94"/>
        <v/>
      </c>
      <c r="AP445" s="4" t="str">
        <f t="shared" si="94"/>
        <v/>
      </c>
      <c r="AQ445" s="4" t="str">
        <f t="shared" si="94"/>
        <v/>
      </c>
      <c r="AR445" s="4" t="str">
        <f t="shared" si="94"/>
        <v/>
      </c>
      <c r="AS445" s="5" t="str">
        <f t="shared" si="94"/>
        <v/>
      </c>
      <c r="AT445" s="3" t="str">
        <f t="shared" si="100"/>
        <v/>
      </c>
      <c r="AU445" s="4" t="str">
        <f t="shared" si="100"/>
        <v/>
      </c>
      <c r="AV445" s="4" t="str">
        <f t="shared" si="100"/>
        <v/>
      </c>
      <c r="AW445" s="4" t="str">
        <f t="shared" si="100"/>
        <v/>
      </c>
      <c r="AX445" s="4" t="str">
        <f t="shared" si="100"/>
        <v/>
      </c>
      <c r="AY445" s="4" t="str">
        <f t="shared" si="100"/>
        <v/>
      </c>
      <c r="AZ445" s="4" t="str">
        <f t="shared" si="100"/>
        <v/>
      </c>
      <c r="BA445" s="4" t="str">
        <f t="shared" si="100"/>
        <v/>
      </c>
      <c r="BB445" s="4" t="str">
        <f t="shared" si="101"/>
        <v/>
      </c>
      <c r="BC445" s="4" t="str">
        <f t="shared" si="95"/>
        <v/>
      </c>
      <c r="BD445" s="4" t="str">
        <f t="shared" si="95"/>
        <v/>
      </c>
      <c r="BE445" s="4" t="str">
        <f t="shared" si="95"/>
        <v/>
      </c>
      <c r="BF445" s="4" t="str">
        <f t="shared" si="95"/>
        <v/>
      </c>
      <c r="BG445" s="4" t="str">
        <f t="shared" si="95"/>
        <v/>
      </c>
      <c r="BH445" s="4" t="str">
        <f t="shared" si="95"/>
        <v/>
      </c>
      <c r="BI445" s="5" t="str">
        <f t="shared" si="95"/>
        <v/>
      </c>
    </row>
    <row r="446" spans="1:61" x14ac:dyDescent="0.25">
      <c r="A446">
        <v>221506</v>
      </c>
      <c r="B446" t="s">
        <v>15</v>
      </c>
      <c r="C446" t="s">
        <v>16</v>
      </c>
      <c r="D446">
        <v>63653</v>
      </c>
      <c r="E446">
        <v>1332</v>
      </c>
      <c r="F446">
        <v>2</v>
      </c>
      <c r="G446">
        <v>20113</v>
      </c>
      <c r="H446" t="s">
        <v>20</v>
      </c>
      <c r="I446">
        <v>1</v>
      </c>
      <c r="J446">
        <v>1</v>
      </c>
      <c r="K446">
        <v>18.899999999999999</v>
      </c>
      <c r="L446">
        <v>9.7100000000000009</v>
      </c>
      <c r="M446">
        <v>9.19</v>
      </c>
      <c r="N446" s="3" t="str">
        <f t="shared" si="96"/>
        <v/>
      </c>
      <c r="O446" s="4" t="str">
        <f t="shared" si="96"/>
        <v/>
      </c>
      <c r="P446" s="4" t="str">
        <f t="shared" si="96"/>
        <v/>
      </c>
      <c r="Q446" s="4" t="str">
        <f t="shared" si="96"/>
        <v/>
      </c>
      <c r="R446" s="4" t="str">
        <f t="shared" si="96"/>
        <v/>
      </c>
      <c r="S446" s="4" t="str">
        <f t="shared" si="96"/>
        <v/>
      </c>
      <c r="T446" s="4" t="str">
        <f t="shared" si="96"/>
        <v/>
      </c>
      <c r="U446" s="4" t="str">
        <f t="shared" si="96"/>
        <v/>
      </c>
      <c r="V446" s="4" t="str">
        <f t="shared" si="97"/>
        <v/>
      </c>
      <c r="W446" s="4" t="str">
        <f t="shared" si="93"/>
        <v/>
      </c>
      <c r="X446" s="4" t="str">
        <f t="shared" si="93"/>
        <v/>
      </c>
      <c r="Y446" s="4" t="str">
        <f t="shared" si="93"/>
        <v/>
      </c>
      <c r="Z446" s="4" t="str">
        <f t="shared" si="93"/>
        <v/>
      </c>
      <c r="AA446" s="4" t="str">
        <f t="shared" si="93"/>
        <v/>
      </c>
      <c r="AB446" s="4">
        <f t="shared" si="93"/>
        <v>1</v>
      </c>
      <c r="AC446" s="5" t="str">
        <f t="shared" si="93"/>
        <v/>
      </c>
      <c r="AD446" s="3" t="str">
        <f t="shared" si="98"/>
        <v/>
      </c>
      <c r="AE446" s="4" t="str">
        <f t="shared" si="98"/>
        <v/>
      </c>
      <c r="AF446" s="4" t="str">
        <f t="shared" si="98"/>
        <v/>
      </c>
      <c r="AG446" s="4" t="str">
        <f t="shared" si="98"/>
        <v/>
      </c>
      <c r="AH446" s="4" t="str">
        <f t="shared" si="98"/>
        <v/>
      </c>
      <c r="AI446" s="4" t="str">
        <f t="shared" si="98"/>
        <v/>
      </c>
      <c r="AJ446" s="4" t="str">
        <f t="shared" si="98"/>
        <v/>
      </c>
      <c r="AK446" s="4" t="str">
        <f t="shared" si="98"/>
        <v/>
      </c>
      <c r="AL446" s="4" t="str">
        <f t="shared" si="99"/>
        <v/>
      </c>
      <c r="AM446" s="4" t="str">
        <f t="shared" si="94"/>
        <v/>
      </c>
      <c r="AN446" s="4" t="str">
        <f t="shared" si="94"/>
        <v/>
      </c>
      <c r="AO446" s="4" t="str">
        <f t="shared" si="94"/>
        <v/>
      </c>
      <c r="AP446" s="4" t="str">
        <f t="shared" si="94"/>
        <v/>
      </c>
      <c r="AQ446" s="4" t="str">
        <f t="shared" si="94"/>
        <v/>
      </c>
      <c r="AR446" s="4" t="str">
        <f t="shared" si="94"/>
        <v/>
      </c>
      <c r="AS446" s="5" t="str">
        <f t="shared" si="94"/>
        <v/>
      </c>
      <c r="AT446" s="3" t="str">
        <f t="shared" si="100"/>
        <v/>
      </c>
      <c r="AU446" s="4" t="str">
        <f t="shared" si="100"/>
        <v/>
      </c>
      <c r="AV446" s="4" t="str">
        <f t="shared" si="100"/>
        <v/>
      </c>
      <c r="AW446" s="4" t="str">
        <f t="shared" si="100"/>
        <v/>
      </c>
      <c r="AX446" s="4" t="str">
        <f t="shared" si="100"/>
        <v/>
      </c>
      <c r="AY446" s="4" t="str">
        <f t="shared" si="100"/>
        <v/>
      </c>
      <c r="AZ446" s="4" t="str">
        <f t="shared" si="100"/>
        <v/>
      </c>
      <c r="BA446" s="4" t="str">
        <f t="shared" si="100"/>
        <v/>
      </c>
      <c r="BB446" s="4" t="str">
        <f t="shared" si="101"/>
        <v/>
      </c>
      <c r="BC446" s="4" t="str">
        <f t="shared" si="95"/>
        <v/>
      </c>
      <c r="BD446" s="4" t="str">
        <f t="shared" si="95"/>
        <v/>
      </c>
      <c r="BE446" s="4" t="str">
        <f t="shared" si="95"/>
        <v/>
      </c>
      <c r="BF446" s="4" t="str">
        <f t="shared" si="95"/>
        <v/>
      </c>
      <c r="BG446" s="4" t="str">
        <f t="shared" si="95"/>
        <v/>
      </c>
      <c r="BH446" s="4" t="str">
        <f t="shared" si="95"/>
        <v/>
      </c>
      <c r="BI446" s="5" t="str">
        <f t="shared" si="95"/>
        <v/>
      </c>
    </row>
    <row r="447" spans="1:61" x14ac:dyDescent="0.25">
      <c r="A447">
        <v>221507</v>
      </c>
      <c r="B447" t="s">
        <v>15</v>
      </c>
      <c r="C447" t="s">
        <v>16</v>
      </c>
      <c r="D447">
        <v>63653</v>
      </c>
      <c r="E447">
        <v>1332</v>
      </c>
      <c r="F447">
        <v>2</v>
      </c>
      <c r="G447">
        <v>20114</v>
      </c>
      <c r="H447" t="s">
        <v>21</v>
      </c>
      <c r="I447">
        <v>5</v>
      </c>
      <c r="J447">
        <v>4</v>
      </c>
      <c r="K447">
        <v>13421.24</v>
      </c>
      <c r="L447">
        <v>13421.24</v>
      </c>
      <c r="M447">
        <v>0</v>
      </c>
      <c r="N447" s="3" t="str">
        <f t="shared" si="96"/>
        <v/>
      </c>
      <c r="O447" s="4" t="str">
        <f t="shared" si="96"/>
        <v/>
      </c>
      <c r="P447" s="4" t="str">
        <f t="shared" si="96"/>
        <v/>
      </c>
      <c r="Q447" s="4" t="str">
        <f t="shared" si="96"/>
        <v/>
      </c>
      <c r="R447" s="4" t="str">
        <f t="shared" si="96"/>
        <v/>
      </c>
      <c r="S447" s="4" t="str">
        <f t="shared" si="96"/>
        <v/>
      </c>
      <c r="T447" s="4" t="str">
        <f t="shared" si="96"/>
        <v/>
      </c>
      <c r="U447" s="4" t="str">
        <f t="shared" si="96"/>
        <v/>
      </c>
      <c r="V447" s="4" t="str">
        <f t="shared" si="97"/>
        <v/>
      </c>
      <c r="W447" s="4" t="str">
        <f t="shared" si="93"/>
        <v/>
      </c>
      <c r="X447" s="4" t="str">
        <f t="shared" si="93"/>
        <v/>
      </c>
      <c r="Y447" s="4" t="str">
        <f t="shared" si="93"/>
        <v/>
      </c>
      <c r="Z447" s="4" t="str">
        <f t="shared" si="93"/>
        <v/>
      </c>
      <c r="AA447" s="4" t="str">
        <f t="shared" si="93"/>
        <v/>
      </c>
      <c r="AB447" s="4" t="str">
        <f t="shared" si="93"/>
        <v/>
      </c>
      <c r="AC447" s="5">
        <f t="shared" si="93"/>
        <v>1</v>
      </c>
      <c r="AD447" s="3" t="str">
        <f t="shared" si="98"/>
        <v/>
      </c>
      <c r="AE447" s="4" t="str">
        <f t="shared" si="98"/>
        <v/>
      </c>
      <c r="AF447" s="4" t="str">
        <f t="shared" si="98"/>
        <v/>
      </c>
      <c r="AG447" s="4" t="str">
        <f t="shared" si="98"/>
        <v/>
      </c>
      <c r="AH447" s="4" t="str">
        <f t="shared" si="98"/>
        <v/>
      </c>
      <c r="AI447" s="4" t="str">
        <f t="shared" si="98"/>
        <v/>
      </c>
      <c r="AJ447" s="4" t="str">
        <f t="shared" si="98"/>
        <v/>
      </c>
      <c r="AK447" s="4" t="str">
        <f t="shared" si="98"/>
        <v/>
      </c>
      <c r="AL447" s="4" t="str">
        <f t="shared" si="99"/>
        <v/>
      </c>
      <c r="AM447" s="4" t="str">
        <f t="shared" si="94"/>
        <v/>
      </c>
      <c r="AN447" s="4" t="str">
        <f t="shared" si="94"/>
        <v/>
      </c>
      <c r="AO447" s="4" t="str">
        <f t="shared" si="94"/>
        <v/>
      </c>
      <c r="AP447" s="4" t="str">
        <f t="shared" si="94"/>
        <v/>
      </c>
      <c r="AQ447" s="4" t="str">
        <f t="shared" si="94"/>
        <v/>
      </c>
      <c r="AR447" s="4" t="str">
        <f t="shared" si="94"/>
        <v/>
      </c>
      <c r="AS447" s="5" t="str">
        <f t="shared" si="94"/>
        <v/>
      </c>
      <c r="AT447" s="3" t="str">
        <f t="shared" si="100"/>
        <v/>
      </c>
      <c r="AU447" s="4" t="str">
        <f t="shared" si="100"/>
        <v/>
      </c>
      <c r="AV447" s="4" t="str">
        <f t="shared" si="100"/>
        <v/>
      </c>
      <c r="AW447" s="4" t="str">
        <f t="shared" si="100"/>
        <v/>
      </c>
      <c r="AX447" s="4" t="str">
        <f t="shared" si="100"/>
        <v/>
      </c>
      <c r="AY447" s="4" t="str">
        <f t="shared" si="100"/>
        <v/>
      </c>
      <c r="AZ447" s="4" t="str">
        <f t="shared" si="100"/>
        <v/>
      </c>
      <c r="BA447" s="4" t="str">
        <f t="shared" si="100"/>
        <v/>
      </c>
      <c r="BB447" s="4" t="str">
        <f t="shared" si="101"/>
        <v/>
      </c>
      <c r="BC447" s="4" t="str">
        <f t="shared" si="95"/>
        <v/>
      </c>
      <c r="BD447" s="4" t="str">
        <f t="shared" si="95"/>
        <v/>
      </c>
      <c r="BE447" s="4" t="str">
        <f t="shared" si="95"/>
        <v/>
      </c>
      <c r="BF447" s="4" t="str">
        <f t="shared" si="95"/>
        <v/>
      </c>
      <c r="BG447" s="4" t="str">
        <f t="shared" si="95"/>
        <v/>
      </c>
      <c r="BH447" s="4" t="str">
        <f t="shared" si="95"/>
        <v/>
      </c>
      <c r="BI447" s="5" t="str">
        <f t="shared" si="95"/>
        <v/>
      </c>
    </row>
    <row r="448" spans="1:61" x14ac:dyDescent="0.25">
      <c r="A448">
        <v>221508</v>
      </c>
      <c r="B448" t="s">
        <v>15</v>
      </c>
      <c r="C448" t="s">
        <v>16</v>
      </c>
      <c r="D448">
        <v>63653</v>
      </c>
      <c r="E448">
        <v>1332</v>
      </c>
      <c r="F448">
        <v>3</v>
      </c>
      <c r="G448">
        <v>20112</v>
      </c>
      <c r="H448" t="s">
        <v>21</v>
      </c>
      <c r="I448">
        <v>0</v>
      </c>
      <c r="J448">
        <v>1</v>
      </c>
      <c r="K448">
        <v>1008</v>
      </c>
      <c r="L448">
        <v>1008</v>
      </c>
      <c r="M448">
        <v>0</v>
      </c>
      <c r="N448" s="3" t="str">
        <f t="shared" si="96"/>
        <v/>
      </c>
      <c r="O448" s="4" t="str">
        <f t="shared" si="96"/>
        <v/>
      </c>
      <c r="P448" s="4" t="str">
        <f t="shared" si="96"/>
        <v/>
      </c>
      <c r="Q448" s="4" t="str">
        <f t="shared" si="96"/>
        <v/>
      </c>
      <c r="R448" s="4" t="str">
        <f t="shared" si="96"/>
        <v/>
      </c>
      <c r="S448" s="4" t="str">
        <f t="shared" si="96"/>
        <v/>
      </c>
      <c r="T448" s="4" t="str">
        <f t="shared" si="96"/>
        <v/>
      </c>
      <c r="U448" s="4" t="str">
        <f t="shared" si="96"/>
        <v/>
      </c>
      <c r="V448" s="4" t="str">
        <f t="shared" si="97"/>
        <v/>
      </c>
      <c r="W448" s="4" t="str">
        <f t="shared" si="93"/>
        <v/>
      </c>
      <c r="X448" s="4" t="str">
        <f t="shared" si="93"/>
        <v/>
      </c>
      <c r="Y448" s="4" t="str">
        <f t="shared" si="93"/>
        <v/>
      </c>
      <c r="Z448" s="4" t="str">
        <f t="shared" si="93"/>
        <v/>
      </c>
      <c r="AA448" s="4">
        <f t="shared" si="93"/>
        <v>1</v>
      </c>
      <c r="AB448" s="4" t="str">
        <f t="shared" si="93"/>
        <v/>
      </c>
      <c r="AC448" s="5" t="str">
        <f t="shared" si="93"/>
        <v/>
      </c>
      <c r="AD448" s="3" t="str">
        <f t="shared" si="98"/>
        <v/>
      </c>
      <c r="AE448" s="4" t="str">
        <f t="shared" si="98"/>
        <v/>
      </c>
      <c r="AF448" s="4" t="str">
        <f t="shared" si="98"/>
        <v/>
      </c>
      <c r="AG448" s="4" t="str">
        <f t="shared" si="98"/>
        <v/>
      </c>
      <c r="AH448" s="4" t="str">
        <f t="shared" si="98"/>
        <v/>
      </c>
      <c r="AI448" s="4" t="str">
        <f t="shared" si="98"/>
        <v/>
      </c>
      <c r="AJ448" s="4" t="str">
        <f t="shared" si="98"/>
        <v/>
      </c>
      <c r="AK448" s="4" t="str">
        <f t="shared" si="98"/>
        <v/>
      </c>
      <c r="AL448" s="4" t="str">
        <f t="shared" si="99"/>
        <v/>
      </c>
      <c r="AM448" s="4" t="str">
        <f t="shared" si="94"/>
        <v/>
      </c>
      <c r="AN448" s="4" t="str">
        <f t="shared" si="94"/>
        <v/>
      </c>
      <c r="AO448" s="4" t="str">
        <f t="shared" si="94"/>
        <v/>
      </c>
      <c r="AP448" s="4" t="str">
        <f t="shared" si="94"/>
        <v/>
      </c>
      <c r="AQ448" s="4" t="str">
        <f t="shared" si="94"/>
        <v/>
      </c>
      <c r="AR448" s="4" t="str">
        <f t="shared" si="94"/>
        <v/>
      </c>
      <c r="AS448" s="5" t="str">
        <f t="shared" si="94"/>
        <v/>
      </c>
      <c r="AT448" s="3" t="str">
        <f t="shared" si="100"/>
        <v/>
      </c>
      <c r="AU448" s="4" t="str">
        <f t="shared" si="100"/>
        <v/>
      </c>
      <c r="AV448" s="4" t="str">
        <f t="shared" si="100"/>
        <v/>
      </c>
      <c r="AW448" s="4" t="str">
        <f t="shared" si="100"/>
        <v/>
      </c>
      <c r="AX448" s="4" t="str">
        <f t="shared" si="100"/>
        <v/>
      </c>
      <c r="AY448" s="4" t="str">
        <f t="shared" si="100"/>
        <v/>
      </c>
      <c r="AZ448" s="4" t="str">
        <f t="shared" si="100"/>
        <v/>
      </c>
      <c r="BA448" s="4" t="str">
        <f t="shared" si="100"/>
        <v/>
      </c>
      <c r="BB448" s="4" t="str">
        <f t="shared" si="101"/>
        <v/>
      </c>
      <c r="BC448" s="4" t="str">
        <f t="shared" si="95"/>
        <v/>
      </c>
      <c r="BD448" s="4" t="str">
        <f t="shared" si="95"/>
        <v/>
      </c>
      <c r="BE448" s="4" t="str">
        <f t="shared" si="95"/>
        <v/>
      </c>
      <c r="BF448" s="4" t="str">
        <f t="shared" si="95"/>
        <v/>
      </c>
      <c r="BG448" s="4" t="str">
        <f t="shared" si="95"/>
        <v/>
      </c>
      <c r="BH448" s="4" t="str">
        <f t="shared" si="95"/>
        <v/>
      </c>
      <c r="BI448" s="5" t="str">
        <f t="shared" si="95"/>
        <v/>
      </c>
    </row>
    <row r="449" spans="1:61" x14ac:dyDescent="0.25">
      <c r="A449">
        <v>345616</v>
      </c>
      <c r="B449" t="s">
        <v>14</v>
      </c>
      <c r="C449" t="s">
        <v>16</v>
      </c>
      <c r="D449">
        <v>63653</v>
      </c>
      <c r="E449">
        <v>1332</v>
      </c>
      <c r="F449">
        <v>2</v>
      </c>
      <c r="G449">
        <v>20121</v>
      </c>
      <c r="H449" t="s">
        <v>20</v>
      </c>
      <c r="I449">
        <v>314.89999999999998</v>
      </c>
      <c r="J449">
        <v>88</v>
      </c>
      <c r="K449">
        <v>6968.35</v>
      </c>
      <c r="L449">
        <v>6950.35</v>
      </c>
      <c r="M449">
        <v>18</v>
      </c>
      <c r="N449" s="3" t="str">
        <f t="shared" si="96"/>
        <v/>
      </c>
      <c r="O449" s="4" t="str">
        <f t="shared" si="96"/>
        <v/>
      </c>
      <c r="P449" s="4" t="str">
        <f t="shared" si="96"/>
        <v/>
      </c>
      <c r="Q449" s="4" t="str">
        <f t="shared" si="96"/>
        <v/>
      </c>
      <c r="R449" s="4" t="str">
        <f t="shared" si="96"/>
        <v/>
      </c>
      <c r="S449" s="4" t="str">
        <f t="shared" si="96"/>
        <v/>
      </c>
      <c r="T449" s="4" t="str">
        <f t="shared" si="96"/>
        <v/>
      </c>
      <c r="U449" s="4" t="str">
        <f t="shared" si="96"/>
        <v/>
      </c>
      <c r="V449" s="4" t="str">
        <f t="shared" si="97"/>
        <v/>
      </c>
      <c r="W449" s="4" t="str">
        <f t="shared" si="93"/>
        <v/>
      </c>
      <c r="X449" s="4" t="str">
        <f t="shared" si="93"/>
        <v/>
      </c>
      <c r="Y449" s="4" t="str">
        <f t="shared" si="93"/>
        <v/>
      </c>
      <c r="Z449" s="4" t="str">
        <f t="shared" si="93"/>
        <v/>
      </c>
      <c r="AA449" s="4" t="str">
        <f t="shared" si="93"/>
        <v/>
      </c>
      <c r="AB449" s="4" t="str">
        <f t="shared" si="93"/>
        <v/>
      </c>
      <c r="AC449" s="5" t="str">
        <f t="shared" si="93"/>
        <v/>
      </c>
      <c r="AD449" s="3" t="str">
        <f t="shared" si="98"/>
        <v/>
      </c>
      <c r="AE449" s="4" t="str">
        <f t="shared" si="98"/>
        <v/>
      </c>
      <c r="AF449" s="4" t="str">
        <f t="shared" si="98"/>
        <v/>
      </c>
      <c r="AG449" s="4" t="str">
        <f t="shared" si="98"/>
        <v/>
      </c>
      <c r="AH449" s="4" t="str">
        <f t="shared" si="98"/>
        <v/>
      </c>
      <c r="AI449" s="4" t="str">
        <f t="shared" si="98"/>
        <v/>
      </c>
      <c r="AJ449" s="4" t="str">
        <f t="shared" si="98"/>
        <v/>
      </c>
      <c r="AK449" s="4" t="str">
        <f t="shared" si="98"/>
        <v/>
      </c>
      <c r="AL449" s="4">
        <f t="shared" si="99"/>
        <v>1</v>
      </c>
      <c r="AM449" s="4" t="str">
        <f t="shared" si="94"/>
        <v/>
      </c>
      <c r="AN449" s="4" t="str">
        <f t="shared" si="94"/>
        <v/>
      </c>
      <c r="AO449" s="4" t="str">
        <f t="shared" si="94"/>
        <v/>
      </c>
      <c r="AP449" s="4" t="str">
        <f t="shared" si="94"/>
        <v/>
      </c>
      <c r="AQ449" s="4" t="str">
        <f t="shared" si="94"/>
        <v/>
      </c>
      <c r="AR449" s="4" t="str">
        <f t="shared" si="94"/>
        <v/>
      </c>
      <c r="AS449" s="5" t="str">
        <f t="shared" si="94"/>
        <v/>
      </c>
      <c r="AT449" s="3" t="str">
        <f t="shared" si="100"/>
        <v/>
      </c>
      <c r="AU449" s="4" t="str">
        <f t="shared" si="100"/>
        <v/>
      </c>
      <c r="AV449" s="4" t="str">
        <f t="shared" si="100"/>
        <v/>
      </c>
      <c r="AW449" s="4" t="str">
        <f t="shared" si="100"/>
        <v/>
      </c>
      <c r="AX449" s="4" t="str">
        <f t="shared" si="100"/>
        <v/>
      </c>
      <c r="AY449" s="4" t="str">
        <f t="shared" si="100"/>
        <v/>
      </c>
      <c r="AZ449" s="4" t="str">
        <f t="shared" si="100"/>
        <v/>
      </c>
      <c r="BA449" s="4" t="str">
        <f t="shared" si="100"/>
        <v/>
      </c>
      <c r="BB449" s="4" t="str">
        <f t="shared" si="101"/>
        <v/>
      </c>
      <c r="BC449" s="4" t="str">
        <f t="shared" si="95"/>
        <v/>
      </c>
      <c r="BD449" s="4" t="str">
        <f t="shared" si="95"/>
        <v/>
      </c>
      <c r="BE449" s="4" t="str">
        <f t="shared" si="95"/>
        <v/>
      </c>
      <c r="BF449" s="4" t="str">
        <f t="shared" si="95"/>
        <v/>
      </c>
      <c r="BG449" s="4" t="str">
        <f t="shared" si="95"/>
        <v/>
      </c>
      <c r="BH449" s="4" t="str">
        <f t="shared" si="95"/>
        <v/>
      </c>
      <c r="BI449" s="5" t="str">
        <f t="shared" si="95"/>
        <v/>
      </c>
    </row>
    <row r="450" spans="1:61" x14ac:dyDescent="0.25">
      <c r="A450">
        <v>345617</v>
      </c>
      <c r="B450" t="s">
        <v>14</v>
      </c>
      <c r="C450" t="s">
        <v>16</v>
      </c>
      <c r="D450">
        <v>63653</v>
      </c>
      <c r="E450">
        <v>1332</v>
      </c>
      <c r="F450">
        <v>2</v>
      </c>
      <c r="G450">
        <v>20122</v>
      </c>
      <c r="H450" t="s">
        <v>20</v>
      </c>
      <c r="I450">
        <v>197</v>
      </c>
      <c r="J450">
        <v>85</v>
      </c>
      <c r="K450">
        <v>4375.04</v>
      </c>
      <c r="L450">
        <v>4375.04</v>
      </c>
      <c r="M450">
        <v>0</v>
      </c>
      <c r="N450" s="3" t="str">
        <f t="shared" si="96"/>
        <v/>
      </c>
      <c r="O450" s="4" t="str">
        <f t="shared" si="96"/>
        <v/>
      </c>
      <c r="P450" s="4" t="str">
        <f t="shared" si="96"/>
        <v/>
      </c>
      <c r="Q450" s="4" t="str">
        <f t="shared" si="96"/>
        <v/>
      </c>
      <c r="R450" s="4" t="str">
        <f t="shared" si="96"/>
        <v/>
      </c>
      <c r="S450" s="4" t="str">
        <f t="shared" si="96"/>
        <v/>
      </c>
      <c r="T450" s="4" t="str">
        <f t="shared" si="96"/>
        <v/>
      </c>
      <c r="U450" s="4" t="str">
        <f t="shared" si="96"/>
        <v/>
      </c>
      <c r="V450" s="4" t="str">
        <f t="shared" si="97"/>
        <v/>
      </c>
      <c r="W450" s="4" t="str">
        <f t="shared" si="93"/>
        <v/>
      </c>
      <c r="X450" s="4" t="str">
        <f t="shared" si="93"/>
        <v/>
      </c>
      <c r="Y450" s="4" t="str">
        <f t="shared" si="93"/>
        <v/>
      </c>
      <c r="Z450" s="4" t="str">
        <f t="shared" si="93"/>
        <v/>
      </c>
      <c r="AA450" s="4" t="str">
        <f t="shared" si="93"/>
        <v/>
      </c>
      <c r="AB450" s="4" t="str">
        <f t="shared" si="93"/>
        <v/>
      </c>
      <c r="AC450" s="5" t="str">
        <f t="shared" si="93"/>
        <v/>
      </c>
      <c r="AD450" s="3" t="str">
        <f t="shared" si="98"/>
        <v/>
      </c>
      <c r="AE450" s="4" t="str">
        <f t="shared" si="98"/>
        <v/>
      </c>
      <c r="AF450" s="4" t="str">
        <f t="shared" si="98"/>
        <v/>
      </c>
      <c r="AG450" s="4" t="str">
        <f t="shared" si="98"/>
        <v/>
      </c>
      <c r="AH450" s="4" t="str">
        <f t="shared" si="98"/>
        <v/>
      </c>
      <c r="AI450" s="4" t="str">
        <f t="shared" si="98"/>
        <v/>
      </c>
      <c r="AJ450" s="4" t="str">
        <f t="shared" si="98"/>
        <v/>
      </c>
      <c r="AK450" s="4" t="str">
        <f t="shared" si="98"/>
        <v/>
      </c>
      <c r="AL450" s="4" t="str">
        <f t="shared" si="99"/>
        <v/>
      </c>
      <c r="AM450" s="4">
        <f t="shared" si="94"/>
        <v>1</v>
      </c>
      <c r="AN450" s="4" t="str">
        <f t="shared" si="94"/>
        <v/>
      </c>
      <c r="AO450" s="4" t="str">
        <f t="shared" si="94"/>
        <v/>
      </c>
      <c r="AP450" s="4" t="str">
        <f t="shared" si="94"/>
        <v/>
      </c>
      <c r="AQ450" s="4" t="str">
        <f t="shared" si="94"/>
        <v/>
      </c>
      <c r="AR450" s="4" t="str">
        <f t="shared" si="94"/>
        <v/>
      </c>
      <c r="AS450" s="5" t="str">
        <f t="shared" si="94"/>
        <v/>
      </c>
      <c r="AT450" s="3" t="str">
        <f t="shared" si="100"/>
        <v/>
      </c>
      <c r="AU450" s="4" t="str">
        <f t="shared" si="100"/>
        <v/>
      </c>
      <c r="AV450" s="4" t="str">
        <f t="shared" si="100"/>
        <v/>
      </c>
      <c r="AW450" s="4" t="str">
        <f t="shared" si="100"/>
        <v/>
      </c>
      <c r="AX450" s="4" t="str">
        <f t="shared" si="100"/>
        <v/>
      </c>
      <c r="AY450" s="4" t="str">
        <f t="shared" si="100"/>
        <v/>
      </c>
      <c r="AZ450" s="4" t="str">
        <f t="shared" si="100"/>
        <v/>
      </c>
      <c r="BA450" s="4" t="str">
        <f t="shared" si="100"/>
        <v/>
      </c>
      <c r="BB450" s="4" t="str">
        <f t="shared" si="101"/>
        <v/>
      </c>
      <c r="BC450" s="4" t="str">
        <f t="shared" si="95"/>
        <v/>
      </c>
      <c r="BD450" s="4" t="str">
        <f t="shared" si="95"/>
        <v/>
      </c>
      <c r="BE450" s="4" t="str">
        <f t="shared" si="95"/>
        <v/>
      </c>
      <c r="BF450" s="4" t="str">
        <f t="shared" si="95"/>
        <v/>
      </c>
      <c r="BG450" s="4" t="str">
        <f t="shared" si="95"/>
        <v/>
      </c>
      <c r="BH450" s="4" t="str">
        <f t="shared" si="95"/>
        <v/>
      </c>
      <c r="BI450" s="5" t="str">
        <f t="shared" si="95"/>
        <v/>
      </c>
    </row>
    <row r="451" spans="1:61" x14ac:dyDescent="0.25">
      <c r="A451">
        <v>345618</v>
      </c>
      <c r="B451" t="s">
        <v>14</v>
      </c>
      <c r="C451" t="s">
        <v>16</v>
      </c>
      <c r="D451">
        <v>63653</v>
      </c>
      <c r="E451">
        <v>1332</v>
      </c>
      <c r="F451">
        <v>2</v>
      </c>
      <c r="G451">
        <v>20123</v>
      </c>
      <c r="H451" t="s">
        <v>20</v>
      </c>
      <c r="I451">
        <v>184.2</v>
      </c>
      <c r="J451">
        <v>82</v>
      </c>
      <c r="K451">
        <v>4175.7299999999996</v>
      </c>
      <c r="L451">
        <v>4175.7299999999996</v>
      </c>
      <c r="M451">
        <v>0</v>
      </c>
      <c r="N451" s="3" t="str">
        <f t="shared" si="96"/>
        <v/>
      </c>
      <c r="O451" s="4" t="str">
        <f t="shared" si="96"/>
        <v/>
      </c>
      <c r="P451" s="4" t="str">
        <f t="shared" si="96"/>
        <v/>
      </c>
      <c r="Q451" s="4" t="str">
        <f t="shared" si="96"/>
        <v/>
      </c>
      <c r="R451" s="4" t="str">
        <f t="shared" si="96"/>
        <v/>
      </c>
      <c r="S451" s="4" t="str">
        <f t="shared" si="96"/>
        <v/>
      </c>
      <c r="T451" s="4" t="str">
        <f t="shared" si="96"/>
        <v/>
      </c>
      <c r="U451" s="4" t="str">
        <f t="shared" si="96"/>
        <v/>
      </c>
      <c r="V451" s="4" t="str">
        <f t="shared" si="97"/>
        <v/>
      </c>
      <c r="W451" s="4" t="str">
        <f t="shared" si="93"/>
        <v/>
      </c>
      <c r="X451" s="4" t="str">
        <f t="shared" si="93"/>
        <v/>
      </c>
      <c r="Y451" s="4" t="str">
        <f t="shared" si="93"/>
        <v/>
      </c>
      <c r="Z451" s="4" t="str">
        <f t="shared" si="93"/>
        <v/>
      </c>
      <c r="AA451" s="4" t="str">
        <f t="shared" ref="W451:AC487" si="102">IF(AND($B451=AA$3, $G451=AA$2, LEFT($H451, 6)=AA$1), 1, "")</f>
        <v/>
      </c>
      <c r="AB451" s="4" t="str">
        <f t="shared" si="102"/>
        <v/>
      </c>
      <c r="AC451" s="5" t="str">
        <f t="shared" si="102"/>
        <v/>
      </c>
      <c r="AD451" s="3" t="str">
        <f t="shared" si="98"/>
        <v/>
      </c>
      <c r="AE451" s="4" t="str">
        <f t="shared" si="98"/>
        <v/>
      </c>
      <c r="AF451" s="4" t="str">
        <f t="shared" si="98"/>
        <v/>
      </c>
      <c r="AG451" s="4" t="str">
        <f t="shared" si="98"/>
        <v/>
      </c>
      <c r="AH451" s="4" t="str">
        <f t="shared" si="98"/>
        <v/>
      </c>
      <c r="AI451" s="4" t="str">
        <f t="shared" si="98"/>
        <v/>
      </c>
      <c r="AJ451" s="4" t="str">
        <f t="shared" si="98"/>
        <v/>
      </c>
      <c r="AK451" s="4" t="str">
        <f t="shared" si="98"/>
        <v/>
      </c>
      <c r="AL451" s="4" t="str">
        <f t="shared" si="99"/>
        <v/>
      </c>
      <c r="AM451" s="4" t="str">
        <f t="shared" si="94"/>
        <v/>
      </c>
      <c r="AN451" s="4">
        <f t="shared" si="94"/>
        <v>1</v>
      </c>
      <c r="AO451" s="4" t="str">
        <f t="shared" si="94"/>
        <v/>
      </c>
      <c r="AP451" s="4" t="str">
        <f t="shared" si="94"/>
        <v/>
      </c>
      <c r="AQ451" s="4" t="str">
        <f t="shared" ref="AM451:AS487" si="103">IF(AND($B451=AQ$3, $G451=AQ$2, LEFT($H451, 6)=AQ$1), 1, "")</f>
        <v/>
      </c>
      <c r="AR451" s="4" t="str">
        <f t="shared" si="103"/>
        <v/>
      </c>
      <c r="AS451" s="5" t="str">
        <f t="shared" si="103"/>
        <v/>
      </c>
      <c r="AT451" s="3" t="str">
        <f t="shared" si="100"/>
        <v/>
      </c>
      <c r="AU451" s="4" t="str">
        <f t="shared" si="100"/>
        <v/>
      </c>
      <c r="AV451" s="4" t="str">
        <f t="shared" si="100"/>
        <v/>
      </c>
      <c r="AW451" s="4" t="str">
        <f t="shared" si="100"/>
        <v/>
      </c>
      <c r="AX451" s="4" t="str">
        <f t="shared" si="100"/>
        <v/>
      </c>
      <c r="AY451" s="4" t="str">
        <f t="shared" si="100"/>
        <v/>
      </c>
      <c r="AZ451" s="4" t="str">
        <f t="shared" si="100"/>
        <v/>
      </c>
      <c r="BA451" s="4" t="str">
        <f t="shared" si="100"/>
        <v/>
      </c>
      <c r="BB451" s="4" t="str">
        <f t="shared" si="101"/>
        <v/>
      </c>
      <c r="BC451" s="4" t="str">
        <f t="shared" si="95"/>
        <v/>
      </c>
      <c r="BD451" s="4" t="str">
        <f t="shared" si="95"/>
        <v/>
      </c>
      <c r="BE451" s="4" t="str">
        <f t="shared" si="95"/>
        <v/>
      </c>
      <c r="BF451" s="4" t="str">
        <f t="shared" si="95"/>
        <v/>
      </c>
      <c r="BG451" s="4" t="str">
        <f t="shared" ref="BC451:BI487" si="104">IF(AND($B451=BG$3, $G451=BG$2, LEFT($H451, 6)=BG$1), 1, "")</f>
        <v/>
      </c>
      <c r="BH451" s="4" t="str">
        <f t="shared" si="104"/>
        <v/>
      </c>
      <c r="BI451" s="5" t="str">
        <f t="shared" si="104"/>
        <v/>
      </c>
    </row>
    <row r="452" spans="1:61" x14ac:dyDescent="0.25">
      <c r="A452">
        <v>345619</v>
      </c>
      <c r="B452" t="s">
        <v>14</v>
      </c>
      <c r="C452" t="s">
        <v>16</v>
      </c>
      <c r="D452">
        <v>63653</v>
      </c>
      <c r="E452">
        <v>1332</v>
      </c>
      <c r="F452">
        <v>2</v>
      </c>
      <c r="G452">
        <v>20124</v>
      </c>
      <c r="H452" t="s">
        <v>20</v>
      </c>
      <c r="I452">
        <v>135</v>
      </c>
      <c r="J452">
        <v>70</v>
      </c>
      <c r="K452">
        <v>2377.8000000000002</v>
      </c>
      <c r="L452">
        <v>2376.2199999999998</v>
      </c>
      <c r="M452">
        <v>1.58</v>
      </c>
      <c r="N452" s="3" t="str">
        <f t="shared" si="96"/>
        <v/>
      </c>
      <c r="O452" s="4" t="str">
        <f t="shared" si="96"/>
        <v/>
      </c>
      <c r="P452" s="4" t="str">
        <f t="shared" si="96"/>
        <v/>
      </c>
      <c r="Q452" s="4" t="str">
        <f t="shared" si="96"/>
        <v/>
      </c>
      <c r="R452" s="4" t="str">
        <f t="shared" si="96"/>
        <v/>
      </c>
      <c r="S452" s="4" t="str">
        <f t="shared" si="96"/>
        <v/>
      </c>
      <c r="T452" s="4" t="str">
        <f t="shared" si="96"/>
        <v/>
      </c>
      <c r="U452" s="4" t="str">
        <f t="shared" si="96"/>
        <v/>
      </c>
      <c r="V452" s="4" t="str">
        <f t="shared" si="97"/>
        <v/>
      </c>
      <c r="W452" s="4" t="str">
        <f t="shared" si="102"/>
        <v/>
      </c>
      <c r="X452" s="4" t="str">
        <f t="shared" si="102"/>
        <v/>
      </c>
      <c r="Y452" s="4" t="str">
        <f t="shared" si="102"/>
        <v/>
      </c>
      <c r="Z452" s="4" t="str">
        <f t="shared" si="102"/>
        <v/>
      </c>
      <c r="AA452" s="4" t="str">
        <f t="shared" si="102"/>
        <v/>
      </c>
      <c r="AB452" s="4" t="str">
        <f t="shared" si="102"/>
        <v/>
      </c>
      <c r="AC452" s="5" t="str">
        <f t="shared" si="102"/>
        <v/>
      </c>
      <c r="AD452" s="3" t="str">
        <f t="shared" si="98"/>
        <v/>
      </c>
      <c r="AE452" s="4" t="str">
        <f t="shared" si="98"/>
        <v/>
      </c>
      <c r="AF452" s="4" t="str">
        <f t="shared" si="98"/>
        <v/>
      </c>
      <c r="AG452" s="4" t="str">
        <f t="shared" si="98"/>
        <v/>
      </c>
      <c r="AH452" s="4" t="str">
        <f t="shared" si="98"/>
        <v/>
      </c>
      <c r="AI452" s="4" t="str">
        <f t="shared" si="98"/>
        <v/>
      </c>
      <c r="AJ452" s="4" t="str">
        <f t="shared" si="98"/>
        <v/>
      </c>
      <c r="AK452" s="4" t="str">
        <f t="shared" si="98"/>
        <v/>
      </c>
      <c r="AL452" s="4" t="str">
        <f t="shared" si="99"/>
        <v/>
      </c>
      <c r="AM452" s="4" t="str">
        <f t="shared" si="103"/>
        <v/>
      </c>
      <c r="AN452" s="4" t="str">
        <f t="shared" si="103"/>
        <v/>
      </c>
      <c r="AO452" s="4">
        <f t="shared" si="103"/>
        <v>1</v>
      </c>
      <c r="AP452" s="4" t="str">
        <f t="shared" si="103"/>
        <v/>
      </c>
      <c r="AQ452" s="4" t="str">
        <f t="shared" si="103"/>
        <v/>
      </c>
      <c r="AR452" s="4" t="str">
        <f t="shared" si="103"/>
        <v/>
      </c>
      <c r="AS452" s="5" t="str">
        <f t="shared" si="103"/>
        <v/>
      </c>
      <c r="AT452" s="3" t="str">
        <f t="shared" si="100"/>
        <v/>
      </c>
      <c r="AU452" s="4" t="str">
        <f t="shared" si="100"/>
        <v/>
      </c>
      <c r="AV452" s="4" t="str">
        <f t="shared" si="100"/>
        <v/>
      </c>
      <c r="AW452" s="4" t="str">
        <f t="shared" si="100"/>
        <v/>
      </c>
      <c r="AX452" s="4" t="str">
        <f t="shared" si="100"/>
        <v/>
      </c>
      <c r="AY452" s="4" t="str">
        <f t="shared" si="100"/>
        <v/>
      </c>
      <c r="AZ452" s="4" t="str">
        <f t="shared" si="100"/>
        <v/>
      </c>
      <c r="BA452" s="4" t="str">
        <f t="shared" si="100"/>
        <v/>
      </c>
      <c r="BB452" s="4" t="str">
        <f t="shared" si="101"/>
        <v/>
      </c>
      <c r="BC452" s="4" t="str">
        <f t="shared" si="104"/>
        <v/>
      </c>
      <c r="BD452" s="4" t="str">
        <f t="shared" si="104"/>
        <v/>
      </c>
      <c r="BE452" s="4" t="str">
        <f t="shared" si="104"/>
        <v/>
      </c>
      <c r="BF452" s="4" t="str">
        <f t="shared" si="104"/>
        <v/>
      </c>
      <c r="BG452" s="4" t="str">
        <f t="shared" si="104"/>
        <v/>
      </c>
      <c r="BH452" s="4" t="str">
        <f t="shared" si="104"/>
        <v/>
      </c>
      <c r="BI452" s="5" t="str">
        <f t="shared" si="104"/>
        <v/>
      </c>
    </row>
    <row r="453" spans="1:61" x14ac:dyDescent="0.25">
      <c r="A453">
        <v>345620</v>
      </c>
      <c r="B453" t="s">
        <v>14</v>
      </c>
      <c r="C453" t="s">
        <v>16</v>
      </c>
      <c r="D453">
        <v>63653</v>
      </c>
      <c r="E453">
        <v>1332</v>
      </c>
      <c r="F453">
        <v>3</v>
      </c>
      <c r="G453">
        <v>20121</v>
      </c>
      <c r="H453" t="s">
        <v>21</v>
      </c>
      <c r="I453">
        <v>2</v>
      </c>
      <c r="J453">
        <v>1</v>
      </c>
      <c r="K453">
        <v>60.2</v>
      </c>
      <c r="L453">
        <v>60.2</v>
      </c>
      <c r="M453">
        <v>0</v>
      </c>
      <c r="N453" s="3" t="str">
        <f t="shared" si="96"/>
        <v/>
      </c>
      <c r="O453" s="4" t="str">
        <f t="shared" si="96"/>
        <v/>
      </c>
      <c r="P453" s="4" t="str">
        <f t="shared" si="96"/>
        <v/>
      </c>
      <c r="Q453" s="4" t="str">
        <f t="shared" si="96"/>
        <v/>
      </c>
      <c r="R453" s="4" t="str">
        <f t="shared" si="96"/>
        <v/>
      </c>
      <c r="S453" s="4" t="str">
        <f t="shared" si="96"/>
        <v/>
      </c>
      <c r="T453" s="4" t="str">
        <f t="shared" si="96"/>
        <v/>
      </c>
      <c r="U453" s="4" t="str">
        <f t="shared" si="96"/>
        <v/>
      </c>
      <c r="V453" s="4" t="str">
        <f t="shared" si="97"/>
        <v/>
      </c>
      <c r="W453" s="4" t="str">
        <f t="shared" si="102"/>
        <v/>
      </c>
      <c r="X453" s="4" t="str">
        <f t="shared" si="102"/>
        <v/>
      </c>
      <c r="Y453" s="4" t="str">
        <f t="shared" si="102"/>
        <v/>
      </c>
      <c r="Z453" s="4" t="str">
        <f t="shared" si="102"/>
        <v/>
      </c>
      <c r="AA453" s="4" t="str">
        <f t="shared" si="102"/>
        <v/>
      </c>
      <c r="AB453" s="4" t="str">
        <f t="shared" si="102"/>
        <v/>
      </c>
      <c r="AC453" s="5" t="str">
        <f t="shared" si="102"/>
        <v/>
      </c>
      <c r="AD453" s="3" t="str">
        <f t="shared" si="98"/>
        <v/>
      </c>
      <c r="AE453" s="4" t="str">
        <f t="shared" si="98"/>
        <v/>
      </c>
      <c r="AF453" s="4" t="str">
        <f t="shared" si="98"/>
        <v/>
      </c>
      <c r="AG453" s="4" t="str">
        <f t="shared" si="98"/>
        <v/>
      </c>
      <c r="AH453" s="4" t="str">
        <f t="shared" si="98"/>
        <v/>
      </c>
      <c r="AI453" s="4" t="str">
        <f t="shared" si="98"/>
        <v/>
      </c>
      <c r="AJ453" s="4" t="str">
        <f t="shared" si="98"/>
        <v/>
      </c>
      <c r="AK453" s="4" t="str">
        <f t="shared" si="98"/>
        <v/>
      </c>
      <c r="AL453" s="4">
        <f t="shared" si="99"/>
        <v>1</v>
      </c>
      <c r="AM453" s="4" t="str">
        <f t="shared" si="103"/>
        <v/>
      </c>
      <c r="AN453" s="4" t="str">
        <f t="shared" si="103"/>
        <v/>
      </c>
      <c r="AO453" s="4" t="str">
        <f t="shared" si="103"/>
        <v/>
      </c>
      <c r="AP453" s="4" t="str">
        <f t="shared" si="103"/>
        <v/>
      </c>
      <c r="AQ453" s="4" t="str">
        <f t="shared" si="103"/>
        <v/>
      </c>
      <c r="AR453" s="4" t="str">
        <f t="shared" si="103"/>
        <v/>
      </c>
      <c r="AS453" s="5" t="str">
        <f t="shared" si="103"/>
        <v/>
      </c>
      <c r="AT453" s="3" t="str">
        <f t="shared" si="100"/>
        <v/>
      </c>
      <c r="AU453" s="4" t="str">
        <f t="shared" si="100"/>
        <v/>
      </c>
      <c r="AV453" s="4" t="str">
        <f t="shared" si="100"/>
        <v/>
      </c>
      <c r="AW453" s="4" t="str">
        <f t="shared" si="100"/>
        <v/>
      </c>
      <c r="AX453" s="4" t="str">
        <f t="shared" si="100"/>
        <v/>
      </c>
      <c r="AY453" s="4" t="str">
        <f t="shared" si="100"/>
        <v/>
      </c>
      <c r="AZ453" s="4" t="str">
        <f t="shared" si="100"/>
        <v/>
      </c>
      <c r="BA453" s="4" t="str">
        <f t="shared" si="100"/>
        <v/>
      </c>
      <c r="BB453" s="4" t="str">
        <f t="shared" si="101"/>
        <v/>
      </c>
      <c r="BC453" s="4" t="str">
        <f t="shared" si="104"/>
        <v/>
      </c>
      <c r="BD453" s="4" t="str">
        <f t="shared" si="104"/>
        <v/>
      </c>
      <c r="BE453" s="4" t="str">
        <f t="shared" si="104"/>
        <v/>
      </c>
      <c r="BF453" s="4" t="str">
        <f t="shared" si="104"/>
        <v/>
      </c>
      <c r="BG453" s="4" t="str">
        <f t="shared" si="104"/>
        <v/>
      </c>
      <c r="BH453" s="4" t="str">
        <f t="shared" si="104"/>
        <v/>
      </c>
      <c r="BI453" s="5" t="str">
        <f t="shared" si="104"/>
        <v/>
      </c>
    </row>
    <row r="454" spans="1:61" x14ac:dyDescent="0.25">
      <c r="A454">
        <v>345621</v>
      </c>
      <c r="B454" t="s">
        <v>14</v>
      </c>
      <c r="C454" t="s">
        <v>16</v>
      </c>
      <c r="D454">
        <v>63653</v>
      </c>
      <c r="E454">
        <v>1332</v>
      </c>
      <c r="F454">
        <v>3</v>
      </c>
      <c r="G454">
        <v>20122</v>
      </c>
      <c r="H454" t="s">
        <v>21</v>
      </c>
      <c r="I454">
        <v>14</v>
      </c>
      <c r="J454">
        <v>9</v>
      </c>
      <c r="K454">
        <v>309.42</v>
      </c>
      <c r="L454">
        <v>309.42</v>
      </c>
      <c r="M454">
        <v>0</v>
      </c>
      <c r="N454" s="3" t="str">
        <f t="shared" si="96"/>
        <v/>
      </c>
      <c r="O454" s="4" t="str">
        <f t="shared" si="96"/>
        <v/>
      </c>
      <c r="P454" s="4" t="str">
        <f t="shared" si="96"/>
        <v/>
      </c>
      <c r="Q454" s="4" t="str">
        <f t="shared" si="96"/>
        <v/>
      </c>
      <c r="R454" s="4" t="str">
        <f t="shared" si="96"/>
        <v/>
      </c>
      <c r="S454" s="4" t="str">
        <f t="shared" si="96"/>
        <v/>
      </c>
      <c r="T454" s="4" t="str">
        <f t="shared" si="96"/>
        <v/>
      </c>
      <c r="U454" s="4" t="str">
        <f t="shared" si="96"/>
        <v/>
      </c>
      <c r="V454" s="4" t="str">
        <f t="shared" si="97"/>
        <v/>
      </c>
      <c r="W454" s="4" t="str">
        <f t="shared" si="102"/>
        <v/>
      </c>
      <c r="X454" s="4" t="str">
        <f t="shared" si="102"/>
        <v/>
      </c>
      <c r="Y454" s="4" t="str">
        <f t="shared" si="102"/>
        <v/>
      </c>
      <c r="Z454" s="4" t="str">
        <f t="shared" si="102"/>
        <v/>
      </c>
      <c r="AA454" s="4" t="str">
        <f t="shared" si="102"/>
        <v/>
      </c>
      <c r="AB454" s="4" t="str">
        <f t="shared" si="102"/>
        <v/>
      </c>
      <c r="AC454" s="5" t="str">
        <f t="shared" si="102"/>
        <v/>
      </c>
      <c r="AD454" s="3" t="str">
        <f t="shared" si="98"/>
        <v/>
      </c>
      <c r="AE454" s="4" t="str">
        <f t="shared" si="98"/>
        <v/>
      </c>
      <c r="AF454" s="4" t="str">
        <f t="shared" si="98"/>
        <v/>
      </c>
      <c r="AG454" s="4" t="str">
        <f t="shared" si="98"/>
        <v/>
      </c>
      <c r="AH454" s="4" t="str">
        <f t="shared" si="98"/>
        <v/>
      </c>
      <c r="AI454" s="4" t="str">
        <f t="shared" si="98"/>
        <v/>
      </c>
      <c r="AJ454" s="4" t="str">
        <f t="shared" si="98"/>
        <v/>
      </c>
      <c r="AK454" s="4" t="str">
        <f t="shared" si="98"/>
        <v/>
      </c>
      <c r="AL454" s="4" t="str">
        <f t="shared" si="99"/>
        <v/>
      </c>
      <c r="AM454" s="4">
        <f t="shared" si="103"/>
        <v>1</v>
      </c>
      <c r="AN454" s="4" t="str">
        <f t="shared" si="103"/>
        <v/>
      </c>
      <c r="AO454" s="4" t="str">
        <f t="shared" si="103"/>
        <v/>
      </c>
      <c r="AP454" s="4" t="str">
        <f t="shared" si="103"/>
        <v/>
      </c>
      <c r="AQ454" s="4" t="str">
        <f t="shared" si="103"/>
        <v/>
      </c>
      <c r="AR454" s="4" t="str">
        <f t="shared" si="103"/>
        <v/>
      </c>
      <c r="AS454" s="5" t="str">
        <f t="shared" si="103"/>
        <v/>
      </c>
      <c r="AT454" s="3" t="str">
        <f t="shared" si="100"/>
        <v/>
      </c>
      <c r="AU454" s="4" t="str">
        <f t="shared" si="100"/>
        <v/>
      </c>
      <c r="AV454" s="4" t="str">
        <f t="shared" si="100"/>
        <v/>
      </c>
      <c r="AW454" s="4" t="str">
        <f t="shared" si="100"/>
        <v/>
      </c>
      <c r="AX454" s="4" t="str">
        <f t="shared" si="100"/>
        <v/>
      </c>
      <c r="AY454" s="4" t="str">
        <f t="shared" si="100"/>
        <v/>
      </c>
      <c r="AZ454" s="4" t="str">
        <f t="shared" si="100"/>
        <v/>
      </c>
      <c r="BA454" s="4" t="str">
        <f t="shared" si="100"/>
        <v/>
      </c>
      <c r="BB454" s="4" t="str">
        <f t="shared" si="101"/>
        <v/>
      </c>
      <c r="BC454" s="4" t="str">
        <f t="shared" si="104"/>
        <v/>
      </c>
      <c r="BD454" s="4" t="str">
        <f t="shared" si="104"/>
        <v/>
      </c>
      <c r="BE454" s="4" t="str">
        <f t="shared" si="104"/>
        <v/>
      </c>
      <c r="BF454" s="4" t="str">
        <f t="shared" si="104"/>
        <v/>
      </c>
      <c r="BG454" s="4" t="str">
        <f t="shared" si="104"/>
        <v/>
      </c>
      <c r="BH454" s="4" t="str">
        <f t="shared" si="104"/>
        <v/>
      </c>
      <c r="BI454" s="5" t="str">
        <f t="shared" si="104"/>
        <v/>
      </c>
    </row>
    <row r="455" spans="1:61" x14ac:dyDescent="0.25">
      <c r="A455">
        <v>345622</v>
      </c>
      <c r="B455" t="s">
        <v>14</v>
      </c>
      <c r="C455" t="s">
        <v>16</v>
      </c>
      <c r="D455">
        <v>63653</v>
      </c>
      <c r="E455">
        <v>1332</v>
      </c>
      <c r="F455">
        <v>3</v>
      </c>
      <c r="G455">
        <v>20123</v>
      </c>
      <c r="H455" t="s">
        <v>21</v>
      </c>
      <c r="I455">
        <v>5</v>
      </c>
      <c r="J455">
        <v>2</v>
      </c>
      <c r="K455">
        <v>74.239999999999995</v>
      </c>
      <c r="L455">
        <v>74.239999999999995</v>
      </c>
      <c r="M455">
        <v>0</v>
      </c>
      <c r="N455" s="3" t="str">
        <f t="shared" si="96"/>
        <v/>
      </c>
      <c r="O455" s="4" t="str">
        <f t="shared" si="96"/>
        <v/>
      </c>
      <c r="P455" s="4" t="str">
        <f t="shared" si="96"/>
        <v/>
      </c>
      <c r="Q455" s="4" t="str">
        <f t="shared" si="96"/>
        <v/>
      </c>
      <c r="R455" s="4" t="str">
        <f t="shared" si="96"/>
        <v/>
      </c>
      <c r="S455" s="4" t="str">
        <f t="shared" si="96"/>
        <v/>
      </c>
      <c r="T455" s="4" t="str">
        <f t="shared" si="96"/>
        <v/>
      </c>
      <c r="U455" s="4" t="str">
        <f t="shared" si="96"/>
        <v/>
      </c>
      <c r="V455" s="4" t="str">
        <f t="shared" si="97"/>
        <v/>
      </c>
      <c r="W455" s="4" t="str">
        <f t="shared" si="102"/>
        <v/>
      </c>
      <c r="X455" s="4" t="str">
        <f t="shared" si="102"/>
        <v/>
      </c>
      <c r="Y455" s="4" t="str">
        <f t="shared" si="102"/>
        <v/>
      </c>
      <c r="Z455" s="4" t="str">
        <f t="shared" si="102"/>
        <v/>
      </c>
      <c r="AA455" s="4" t="str">
        <f t="shared" si="102"/>
        <v/>
      </c>
      <c r="AB455" s="4" t="str">
        <f t="shared" si="102"/>
        <v/>
      </c>
      <c r="AC455" s="5" t="str">
        <f t="shared" si="102"/>
        <v/>
      </c>
      <c r="AD455" s="3" t="str">
        <f t="shared" si="98"/>
        <v/>
      </c>
      <c r="AE455" s="4" t="str">
        <f t="shared" si="98"/>
        <v/>
      </c>
      <c r="AF455" s="4" t="str">
        <f t="shared" si="98"/>
        <v/>
      </c>
      <c r="AG455" s="4" t="str">
        <f t="shared" si="98"/>
        <v/>
      </c>
      <c r="AH455" s="4" t="str">
        <f t="shared" si="98"/>
        <v/>
      </c>
      <c r="AI455" s="4" t="str">
        <f t="shared" si="98"/>
        <v/>
      </c>
      <c r="AJ455" s="4" t="str">
        <f t="shared" si="98"/>
        <v/>
      </c>
      <c r="AK455" s="4" t="str">
        <f t="shared" si="98"/>
        <v/>
      </c>
      <c r="AL455" s="4" t="str">
        <f t="shared" si="99"/>
        <v/>
      </c>
      <c r="AM455" s="4" t="str">
        <f t="shared" si="103"/>
        <v/>
      </c>
      <c r="AN455" s="4">
        <f t="shared" si="103"/>
        <v>1</v>
      </c>
      <c r="AO455" s="4" t="str">
        <f t="shared" si="103"/>
        <v/>
      </c>
      <c r="AP455" s="4" t="str">
        <f t="shared" si="103"/>
        <v/>
      </c>
      <c r="AQ455" s="4" t="str">
        <f t="shared" si="103"/>
        <v/>
      </c>
      <c r="AR455" s="4" t="str">
        <f t="shared" si="103"/>
        <v/>
      </c>
      <c r="AS455" s="5" t="str">
        <f t="shared" si="103"/>
        <v/>
      </c>
      <c r="AT455" s="3" t="str">
        <f t="shared" si="100"/>
        <v/>
      </c>
      <c r="AU455" s="4" t="str">
        <f t="shared" si="100"/>
        <v/>
      </c>
      <c r="AV455" s="4" t="str">
        <f t="shared" si="100"/>
        <v/>
      </c>
      <c r="AW455" s="4" t="str">
        <f t="shared" si="100"/>
        <v/>
      </c>
      <c r="AX455" s="4" t="str">
        <f t="shared" si="100"/>
        <v/>
      </c>
      <c r="AY455" s="4" t="str">
        <f t="shared" si="100"/>
        <v/>
      </c>
      <c r="AZ455" s="4" t="str">
        <f t="shared" si="100"/>
        <v/>
      </c>
      <c r="BA455" s="4" t="str">
        <f t="shared" si="100"/>
        <v/>
      </c>
      <c r="BB455" s="4" t="str">
        <f t="shared" si="101"/>
        <v/>
      </c>
      <c r="BC455" s="4" t="str">
        <f t="shared" si="104"/>
        <v/>
      </c>
      <c r="BD455" s="4" t="str">
        <f t="shared" si="104"/>
        <v/>
      </c>
      <c r="BE455" s="4" t="str">
        <f t="shared" si="104"/>
        <v/>
      </c>
      <c r="BF455" s="4" t="str">
        <f t="shared" si="104"/>
        <v/>
      </c>
      <c r="BG455" s="4" t="str">
        <f t="shared" si="104"/>
        <v/>
      </c>
      <c r="BH455" s="4" t="str">
        <f t="shared" si="104"/>
        <v/>
      </c>
      <c r="BI455" s="5" t="str">
        <f t="shared" si="104"/>
        <v/>
      </c>
    </row>
    <row r="456" spans="1:61" x14ac:dyDescent="0.25">
      <c r="A456">
        <v>345623</v>
      </c>
      <c r="B456" t="s">
        <v>14</v>
      </c>
      <c r="C456" t="s">
        <v>16</v>
      </c>
      <c r="D456">
        <v>63653</v>
      </c>
      <c r="E456">
        <v>1332</v>
      </c>
      <c r="F456">
        <v>3</v>
      </c>
      <c r="G456">
        <v>20124</v>
      </c>
      <c r="H456" t="s">
        <v>21</v>
      </c>
      <c r="I456">
        <v>7</v>
      </c>
      <c r="J456">
        <v>4</v>
      </c>
      <c r="K456">
        <v>69.099999999999994</v>
      </c>
      <c r="L456">
        <v>69.099999999999994</v>
      </c>
      <c r="M456">
        <v>0</v>
      </c>
      <c r="N456" s="3" t="str">
        <f t="shared" si="96"/>
        <v/>
      </c>
      <c r="O456" s="4" t="str">
        <f t="shared" si="96"/>
        <v/>
      </c>
      <c r="P456" s="4" t="str">
        <f t="shared" si="96"/>
        <v/>
      </c>
      <c r="Q456" s="4" t="str">
        <f t="shared" si="96"/>
        <v/>
      </c>
      <c r="R456" s="4" t="str">
        <f t="shared" si="96"/>
        <v/>
      </c>
      <c r="S456" s="4" t="str">
        <f t="shared" si="96"/>
        <v/>
      </c>
      <c r="T456" s="4" t="str">
        <f t="shared" si="96"/>
        <v/>
      </c>
      <c r="U456" s="4" t="str">
        <f t="shared" si="96"/>
        <v/>
      </c>
      <c r="V456" s="4" t="str">
        <f t="shared" si="97"/>
        <v/>
      </c>
      <c r="W456" s="4" t="str">
        <f t="shared" si="102"/>
        <v/>
      </c>
      <c r="X456" s="4" t="str">
        <f t="shared" si="102"/>
        <v/>
      </c>
      <c r="Y456" s="4" t="str">
        <f t="shared" si="102"/>
        <v/>
      </c>
      <c r="Z456" s="4" t="str">
        <f t="shared" si="102"/>
        <v/>
      </c>
      <c r="AA456" s="4" t="str">
        <f t="shared" si="102"/>
        <v/>
      </c>
      <c r="AB456" s="4" t="str">
        <f t="shared" si="102"/>
        <v/>
      </c>
      <c r="AC456" s="5" t="str">
        <f t="shared" si="102"/>
        <v/>
      </c>
      <c r="AD456" s="3" t="str">
        <f t="shared" si="98"/>
        <v/>
      </c>
      <c r="AE456" s="4" t="str">
        <f t="shared" si="98"/>
        <v/>
      </c>
      <c r="AF456" s="4" t="str">
        <f t="shared" si="98"/>
        <v/>
      </c>
      <c r="AG456" s="4" t="str">
        <f t="shared" si="98"/>
        <v/>
      </c>
      <c r="AH456" s="4" t="str">
        <f t="shared" si="98"/>
        <v/>
      </c>
      <c r="AI456" s="4" t="str">
        <f t="shared" si="98"/>
        <v/>
      </c>
      <c r="AJ456" s="4" t="str">
        <f t="shared" si="98"/>
        <v/>
      </c>
      <c r="AK456" s="4" t="str">
        <f t="shared" si="98"/>
        <v/>
      </c>
      <c r="AL456" s="4" t="str">
        <f t="shared" si="99"/>
        <v/>
      </c>
      <c r="AM456" s="4" t="str">
        <f t="shared" si="103"/>
        <v/>
      </c>
      <c r="AN456" s="4" t="str">
        <f t="shared" si="103"/>
        <v/>
      </c>
      <c r="AO456" s="4">
        <f t="shared" si="103"/>
        <v>1</v>
      </c>
      <c r="AP456" s="4" t="str">
        <f t="shared" si="103"/>
        <v/>
      </c>
      <c r="AQ456" s="4" t="str">
        <f t="shared" si="103"/>
        <v/>
      </c>
      <c r="AR456" s="4" t="str">
        <f t="shared" si="103"/>
        <v/>
      </c>
      <c r="AS456" s="5" t="str">
        <f t="shared" si="103"/>
        <v/>
      </c>
      <c r="AT456" s="3" t="str">
        <f t="shared" si="100"/>
        <v/>
      </c>
      <c r="AU456" s="4" t="str">
        <f t="shared" si="100"/>
        <v/>
      </c>
      <c r="AV456" s="4" t="str">
        <f t="shared" si="100"/>
        <v/>
      </c>
      <c r="AW456" s="4" t="str">
        <f t="shared" si="100"/>
        <v/>
      </c>
      <c r="AX456" s="4" t="str">
        <f t="shared" si="100"/>
        <v/>
      </c>
      <c r="AY456" s="4" t="str">
        <f t="shared" si="100"/>
        <v/>
      </c>
      <c r="AZ456" s="4" t="str">
        <f t="shared" si="100"/>
        <v/>
      </c>
      <c r="BA456" s="4" t="str">
        <f t="shared" si="100"/>
        <v/>
      </c>
      <c r="BB456" s="4" t="str">
        <f t="shared" si="101"/>
        <v/>
      </c>
      <c r="BC456" s="4" t="str">
        <f t="shared" si="104"/>
        <v/>
      </c>
      <c r="BD456" s="4" t="str">
        <f t="shared" si="104"/>
        <v/>
      </c>
      <c r="BE456" s="4" t="str">
        <f t="shared" si="104"/>
        <v/>
      </c>
      <c r="BF456" s="4" t="str">
        <f t="shared" si="104"/>
        <v/>
      </c>
      <c r="BG456" s="4" t="str">
        <f t="shared" si="104"/>
        <v/>
      </c>
      <c r="BH456" s="4" t="str">
        <f t="shared" si="104"/>
        <v/>
      </c>
      <c r="BI456" s="5" t="str">
        <f t="shared" si="104"/>
        <v/>
      </c>
    </row>
    <row r="457" spans="1:61" x14ac:dyDescent="0.25">
      <c r="A457">
        <v>466626</v>
      </c>
      <c r="B457" t="s">
        <v>15</v>
      </c>
      <c r="C457" t="s">
        <v>16</v>
      </c>
      <c r="D457">
        <v>63653</v>
      </c>
      <c r="E457">
        <v>1332</v>
      </c>
      <c r="F457">
        <v>2</v>
      </c>
      <c r="G457">
        <v>20121</v>
      </c>
      <c r="H457" t="s">
        <v>20</v>
      </c>
      <c r="I457">
        <v>99</v>
      </c>
      <c r="J457">
        <v>10</v>
      </c>
      <c r="K457">
        <v>7026.36</v>
      </c>
      <c r="L457">
        <v>7026.36</v>
      </c>
      <c r="M457">
        <v>0</v>
      </c>
      <c r="N457" s="3" t="str">
        <f t="shared" si="96"/>
        <v/>
      </c>
      <c r="O457" s="4" t="str">
        <f t="shared" si="96"/>
        <v/>
      </c>
      <c r="P457" s="4" t="str">
        <f t="shared" si="96"/>
        <v/>
      </c>
      <c r="Q457" s="4" t="str">
        <f t="shared" si="96"/>
        <v/>
      </c>
      <c r="R457" s="4" t="str">
        <f t="shared" si="96"/>
        <v/>
      </c>
      <c r="S457" s="4" t="str">
        <f t="shared" si="96"/>
        <v/>
      </c>
      <c r="T457" s="4" t="str">
        <f t="shared" si="96"/>
        <v/>
      </c>
      <c r="U457" s="4" t="str">
        <f t="shared" si="96"/>
        <v/>
      </c>
      <c r="V457" s="4" t="str">
        <f t="shared" si="97"/>
        <v/>
      </c>
      <c r="W457" s="4" t="str">
        <f t="shared" si="102"/>
        <v/>
      </c>
      <c r="X457" s="4" t="str">
        <f t="shared" si="102"/>
        <v/>
      </c>
      <c r="Y457" s="4" t="str">
        <f t="shared" si="102"/>
        <v/>
      </c>
      <c r="Z457" s="4" t="str">
        <f t="shared" si="102"/>
        <v/>
      </c>
      <c r="AA457" s="4" t="str">
        <f t="shared" si="102"/>
        <v/>
      </c>
      <c r="AB457" s="4" t="str">
        <f t="shared" si="102"/>
        <v/>
      </c>
      <c r="AC457" s="5" t="str">
        <f t="shared" si="102"/>
        <v/>
      </c>
      <c r="AD457" s="3" t="str">
        <f t="shared" si="98"/>
        <v/>
      </c>
      <c r="AE457" s="4" t="str">
        <f t="shared" si="98"/>
        <v/>
      </c>
      <c r="AF457" s="4" t="str">
        <f t="shared" si="98"/>
        <v/>
      </c>
      <c r="AG457" s="4" t="str">
        <f t="shared" si="98"/>
        <v/>
      </c>
      <c r="AH457" s="4" t="str">
        <f t="shared" si="98"/>
        <v/>
      </c>
      <c r="AI457" s="4" t="str">
        <f t="shared" si="98"/>
        <v/>
      </c>
      <c r="AJ457" s="4" t="str">
        <f t="shared" si="98"/>
        <v/>
      </c>
      <c r="AK457" s="4" t="str">
        <f t="shared" si="98"/>
        <v/>
      </c>
      <c r="AL457" s="4" t="str">
        <f t="shared" si="99"/>
        <v/>
      </c>
      <c r="AM457" s="4" t="str">
        <f t="shared" si="103"/>
        <v/>
      </c>
      <c r="AN457" s="4" t="str">
        <f t="shared" si="103"/>
        <v/>
      </c>
      <c r="AO457" s="4" t="str">
        <f t="shared" si="103"/>
        <v/>
      </c>
      <c r="AP457" s="4">
        <f t="shared" si="103"/>
        <v>1</v>
      </c>
      <c r="AQ457" s="4" t="str">
        <f t="shared" si="103"/>
        <v/>
      </c>
      <c r="AR457" s="4" t="str">
        <f t="shared" si="103"/>
        <v/>
      </c>
      <c r="AS457" s="5" t="str">
        <f t="shared" si="103"/>
        <v/>
      </c>
      <c r="AT457" s="3" t="str">
        <f t="shared" si="100"/>
        <v/>
      </c>
      <c r="AU457" s="4" t="str">
        <f t="shared" si="100"/>
        <v/>
      </c>
      <c r="AV457" s="4" t="str">
        <f t="shared" si="100"/>
        <v/>
      </c>
      <c r="AW457" s="4" t="str">
        <f t="shared" si="100"/>
        <v/>
      </c>
      <c r="AX457" s="4" t="str">
        <f t="shared" si="100"/>
        <v/>
      </c>
      <c r="AY457" s="4" t="str">
        <f t="shared" si="100"/>
        <v/>
      </c>
      <c r="AZ457" s="4" t="str">
        <f t="shared" si="100"/>
        <v/>
      </c>
      <c r="BA457" s="4" t="str">
        <f t="shared" si="100"/>
        <v/>
      </c>
      <c r="BB457" s="4" t="str">
        <f t="shared" si="101"/>
        <v/>
      </c>
      <c r="BC457" s="4" t="str">
        <f t="shared" si="104"/>
        <v/>
      </c>
      <c r="BD457" s="4" t="str">
        <f t="shared" si="104"/>
        <v/>
      </c>
      <c r="BE457" s="4" t="str">
        <f t="shared" si="104"/>
        <v/>
      </c>
      <c r="BF457" s="4" t="str">
        <f t="shared" si="104"/>
        <v/>
      </c>
      <c r="BG457" s="4" t="str">
        <f t="shared" si="104"/>
        <v/>
      </c>
      <c r="BH457" s="4" t="str">
        <f t="shared" si="104"/>
        <v/>
      </c>
      <c r="BI457" s="5" t="str">
        <f t="shared" si="104"/>
        <v/>
      </c>
    </row>
    <row r="458" spans="1:61" x14ac:dyDescent="0.25">
      <c r="A458">
        <v>466627</v>
      </c>
      <c r="B458" t="s">
        <v>15</v>
      </c>
      <c r="C458" t="s">
        <v>16</v>
      </c>
      <c r="D458">
        <v>63653</v>
      </c>
      <c r="E458">
        <v>1332</v>
      </c>
      <c r="F458">
        <v>2</v>
      </c>
      <c r="G458">
        <v>20122</v>
      </c>
      <c r="H458" t="s">
        <v>20</v>
      </c>
      <c r="I458">
        <v>143</v>
      </c>
      <c r="J458">
        <v>21</v>
      </c>
      <c r="K458">
        <v>16452.78</v>
      </c>
      <c r="L458">
        <v>16449.13</v>
      </c>
      <c r="M458">
        <v>3.65</v>
      </c>
      <c r="N458" s="3" t="str">
        <f t="shared" si="96"/>
        <v/>
      </c>
      <c r="O458" s="4" t="str">
        <f t="shared" si="96"/>
        <v/>
      </c>
      <c r="P458" s="4" t="str">
        <f t="shared" si="96"/>
        <v/>
      </c>
      <c r="Q458" s="4" t="str">
        <f t="shared" si="96"/>
        <v/>
      </c>
      <c r="R458" s="4" t="str">
        <f t="shared" si="96"/>
        <v/>
      </c>
      <c r="S458" s="4" t="str">
        <f t="shared" si="96"/>
        <v/>
      </c>
      <c r="T458" s="4" t="str">
        <f t="shared" si="96"/>
        <v/>
      </c>
      <c r="U458" s="4" t="str">
        <f t="shared" si="96"/>
        <v/>
      </c>
      <c r="V458" s="4" t="str">
        <f t="shared" si="97"/>
        <v/>
      </c>
      <c r="W458" s="4" t="str">
        <f t="shared" si="102"/>
        <v/>
      </c>
      <c r="X458" s="4" t="str">
        <f t="shared" si="102"/>
        <v/>
      </c>
      <c r="Y458" s="4" t="str">
        <f t="shared" si="102"/>
        <v/>
      </c>
      <c r="Z458" s="4" t="str">
        <f t="shared" si="102"/>
        <v/>
      </c>
      <c r="AA458" s="4" t="str">
        <f t="shared" si="102"/>
        <v/>
      </c>
      <c r="AB458" s="4" t="str">
        <f t="shared" si="102"/>
        <v/>
      </c>
      <c r="AC458" s="5" t="str">
        <f t="shared" si="102"/>
        <v/>
      </c>
      <c r="AD458" s="3" t="str">
        <f t="shared" si="98"/>
        <v/>
      </c>
      <c r="AE458" s="4" t="str">
        <f t="shared" si="98"/>
        <v/>
      </c>
      <c r="AF458" s="4" t="str">
        <f t="shared" si="98"/>
        <v/>
      </c>
      <c r="AG458" s="4" t="str">
        <f t="shared" si="98"/>
        <v/>
      </c>
      <c r="AH458" s="4" t="str">
        <f t="shared" si="98"/>
        <v/>
      </c>
      <c r="AI458" s="4" t="str">
        <f t="shared" si="98"/>
        <v/>
      </c>
      <c r="AJ458" s="4" t="str">
        <f t="shared" si="98"/>
        <v/>
      </c>
      <c r="AK458" s="4" t="str">
        <f t="shared" si="98"/>
        <v/>
      </c>
      <c r="AL458" s="4" t="str">
        <f t="shared" si="99"/>
        <v/>
      </c>
      <c r="AM458" s="4" t="str">
        <f t="shared" si="103"/>
        <v/>
      </c>
      <c r="AN458" s="4" t="str">
        <f t="shared" si="103"/>
        <v/>
      </c>
      <c r="AO458" s="4" t="str">
        <f t="shared" si="103"/>
        <v/>
      </c>
      <c r="AP458" s="4" t="str">
        <f t="shared" si="103"/>
        <v/>
      </c>
      <c r="AQ458" s="4">
        <f t="shared" si="103"/>
        <v>1</v>
      </c>
      <c r="AR458" s="4" t="str">
        <f t="shared" si="103"/>
        <v/>
      </c>
      <c r="AS458" s="5" t="str">
        <f t="shared" si="103"/>
        <v/>
      </c>
      <c r="AT458" s="3" t="str">
        <f t="shared" si="100"/>
        <v/>
      </c>
      <c r="AU458" s="4" t="str">
        <f t="shared" si="100"/>
        <v/>
      </c>
      <c r="AV458" s="4" t="str">
        <f t="shared" si="100"/>
        <v/>
      </c>
      <c r="AW458" s="4" t="str">
        <f t="shared" si="100"/>
        <v/>
      </c>
      <c r="AX458" s="4" t="str">
        <f t="shared" si="100"/>
        <v/>
      </c>
      <c r="AY458" s="4" t="str">
        <f t="shared" si="100"/>
        <v/>
      </c>
      <c r="AZ458" s="4" t="str">
        <f t="shared" si="100"/>
        <v/>
      </c>
      <c r="BA458" s="4" t="str">
        <f t="shared" si="100"/>
        <v/>
      </c>
      <c r="BB458" s="4" t="str">
        <f t="shared" si="101"/>
        <v/>
      </c>
      <c r="BC458" s="4" t="str">
        <f t="shared" si="104"/>
        <v/>
      </c>
      <c r="BD458" s="4" t="str">
        <f t="shared" si="104"/>
        <v/>
      </c>
      <c r="BE458" s="4" t="str">
        <f t="shared" si="104"/>
        <v/>
      </c>
      <c r="BF458" s="4" t="str">
        <f t="shared" si="104"/>
        <v/>
      </c>
      <c r="BG458" s="4" t="str">
        <f t="shared" si="104"/>
        <v/>
      </c>
      <c r="BH458" s="4" t="str">
        <f t="shared" si="104"/>
        <v/>
      </c>
      <c r="BI458" s="5" t="str">
        <f t="shared" si="104"/>
        <v/>
      </c>
    </row>
    <row r="459" spans="1:61" x14ac:dyDescent="0.25">
      <c r="A459">
        <v>466628</v>
      </c>
      <c r="B459" t="s">
        <v>15</v>
      </c>
      <c r="C459" t="s">
        <v>16</v>
      </c>
      <c r="D459">
        <v>63653</v>
      </c>
      <c r="E459">
        <v>1332</v>
      </c>
      <c r="F459">
        <v>2</v>
      </c>
      <c r="G459">
        <v>20123</v>
      </c>
      <c r="H459" t="s">
        <v>20</v>
      </c>
      <c r="I459">
        <v>31</v>
      </c>
      <c r="J459">
        <v>16</v>
      </c>
      <c r="K459">
        <v>10837.27</v>
      </c>
      <c r="L459">
        <v>10759.36</v>
      </c>
      <c r="M459">
        <v>77.91</v>
      </c>
      <c r="N459" s="3" t="str">
        <f t="shared" si="96"/>
        <v/>
      </c>
      <c r="O459" s="4" t="str">
        <f t="shared" si="96"/>
        <v/>
      </c>
      <c r="P459" s="4" t="str">
        <f t="shared" si="96"/>
        <v/>
      </c>
      <c r="Q459" s="4" t="str">
        <f t="shared" si="96"/>
        <v/>
      </c>
      <c r="R459" s="4" t="str">
        <f t="shared" si="96"/>
        <v/>
      </c>
      <c r="S459" s="4" t="str">
        <f t="shared" si="96"/>
        <v/>
      </c>
      <c r="T459" s="4" t="str">
        <f t="shared" si="96"/>
        <v/>
      </c>
      <c r="U459" s="4" t="str">
        <f t="shared" si="96"/>
        <v/>
      </c>
      <c r="V459" s="4" t="str">
        <f t="shared" si="97"/>
        <v/>
      </c>
      <c r="W459" s="4" t="str">
        <f t="shared" si="102"/>
        <v/>
      </c>
      <c r="X459" s="4" t="str">
        <f t="shared" si="102"/>
        <v/>
      </c>
      <c r="Y459" s="4" t="str">
        <f t="shared" si="102"/>
        <v/>
      </c>
      <c r="Z459" s="4" t="str">
        <f t="shared" si="102"/>
        <v/>
      </c>
      <c r="AA459" s="4" t="str">
        <f t="shared" si="102"/>
        <v/>
      </c>
      <c r="AB459" s="4" t="str">
        <f t="shared" si="102"/>
        <v/>
      </c>
      <c r="AC459" s="5" t="str">
        <f t="shared" si="102"/>
        <v/>
      </c>
      <c r="AD459" s="3" t="str">
        <f t="shared" si="98"/>
        <v/>
      </c>
      <c r="AE459" s="4" t="str">
        <f t="shared" si="98"/>
        <v/>
      </c>
      <c r="AF459" s="4" t="str">
        <f t="shared" si="98"/>
        <v/>
      </c>
      <c r="AG459" s="4" t="str">
        <f t="shared" si="98"/>
        <v/>
      </c>
      <c r="AH459" s="4" t="str">
        <f t="shared" si="98"/>
        <v/>
      </c>
      <c r="AI459" s="4" t="str">
        <f t="shared" si="98"/>
        <v/>
      </c>
      <c r="AJ459" s="4" t="str">
        <f t="shared" si="98"/>
        <v/>
      </c>
      <c r="AK459" s="4" t="str">
        <f t="shared" si="98"/>
        <v/>
      </c>
      <c r="AL459" s="4" t="str">
        <f t="shared" si="99"/>
        <v/>
      </c>
      <c r="AM459" s="4" t="str">
        <f t="shared" si="103"/>
        <v/>
      </c>
      <c r="AN459" s="4" t="str">
        <f t="shared" si="103"/>
        <v/>
      </c>
      <c r="AO459" s="4" t="str">
        <f t="shared" si="103"/>
        <v/>
      </c>
      <c r="AP459" s="4" t="str">
        <f t="shared" si="103"/>
        <v/>
      </c>
      <c r="AQ459" s="4" t="str">
        <f t="shared" si="103"/>
        <v/>
      </c>
      <c r="AR459" s="4">
        <f t="shared" si="103"/>
        <v>1</v>
      </c>
      <c r="AS459" s="5" t="str">
        <f t="shared" si="103"/>
        <v/>
      </c>
      <c r="AT459" s="3" t="str">
        <f t="shared" si="100"/>
        <v/>
      </c>
      <c r="AU459" s="4" t="str">
        <f t="shared" si="100"/>
        <v/>
      </c>
      <c r="AV459" s="4" t="str">
        <f t="shared" si="100"/>
        <v/>
      </c>
      <c r="AW459" s="4" t="str">
        <f t="shared" si="100"/>
        <v/>
      </c>
      <c r="AX459" s="4" t="str">
        <f t="shared" si="100"/>
        <v/>
      </c>
      <c r="AY459" s="4" t="str">
        <f t="shared" si="100"/>
        <v/>
      </c>
      <c r="AZ459" s="4" t="str">
        <f t="shared" si="100"/>
        <v/>
      </c>
      <c r="BA459" s="4" t="str">
        <f t="shared" si="100"/>
        <v/>
      </c>
      <c r="BB459" s="4" t="str">
        <f t="shared" si="101"/>
        <v/>
      </c>
      <c r="BC459" s="4" t="str">
        <f t="shared" si="104"/>
        <v/>
      </c>
      <c r="BD459" s="4" t="str">
        <f t="shared" si="104"/>
        <v/>
      </c>
      <c r="BE459" s="4" t="str">
        <f t="shared" si="104"/>
        <v/>
      </c>
      <c r="BF459" s="4" t="str">
        <f t="shared" si="104"/>
        <v/>
      </c>
      <c r="BG459" s="4" t="str">
        <f t="shared" si="104"/>
        <v/>
      </c>
      <c r="BH459" s="4" t="str">
        <f t="shared" si="104"/>
        <v/>
      </c>
      <c r="BI459" s="5" t="str">
        <f t="shared" si="104"/>
        <v/>
      </c>
    </row>
    <row r="460" spans="1:61" x14ac:dyDescent="0.25">
      <c r="A460">
        <v>466629</v>
      </c>
      <c r="B460" t="s">
        <v>15</v>
      </c>
      <c r="C460" t="s">
        <v>16</v>
      </c>
      <c r="D460">
        <v>63653</v>
      </c>
      <c r="E460">
        <v>1332</v>
      </c>
      <c r="F460">
        <v>2</v>
      </c>
      <c r="G460">
        <v>20124</v>
      </c>
      <c r="H460" t="s">
        <v>20</v>
      </c>
      <c r="I460">
        <v>26</v>
      </c>
      <c r="J460">
        <v>17</v>
      </c>
      <c r="K460">
        <v>7085.05</v>
      </c>
      <c r="L460">
        <v>6901.58</v>
      </c>
      <c r="M460">
        <v>183.47</v>
      </c>
      <c r="N460" s="3" t="str">
        <f t="shared" si="96"/>
        <v/>
      </c>
      <c r="O460" s="4" t="str">
        <f t="shared" si="96"/>
        <v/>
      </c>
      <c r="P460" s="4" t="str">
        <f t="shared" si="96"/>
        <v/>
      </c>
      <c r="Q460" s="4" t="str">
        <f t="shared" si="96"/>
        <v/>
      </c>
      <c r="R460" s="4" t="str">
        <f t="shared" si="96"/>
        <v/>
      </c>
      <c r="S460" s="4" t="str">
        <f t="shared" si="96"/>
        <v/>
      </c>
      <c r="T460" s="4" t="str">
        <f t="shared" si="96"/>
        <v/>
      </c>
      <c r="U460" s="4" t="str">
        <f t="shared" si="96"/>
        <v/>
      </c>
      <c r="V460" s="4" t="str">
        <f t="shared" si="97"/>
        <v/>
      </c>
      <c r="W460" s="4" t="str">
        <f t="shared" si="102"/>
        <v/>
      </c>
      <c r="X460" s="4" t="str">
        <f t="shared" si="102"/>
        <v/>
      </c>
      <c r="Y460" s="4" t="str">
        <f t="shared" si="102"/>
        <v/>
      </c>
      <c r="Z460" s="4" t="str">
        <f t="shared" si="102"/>
        <v/>
      </c>
      <c r="AA460" s="4" t="str">
        <f t="shared" si="102"/>
        <v/>
      </c>
      <c r="AB460" s="4" t="str">
        <f t="shared" si="102"/>
        <v/>
      </c>
      <c r="AC460" s="5" t="str">
        <f t="shared" si="102"/>
        <v/>
      </c>
      <c r="AD460" s="3" t="str">
        <f t="shared" si="98"/>
        <v/>
      </c>
      <c r="AE460" s="4" t="str">
        <f t="shared" si="98"/>
        <v/>
      </c>
      <c r="AF460" s="4" t="str">
        <f t="shared" si="98"/>
        <v/>
      </c>
      <c r="AG460" s="4" t="str">
        <f t="shared" si="98"/>
        <v/>
      </c>
      <c r="AH460" s="4" t="str">
        <f t="shared" si="98"/>
        <v/>
      </c>
      <c r="AI460" s="4" t="str">
        <f t="shared" si="98"/>
        <v/>
      </c>
      <c r="AJ460" s="4" t="str">
        <f t="shared" si="98"/>
        <v/>
      </c>
      <c r="AK460" s="4" t="str">
        <f t="shared" si="98"/>
        <v/>
      </c>
      <c r="AL460" s="4" t="str">
        <f t="shared" si="99"/>
        <v/>
      </c>
      <c r="AM460" s="4" t="str">
        <f t="shared" si="103"/>
        <v/>
      </c>
      <c r="AN460" s="4" t="str">
        <f t="shared" si="103"/>
        <v/>
      </c>
      <c r="AO460" s="4" t="str">
        <f t="shared" si="103"/>
        <v/>
      </c>
      <c r="AP460" s="4" t="str">
        <f t="shared" si="103"/>
        <v/>
      </c>
      <c r="AQ460" s="4" t="str">
        <f t="shared" si="103"/>
        <v/>
      </c>
      <c r="AR460" s="4" t="str">
        <f t="shared" si="103"/>
        <v/>
      </c>
      <c r="AS460" s="5">
        <f t="shared" si="103"/>
        <v>1</v>
      </c>
      <c r="AT460" s="3" t="str">
        <f t="shared" si="100"/>
        <v/>
      </c>
      <c r="AU460" s="4" t="str">
        <f t="shared" si="100"/>
        <v/>
      </c>
      <c r="AV460" s="4" t="str">
        <f t="shared" si="100"/>
        <v/>
      </c>
      <c r="AW460" s="4" t="str">
        <f t="shared" si="100"/>
        <v/>
      </c>
      <c r="AX460" s="4" t="str">
        <f t="shared" si="100"/>
        <v/>
      </c>
      <c r="AY460" s="4" t="str">
        <f t="shared" si="100"/>
        <v/>
      </c>
      <c r="AZ460" s="4" t="str">
        <f t="shared" si="100"/>
        <v/>
      </c>
      <c r="BA460" s="4" t="str">
        <f t="shared" si="100"/>
        <v/>
      </c>
      <c r="BB460" s="4" t="str">
        <f t="shared" si="101"/>
        <v/>
      </c>
      <c r="BC460" s="4" t="str">
        <f t="shared" si="104"/>
        <v/>
      </c>
      <c r="BD460" s="4" t="str">
        <f t="shared" si="104"/>
        <v/>
      </c>
      <c r="BE460" s="4" t="str">
        <f t="shared" si="104"/>
        <v/>
      </c>
      <c r="BF460" s="4" t="str">
        <f t="shared" si="104"/>
        <v/>
      </c>
      <c r="BG460" s="4" t="str">
        <f t="shared" si="104"/>
        <v/>
      </c>
      <c r="BH460" s="4" t="str">
        <f t="shared" si="104"/>
        <v/>
      </c>
      <c r="BI460" s="5" t="str">
        <f t="shared" si="104"/>
        <v/>
      </c>
    </row>
    <row r="461" spans="1:61" x14ac:dyDescent="0.25">
      <c r="A461">
        <v>466630</v>
      </c>
      <c r="B461" t="s">
        <v>15</v>
      </c>
      <c r="C461" t="s">
        <v>16</v>
      </c>
      <c r="D461">
        <v>63653</v>
      </c>
      <c r="E461">
        <v>1332</v>
      </c>
      <c r="F461">
        <v>3</v>
      </c>
      <c r="G461">
        <v>20122</v>
      </c>
      <c r="H461" t="s">
        <v>21</v>
      </c>
      <c r="I461">
        <v>2</v>
      </c>
      <c r="J461">
        <v>3</v>
      </c>
      <c r="K461">
        <v>8.83</v>
      </c>
      <c r="L461">
        <v>8.83</v>
      </c>
      <c r="M461">
        <v>0</v>
      </c>
      <c r="N461" s="3" t="str">
        <f t="shared" si="96"/>
        <v/>
      </c>
      <c r="O461" s="4" t="str">
        <f t="shared" si="96"/>
        <v/>
      </c>
      <c r="P461" s="4" t="str">
        <f t="shared" si="96"/>
        <v/>
      </c>
      <c r="Q461" s="4" t="str">
        <f t="shared" si="96"/>
        <v/>
      </c>
      <c r="R461" s="4" t="str">
        <f t="shared" si="96"/>
        <v/>
      </c>
      <c r="S461" s="4" t="str">
        <f t="shared" si="96"/>
        <v/>
      </c>
      <c r="T461" s="4" t="str">
        <f t="shared" si="96"/>
        <v/>
      </c>
      <c r="U461" s="4" t="str">
        <f t="shared" si="96"/>
        <v/>
      </c>
      <c r="V461" s="4" t="str">
        <f t="shared" si="97"/>
        <v/>
      </c>
      <c r="W461" s="4" t="str">
        <f t="shared" si="102"/>
        <v/>
      </c>
      <c r="X461" s="4" t="str">
        <f t="shared" si="102"/>
        <v/>
      </c>
      <c r="Y461" s="4" t="str">
        <f t="shared" si="102"/>
        <v/>
      </c>
      <c r="Z461" s="4" t="str">
        <f t="shared" si="102"/>
        <v/>
      </c>
      <c r="AA461" s="4" t="str">
        <f t="shared" si="102"/>
        <v/>
      </c>
      <c r="AB461" s="4" t="str">
        <f t="shared" si="102"/>
        <v/>
      </c>
      <c r="AC461" s="5" t="str">
        <f t="shared" si="102"/>
        <v/>
      </c>
      <c r="AD461" s="3" t="str">
        <f t="shared" si="98"/>
        <v/>
      </c>
      <c r="AE461" s="4" t="str">
        <f t="shared" si="98"/>
        <v/>
      </c>
      <c r="AF461" s="4" t="str">
        <f t="shared" si="98"/>
        <v/>
      </c>
      <c r="AG461" s="4" t="str">
        <f t="shared" si="98"/>
        <v/>
      </c>
      <c r="AH461" s="4" t="str">
        <f t="shared" si="98"/>
        <v/>
      </c>
      <c r="AI461" s="4" t="str">
        <f t="shared" si="98"/>
        <v/>
      </c>
      <c r="AJ461" s="4" t="str">
        <f t="shared" si="98"/>
        <v/>
      </c>
      <c r="AK461" s="4" t="str">
        <f t="shared" si="98"/>
        <v/>
      </c>
      <c r="AL461" s="4" t="str">
        <f t="shared" si="99"/>
        <v/>
      </c>
      <c r="AM461" s="4" t="str">
        <f t="shared" si="103"/>
        <v/>
      </c>
      <c r="AN461" s="4" t="str">
        <f t="shared" si="103"/>
        <v/>
      </c>
      <c r="AO461" s="4" t="str">
        <f t="shared" si="103"/>
        <v/>
      </c>
      <c r="AP461" s="4" t="str">
        <f t="shared" si="103"/>
        <v/>
      </c>
      <c r="AQ461" s="4">
        <f t="shared" si="103"/>
        <v>1</v>
      </c>
      <c r="AR461" s="4" t="str">
        <f t="shared" si="103"/>
        <v/>
      </c>
      <c r="AS461" s="5" t="str">
        <f t="shared" si="103"/>
        <v/>
      </c>
      <c r="AT461" s="3" t="str">
        <f t="shared" si="100"/>
        <v/>
      </c>
      <c r="AU461" s="4" t="str">
        <f t="shared" si="100"/>
        <v/>
      </c>
      <c r="AV461" s="4" t="str">
        <f t="shared" si="100"/>
        <v/>
      </c>
      <c r="AW461" s="4" t="str">
        <f t="shared" si="100"/>
        <v/>
      </c>
      <c r="AX461" s="4" t="str">
        <f t="shared" si="100"/>
        <v/>
      </c>
      <c r="AY461" s="4" t="str">
        <f t="shared" si="100"/>
        <v/>
      </c>
      <c r="AZ461" s="4" t="str">
        <f t="shared" si="100"/>
        <v/>
      </c>
      <c r="BA461" s="4" t="str">
        <f t="shared" si="100"/>
        <v/>
      </c>
      <c r="BB461" s="4" t="str">
        <f t="shared" si="101"/>
        <v/>
      </c>
      <c r="BC461" s="4" t="str">
        <f t="shared" si="104"/>
        <v/>
      </c>
      <c r="BD461" s="4" t="str">
        <f t="shared" si="104"/>
        <v/>
      </c>
      <c r="BE461" s="4" t="str">
        <f t="shared" si="104"/>
        <v/>
      </c>
      <c r="BF461" s="4" t="str">
        <f t="shared" si="104"/>
        <v/>
      </c>
      <c r="BG461" s="4" t="str">
        <f t="shared" si="104"/>
        <v/>
      </c>
      <c r="BH461" s="4" t="str">
        <f t="shared" si="104"/>
        <v/>
      </c>
      <c r="BI461" s="5" t="str">
        <f t="shared" si="104"/>
        <v/>
      </c>
    </row>
    <row r="462" spans="1:61" x14ac:dyDescent="0.25">
      <c r="A462">
        <v>466631</v>
      </c>
      <c r="B462" t="s">
        <v>15</v>
      </c>
      <c r="C462" t="s">
        <v>16</v>
      </c>
      <c r="D462">
        <v>63653</v>
      </c>
      <c r="E462">
        <v>1332</v>
      </c>
      <c r="F462">
        <v>3</v>
      </c>
      <c r="G462">
        <v>20123</v>
      </c>
      <c r="H462" t="s">
        <v>21</v>
      </c>
      <c r="I462">
        <v>6</v>
      </c>
      <c r="J462">
        <v>4</v>
      </c>
      <c r="K462">
        <v>38.549999999999997</v>
      </c>
      <c r="L462">
        <v>38.549999999999997</v>
      </c>
      <c r="M462">
        <v>0</v>
      </c>
      <c r="N462" s="3" t="str">
        <f t="shared" si="96"/>
        <v/>
      </c>
      <c r="O462" s="4" t="str">
        <f t="shared" si="96"/>
        <v/>
      </c>
      <c r="P462" s="4" t="str">
        <f t="shared" si="96"/>
        <v/>
      </c>
      <c r="Q462" s="4" t="str">
        <f t="shared" si="96"/>
        <v/>
      </c>
      <c r="R462" s="4" t="str">
        <f t="shared" si="96"/>
        <v/>
      </c>
      <c r="S462" s="4" t="str">
        <f t="shared" si="96"/>
        <v/>
      </c>
      <c r="T462" s="4" t="str">
        <f t="shared" si="96"/>
        <v/>
      </c>
      <c r="U462" s="4" t="str">
        <f t="shared" si="96"/>
        <v/>
      </c>
      <c r="V462" s="4" t="str">
        <f t="shared" si="97"/>
        <v/>
      </c>
      <c r="W462" s="4" t="str">
        <f t="shared" si="102"/>
        <v/>
      </c>
      <c r="X462" s="4" t="str">
        <f t="shared" si="102"/>
        <v/>
      </c>
      <c r="Y462" s="4" t="str">
        <f t="shared" si="102"/>
        <v/>
      </c>
      <c r="Z462" s="4" t="str">
        <f t="shared" si="102"/>
        <v/>
      </c>
      <c r="AA462" s="4" t="str">
        <f t="shared" si="102"/>
        <v/>
      </c>
      <c r="AB462" s="4" t="str">
        <f t="shared" si="102"/>
        <v/>
      </c>
      <c r="AC462" s="5" t="str">
        <f t="shared" si="102"/>
        <v/>
      </c>
      <c r="AD462" s="3" t="str">
        <f t="shared" si="98"/>
        <v/>
      </c>
      <c r="AE462" s="4" t="str">
        <f t="shared" si="98"/>
        <v/>
      </c>
      <c r="AF462" s="4" t="str">
        <f t="shared" si="98"/>
        <v/>
      </c>
      <c r="AG462" s="4" t="str">
        <f t="shared" si="98"/>
        <v/>
      </c>
      <c r="AH462" s="4" t="str">
        <f t="shared" si="98"/>
        <v/>
      </c>
      <c r="AI462" s="4" t="str">
        <f t="shared" si="98"/>
        <v/>
      </c>
      <c r="AJ462" s="4" t="str">
        <f t="shared" si="98"/>
        <v/>
      </c>
      <c r="AK462" s="4" t="str">
        <f t="shared" si="98"/>
        <v/>
      </c>
      <c r="AL462" s="4" t="str">
        <f t="shared" si="99"/>
        <v/>
      </c>
      <c r="AM462" s="4" t="str">
        <f t="shared" si="103"/>
        <v/>
      </c>
      <c r="AN462" s="4" t="str">
        <f t="shared" si="103"/>
        <v/>
      </c>
      <c r="AO462" s="4" t="str">
        <f t="shared" si="103"/>
        <v/>
      </c>
      <c r="AP462" s="4" t="str">
        <f t="shared" si="103"/>
        <v/>
      </c>
      <c r="AQ462" s="4" t="str">
        <f t="shared" si="103"/>
        <v/>
      </c>
      <c r="AR462" s="4">
        <f t="shared" si="103"/>
        <v>1</v>
      </c>
      <c r="AS462" s="5" t="str">
        <f t="shared" si="103"/>
        <v/>
      </c>
      <c r="AT462" s="3" t="str">
        <f t="shared" si="100"/>
        <v/>
      </c>
      <c r="AU462" s="4" t="str">
        <f t="shared" si="100"/>
        <v/>
      </c>
      <c r="AV462" s="4" t="str">
        <f t="shared" si="100"/>
        <v/>
      </c>
      <c r="AW462" s="4" t="str">
        <f t="shared" si="100"/>
        <v/>
      </c>
      <c r="AX462" s="4" t="str">
        <f t="shared" si="100"/>
        <v/>
      </c>
      <c r="AY462" s="4" t="str">
        <f t="shared" si="100"/>
        <v/>
      </c>
      <c r="AZ462" s="4" t="str">
        <f t="shared" si="100"/>
        <v/>
      </c>
      <c r="BA462" s="4" t="str">
        <f t="shared" si="100"/>
        <v/>
      </c>
      <c r="BB462" s="4" t="str">
        <f t="shared" si="101"/>
        <v/>
      </c>
      <c r="BC462" s="4" t="str">
        <f t="shared" si="104"/>
        <v/>
      </c>
      <c r="BD462" s="4" t="str">
        <f t="shared" si="104"/>
        <v/>
      </c>
      <c r="BE462" s="4" t="str">
        <f t="shared" si="104"/>
        <v/>
      </c>
      <c r="BF462" s="4" t="str">
        <f t="shared" si="104"/>
        <v/>
      </c>
      <c r="BG462" s="4" t="str">
        <f t="shared" si="104"/>
        <v/>
      </c>
      <c r="BH462" s="4" t="str">
        <f t="shared" si="104"/>
        <v/>
      </c>
      <c r="BI462" s="5" t="str">
        <f t="shared" si="104"/>
        <v/>
      </c>
    </row>
    <row r="463" spans="1:61" x14ac:dyDescent="0.25">
      <c r="A463">
        <v>466632</v>
      </c>
      <c r="B463" t="s">
        <v>15</v>
      </c>
      <c r="C463" t="s">
        <v>16</v>
      </c>
      <c r="D463">
        <v>63653</v>
      </c>
      <c r="E463">
        <v>1332</v>
      </c>
      <c r="F463">
        <v>3</v>
      </c>
      <c r="G463">
        <v>20124</v>
      </c>
      <c r="H463" t="s">
        <v>21</v>
      </c>
      <c r="I463">
        <v>53</v>
      </c>
      <c r="J463">
        <v>8</v>
      </c>
      <c r="K463">
        <v>18.010000000000002</v>
      </c>
      <c r="L463">
        <v>18.010000000000002</v>
      </c>
      <c r="M463">
        <v>0</v>
      </c>
      <c r="N463" s="3" t="str">
        <f t="shared" si="96"/>
        <v/>
      </c>
      <c r="O463" s="4" t="str">
        <f t="shared" si="96"/>
        <v/>
      </c>
      <c r="P463" s="4" t="str">
        <f t="shared" si="96"/>
        <v/>
      </c>
      <c r="Q463" s="4" t="str">
        <f t="shared" si="96"/>
        <v/>
      </c>
      <c r="R463" s="4" t="str">
        <f t="shared" si="96"/>
        <v/>
      </c>
      <c r="S463" s="4" t="str">
        <f t="shared" si="96"/>
        <v/>
      </c>
      <c r="T463" s="4" t="str">
        <f t="shared" si="96"/>
        <v/>
      </c>
      <c r="U463" s="4" t="str">
        <f t="shared" si="96"/>
        <v/>
      </c>
      <c r="V463" s="4" t="str">
        <f t="shared" si="97"/>
        <v/>
      </c>
      <c r="W463" s="4" t="str">
        <f t="shared" si="102"/>
        <v/>
      </c>
      <c r="X463" s="4" t="str">
        <f t="shared" si="102"/>
        <v/>
      </c>
      <c r="Y463" s="4" t="str">
        <f t="shared" si="102"/>
        <v/>
      </c>
      <c r="Z463" s="4" t="str">
        <f t="shared" si="102"/>
        <v/>
      </c>
      <c r="AA463" s="4" t="str">
        <f t="shared" si="102"/>
        <v/>
      </c>
      <c r="AB463" s="4" t="str">
        <f t="shared" si="102"/>
        <v/>
      </c>
      <c r="AC463" s="5" t="str">
        <f t="shared" si="102"/>
        <v/>
      </c>
      <c r="AD463" s="3" t="str">
        <f t="shared" si="98"/>
        <v/>
      </c>
      <c r="AE463" s="4" t="str">
        <f t="shared" si="98"/>
        <v/>
      </c>
      <c r="AF463" s="4" t="str">
        <f t="shared" si="98"/>
        <v/>
      </c>
      <c r="AG463" s="4" t="str">
        <f t="shared" si="98"/>
        <v/>
      </c>
      <c r="AH463" s="4" t="str">
        <f t="shared" si="98"/>
        <v/>
      </c>
      <c r="AI463" s="4" t="str">
        <f t="shared" si="98"/>
        <v/>
      </c>
      <c r="AJ463" s="4" t="str">
        <f t="shared" si="98"/>
        <v/>
      </c>
      <c r="AK463" s="4" t="str">
        <f t="shared" si="98"/>
        <v/>
      </c>
      <c r="AL463" s="4" t="str">
        <f t="shared" si="99"/>
        <v/>
      </c>
      <c r="AM463" s="4" t="str">
        <f t="shared" si="103"/>
        <v/>
      </c>
      <c r="AN463" s="4" t="str">
        <f t="shared" si="103"/>
        <v/>
      </c>
      <c r="AO463" s="4" t="str">
        <f t="shared" si="103"/>
        <v/>
      </c>
      <c r="AP463" s="4" t="str">
        <f t="shared" si="103"/>
        <v/>
      </c>
      <c r="AQ463" s="4" t="str">
        <f t="shared" si="103"/>
        <v/>
      </c>
      <c r="AR463" s="4" t="str">
        <f t="shared" si="103"/>
        <v/>
      </c>
      <c r="AS463" s="5">
        <f t="shared" si="103"/>
        <v>1</v>
      </c>
      <c r="AT463" s="3" t="str">
        <f t="shared" si="100"/>
        <v/>
      </c>
      <c r="AU463" s="4" t="str">
        <f t="shared" si="100"/>
        <v/>
      </c>
      <c r="AV463" s="4" t="str">
        <f t="shared" si="100"/>
        <v/>
      </c>
      <c r="AW463" s="4" t="str">
        <f t="shared" si="100"/>
        <v/>
      </c>
      <c r="AX463" s="4" t="str">
        <f t="shared" si="100"/>
        <v/>
      </c>
      <c r="AY463" s="4" t="str">
        <f t="shared" si="100"/>
        <v/>
      </c>
      <c r="AZ463" s="4" t="str">
        <f t="shared" si="100"/>
        <v/>
      </c>
      <c r="BA463" s="4" t="str">
        <f t="shared" si="100"/>
        <v/>
      </c>
      <c r="BB463" s="4" t="str">
        <f t="shared" si="101"/>
        <v/>
      </c>
      <c r="BC463" s="4" t="str">
        <f t="shared" si="104"/>
        <v/>
      </c>
      <c r="BD463" s="4" t="str">
        <f t="shared" si="104"/>
        <v/>
      </c>
      <c r="BE463" s="4" t="str">
        <f t="shared" si="104"/>
        <v/>
      </c>
      <c r="BF463" s="4" t="str">
        <f t="shared" si="104"/>
        <v/>
      </c>
      <c r="BG463" s="4" t="str">
        <f t="shared" si="104"/>
        <v/>
      </c>
      <c r="BH463" s="4" t="str">
        <f t="shared" si="104"/>
        <v/>
      </c>
      <c r="BI463" s="5" t="str">
        <f t="shared" si="104"/>
        <v/>
      </c>
    </row>
    <row r="464" spans="1:61" x14ac:dyDescent="0.25">
      <c r="A464">
        <v>591749</v>
      </c>
      <c r="B464" t="s">
        <v>14</v>
      </c>
      <c r="C464" t="s">
        <v>16</v>
      </c>
      <c r="D464">
        <v>63653</v>
      </c>
      <c r="E464">
        <v>1332</v>
      </c>
      <c r="F464">
        <v>2</v>
      </c>
      <c r="G464">
        <v>20131</v>
      </c>
      <c r="H464" t="s">
        <v>20</v>
      </c>
      <c r="I464">
        <v>129</v>
      </c>
      <c r="J464">
        <v>72</v>
      </c>
      <c r="K464">
        <v>2689.27</v>
      </c>
      <c r="L464">
        <v>2689.27</v>
      </c>
      <c r="M464">
        <v>0</v>
      </c>
      <c r="N464" s="3" t="str">
        <f t="shared" si="96"/>
        <v/>
      </c>
      <c r="O464" s="4" t="str">
        <f t="shared" si="96"/>
        <v/>
      </c>
      <c r="P464" s="4" t="str">
        <f t="shared" si="96"/>
        <v/>
      </c>
      <c r="Q464" s="4" t="str">
        <f t="shared" si="96"/>
        <v/>
      </c>
      <c r="R464" s="4" t="str">
        <f t="shared" si="96"/>
        <v/>
      </c>
      <c r="S464" s="4" t="str">
        <f t="shared" si="96"/>
        <v/>
      </c>
      <c r="T464" s="4" t="str">
        <f t="shared" si="96"/>
        <v/>
      </c>
      <c r="U464" s="4" t="str">
        <f t="shared" si="96"/>
        <v/>
      </c>
      <c r="V464" s="4" t="str">
        <f t="shared" si="97"/>
        <v/>
      </c>
      <c r="W464" s="4" t="str">
        <f t="shared" si="102"/>
        <v/>
      </c>
      <c r="X464" s="4" t="str">
        <f t="shared" si="102"/>
        <v/>
      </c>
      <c r="Y464" s="4" t="str">
        <f t="shared" si="102"/>
        <v/>
      </c>
      <c r="Z464" s="4" t="str">
        <f t="shared" si="102"/>
        <v/>
      </c>
      <c r="AA464" s="4" t="str">
        <f t="shared" si="102"/>
        <v/>
      </c>
      <c r="AB464" s="4" t="str">
        <f t="shared" si="102"/>
        <v/>
      </c>
      <c r="AC464" s="5" t="str">
        <f t="shared" si="102"/>
        <v/>
      </c>
      <c r="AD464" s="3" t="str">
        <f t="shared" si="98"/>
        <v/>
      </c>
      <c r="AE464" s="4" t="str">
        <f t="shared" si="98"/>
        <v/>
      </c>
      <c r="AF464" s="4" t="str">
        <f t="shared" si="98"/>
        <v/>
      </c>
      <c r="AG464" s="4" t="str">
        <f t="shared" si="98"/>
        <v/>
      </c>
      <c r="AH464" s="4" t="str">
        <f t="shared" si="98"/>
        <v/>
      </c>
      <c r="AI464" s="4" t="str">
        <f t="shared" si="98"/>
        <v/>
      </c>
      <c r="AJ464" s="4" t="str">
        <f t="shared" si="98"/>
        <v/>
      </c>
      <c r="AK464" s="4" t="str">
        <f t="shared" si="98"/>
        <v/>
      </c>
      <c r="AL464" s="4" t="str">
        <f t="shared" si="99"/>
        <v/>
      </c>
      <c r="AM464" s="4" t="str">
        <f t="shared" si="103"/>
        <v/>
      </c>
      <c r="AN464" s="4" t="str">
        <f t="shared" si="103"/>
        <v/>
      </c>
      <c r="AO464" s="4" t="str">
        <f t="shared" si="103"/>
        <v/>
      </c>
      <c r="AP464" s="4" t="str">
        <f t="shared" si="103"/>
        <v/>
      </c>
      <c r="AQ464" s="4" t="str">
        <f t="shared" si="103"/>
        <v/>
      </c>
      <c r="AR464" s="4" t="str">
        <f t="shared" si="103"/>
        <v/>
      </c>
      <c r="AS464" s="5" t="str">
        <f t="shared" si="103"/>
        <v/>
      </c>
      <c r="AT464" s="3" t="str">
        <f t="shared" si="100"/>
        <v/>
      </c>
      <c r="AU464" s="4" t="str">
        <f t="shared" si="100"/>
        <v/>
      </c>
      <c r="AV464" s="4" t="str">
        <f t="shared" si="100"/>
        <v/>
      </c>
      <c r="AW464" s="4" t="str">
        <f t="shared" si="100"/>
        <v/>
      </c>
      <c r="AX464" s="4" t="str">
        <f t="shared" si="100"/>
        <v/>
      </c>
      <c r="AY464" s="4" t="str">
        <f t="shared" si="100"/>
        <v/>
      </c>
      <c r="AZ464" s="4" t="str">
        <f t="shared" si="100"/>
        <v/>
      </c>
      <c r="BA464" s="4" t="str">
        <f t="shared" si="100"/>
        <v/>
      </c>
      <c r="BB464" s="4">
        <f t="shared" si="101"/>
        <v>1</v>
      </c>
      <c r="BC464" s="4" t="str">
        <f t="shared" si="104"/>
        <v/>
      </c>
      <c r="BD464" s="4" t="str">
        <f t="shared" si="104"/>
        <v/>
      </c>
      <c r="BE464" s="4" t="str">
        <f t="shared" si="104"/>
        <v/>
      </c>
      <c r="BF464" s="4" t="str">
        <f t="shared" si="104"/>
        <v/>
      </c>
      <c r="BG464" s="4" t="str">
        <f t="shared" si="104"/>
        <v/>
      </c>
      <c r="BH464" s="4" t="str">
        <f t="shared" si="104"/>
        <v/>
      </c>
      <c r="BI464" s="5" t="str">
        <f t="shared" si="104"/>
        <v/>
      </c>
    </row>
    <row r="465" spans="1:61" x14ac:dyDescent="0.25">
      <c r="A465">
        <v>591750</v>
      </c>
      <c r="B465" t="s">
        <v>14</v>
      </c>
      <c r="C465" t="s">
        <v>16</v>
      </c>
      <c r="D465">
        <v>63653</v>
      </c>
      <c r="E465">
        <v>1332</v>
      </c>
      <c r="F465">
        <v>2</v>
      </c>
      <c r="G465">
        <v>20132</v>
      </c>
      <c r="H465" t="s">
        <v>20</v>
      </c>
      <c r="I465">
        <v>46</v>
      </c>
      <c r="J465">
        <v>32</v>
      </c>
      <c r="K465">
        <v>1006.9</v>
      </c>
      <c r="L465">
        <v>1006.9</v>
      </c>
      <c r="M465">
        <v>0</v>
      </c>
      <c r="N465" s="3" t="str">
        <f t="shared" si="96"/>
        <v/>
      </c>
      <c r="O465" s="4" t="str">
        <f t="shared" si="96"/>
        <v/>
      </c>
      <c r="P465" s="4" t="str">
        <f t="shared" si="96"/>
        <v/>
      </c>
      <c r="Q465" s="4" t="str">
        <f t="shared" si="96"/>
        <v/>
      </c>
      <c r="R465" s="4" t="str">
        <f t="shared" si="96"/>
        <v/>
      </c>
      <c r="S465" s="4" t="str">
        <f t="shared" si="96"/>
        <v/>
      </c>
      <c r="T465" s="4" t="str">
        <f t="shared" si="96"/>
        <v/>
      </c>
      <c r="U465" s="4" t="str">
        <f t="shared" si="96"/>
        <v/>
      </c>
      <c r="V465" s="4" t="str">
        <f t="shared" si="97"/>
        <v/>
      </c>
      <c r="W465" s="4" t="str">
        <f t="shared" si="102"/>
        <v/>
      </c>
      <c r="X465" s="4" t="str">
        <f t="shared" si="102"/>
        <v/>
      </c>
      <c r="Y465" s="4" t="str">
        <f t="shared" si="102"/>
        <v/>
      </c>
      <c r="Z465" s="4" t="str">
        <f t="shared" si="102"/>
        <v/>
      </c>
      <c r="AA465" s="4" t="str">
        <f t="shared" si="102"/>
        <v/>
      </c>
      <c r="AB465" s="4" t="str">
        <f t="shared" si="102"/>
        <v/>
      </c>
      <c r="AC465" s="5" t="str">
        <f t="shared" si="102"/>
        <v/>
      </c>
      <c r="AD465" s="3" t="str">
        <f t="shared" si="98"/>
        <v/>
      </c>
      <c r="AE465" s="4" t="str">
        <f t="shared" si="98"/>
        <v/>
      </c>
      <c r="AF465" s="4" t="str">
        <f t="shared" si="98"/>
        <v/>
      </c>
      <c r="AG465" s="4" t="str">
        <f t="shared" si="98"/>
        <v/>
      </c>
      <c r="AH465" s="4" t="str">
        <f t="shared" si="98"/>
        <v/>
      </c>
      <c r="AI465" s="4" t="str">
        <f t="shared" si="98"/>
        <v/>
      </c>
      <c r="AJ465" s="4" t="str">
        <f t="shared" si="98"/>
        <v/>
      </c>
      <c r="AK465" s="4" t="str">
        <f t="shared" si="98"/>
        <v/>
      </c>
      <c r="AL465" s="4" t="str">
        <f t="shared" si="99"/>
        <v/>
      </c>
      <c r="AM465" s="4" t="str">
        <f t="shared" si="103"/>
        <v/>
      </c>
      <c r="AN465" s="4" t="str">
        <f t="shared" si="103"/>
        <v/>
      </c>
      <c r="AO465" s="4" t="str">
        <f t="shared" si="103"/>
        <v/>
      </c>
      <c r="AP465" s="4" t="str">
        <f t="shared" si="103"/>
        <v/>
      </c>
      <c r="AQ465" s="4" t="str">
        <f t="shared" si="103"/>
        <v/>
      </c>
      <c r="AR465" s="4" t="str">
        <f t="shared" si="103"/>
        <v/>
      </c>
      <c r="AS465" s="5" t="str">
        <f t="shared" si="103"/>
        <v/>
      </c>
      <c r="AT465" s="3" t="str">
        <f t="shared" si="100"/>
        <v/>
      </c>
      <c r="AU465" s="4" t="str">
        <f t="shared" si="100"/>
        <v/>
      </c>
      <c r="AV465" s="4" t="str">
        <f t="shared" si="100"/>
        <v/>
      </c>
      <c r="AW465" s="4" t="str">
        <f t="shared" si="100"/>
        <v/>
      </c>
      <c r="AX465" s="4" t="str">
        <f t="shared" si="100"/>
        <v/>
      </c>
      <c r="AY465" s="4" t="str">
        <f t="shared" si="100"/>
        <v/>
      </c>
      <c r="AZ465" s="4" t="str">
        <f t="shared" si="100"/>
        <v/>
      </c>
      <c r="BA465" s="4" t="str">
        <f t="shared" si="100"/>
        <v/>
      </c>
      <c r="BB465" s="4" t="str">
        <f t="shared" si="101"/>
        <v/>
      </c>
      <c r="BC465" s="4">
        <f t="shared" si="104"/>
        <v>1</v>
      </c>
      <c r="BD465" s="4" t="str">
        <f t="shared" si="104"/>
        <v/>
      </c>
      <c r="BE465" s="4" t="str">
        <f t="shared" si="104"/>
        <v/>
      </c>
      <c r="BF465" s="4" t="str">
        <f t="shared" si="104"/>
        <v/>
      </c>
      <c r="BG465" s="4" t="str">
        <f t="shared" si="104"/>
        <v/>
      </c>
      <c r="BH465" s="4" t="str">
        <f t="shared" si="104"/>
        <v/>
      </c>
      <c r="BI465" s="5" t="str">
        <f t="shared" si="104"/>
        <v/>
      </c>
    </row>
    <row r="466" spans="1:61" x14ac:dyDescent="0.25">
      <c r="A466">
        <v>591751</v>
      </c>
      <c r="B466" t="s">
        <v>14</v>
      </c>
      <c r="C466" t="s">
        <v>16</v>
      </c>
      <c r="D466">
        <v>63653</v>
      </c>
      <c r="E466">
        <v>1332</v>
      </c>
      <c r="F466">
        <v>2</v>
      </c>
      <c r="G466">
        <v>20133</v>
      </c>
      <c r="H466" t="s">
        <v>21</v>
      </c>
      <c r="I466">
        <v>44.3</v>
      </c>
      <c r="J466">
        <v>29</v>
      </c>
      <c r="K466">
        <v>943.1</v>
      </c>
      <c r="L466">
        <v>943.1</v>
      </c>
      <c r="M466">
        <v>0</v>
      </c>
      <c r="N466" s="3" t="str">
        <f t="shared" si="96"/>
        <v/>
      </c>
      <c r="O466" s="4" t="str">
        <f t="shared" si="96"/>
        <v/>
      </c>
      <c r="P466" s="4" t="str">
        <f t="shared" ref="N466:U498" si="105">IF(AND($B466=P$3, $G466=P$2, $H466=P$1), 1, "")</f>
        <v/>
      </c>
      <c r="Q466" s="4" t="str">
        <f t="shared" si="105"/>
        <v/>
      </c>
      <c r="R466" s="4" t="str">
        <f t="shared" si="105"/>
        <v/>
      </c>
      <c r="S466" s="4" t="str">
        <f t="shared" si="105"/>
        <v/>
      </c>
      <c r="T466" s="4" t="str">
        <f t="shared" si="105"/>
        <v/>
      </c>
      <c r="U466" s="4" t="str">
        <f t="shared" si="105"/>
        <v/>
      </c>
      <c r="V466" s="4" t="str">
        <f t="shared" si="97"/>
        <v/>
      </c>
      <c r="W466" s="4" t="str">
        <f t="shared" si="102"/>
        <v/>
      </c>
      <c r="X466" s="4" t="str">
        <f t="shared" si="102"/>
        <v/>
      </c>
      <c r="Y466" s="4" t="str">
        <f t="shared" si="102"/>
        <v/>
      </c>
      <c r="Z466" s="4" t="str">
        <f t="shared" si="102"/>
        <v/>
      </c>
      <c r="AA466" s="4" t="str">
        <f t="shared" si="102"/>
        <v/>
      </c>
      <c r="AB466" s="4" t="str">
        <f t="shared" si="102"/>
        <v/>
      </c>
      <c r="AC466" s="5" t="str">
        <f t="shared" si="102"/>
        <v/>
      </c>
      <c r="AD466" s="3" t="str">
        <f t="shared" si="98"/>
        <v/>
      </c>
      <c r="AE466" s="4" t="str">
        <f t="shared" si="98"/>
        <v/>
      </c>
      <c r="AF466" s="4" t="str">
        <f t="shared" ref="AD466:AK498" si="106">IF(AND($B466=AF$3, $G466=AF$2, $H466=AF$1), 1, "")</f>
        <v/>
      </c>
      <c r="AG466" s="4" t="str">
        <f t="shared" si="106"/>
        <v/>
      </c>
      <c r="AH466" s="4" t="str">
        <f t="shared" si="106"/>
        <v/>
      </c>
      <c r="AI466" s="4" t="str">
        <f t="shared" si="106"/>
        <v/>
      </c>
      <c r="AJ466" s="4" t="str">
        <f t="shared" si="106"/>
        <v/>
      </c>
      <c r="AK466" s="4" t="str">
        <f t="shared" si="106"/>
        <v/>
      </c>
      <c r="AL466" s="4" t="str">
        <f t="shared" si="99"/>
        <v/>
      </c>
      <c r="AM466" s="4" t="str">
        <f t="shared" si="103"/>
        <v/>
      </c>
      <c r="AN466" s="4" t="str">
        <f t="shared" si="103"/>
        <v/>
      </c>
      <c r="AO466" s="4" t="str">
        <f t="shared" si="103"/>
        <v/>
      </c>
      <c r="AP466" s="4" t="str">
        <f t="shared" si="103"/>
        <v/>
      </c>
      <c r="AQ466" s="4" t="str">
        <f t="shared" si="103"/>
        <v/>
      </c>
      <c r="AR466" s="4" t="str">
        <f t="shared" si="103"/>
        <v/>
      </c>
      <c r="AS466" s="5" t="str">
        <f t="shared" si="103"/>
        <v/>
      </c>
      <c r="AT466" s="3" t="str">
        <f t="shared" si="100"/>
        <v/>
      </c>
      <c r="AU466" s="4" t="str">
        <f t="shared" si="100"/>
        <v/>
      </c>
      <c r="AV466" s="4" t="str">
        <f t="shared" ref="AT466:BA498" si="107">IF(AND($B466=AV$3, $G466=AV$2, $H466=AV$1), 1, "")</f>
        <v/>
      </c>
      <c r="AW466" s="4" t="str">
        <f t="shared" si="107"/>
        <v/>
      </c>
      <c r="AX466" s="4" t="str">
        <f t="shared" si="107"/>
        <v/>
      </c>
      <c r="AY466" s="4" t="str">
        <f t="shared" si="107"/>
        <v/>
      </c>
      <c r="AZ466" s="4" t="str">
        <f t="shared" si="107"/>
        <v/>
      </c>
      <c r="BA466" s="4" t="str">
        <f t="shared" si="107"/>
        <v/>
      </c>
      <c r="BB466" s="4" t="str">
        <f t="shared" si="101"/>
        <v/>
      </c>
      <c r="BC466" s="4" t="str">
        <f t="shared" si="104"/>
        <v/>
      </c>
      <c r="BD466" s="4">
        <f t="shared" si="104"/>
        <v>1</v>
      </c>
      <c r="BE466" s="4" t="str">
        <f t="shared" si="104"/>
        <v/>
      </c>
      <c r="BF466" s="4" t="str">
        <f t="shared" si="104"/>
        <v/>
      </c>
      <c r="BG466" s="4" t="str">
        <f t="shared" si="104"/>
        <v/>
      </c>
      <c r="BH466" s="4" t="str">
        <f t="shared" si="104"/>
        <v/>
      </c>
      <c r="BI466" s="5" t="str">
        <f t="shared" si="104"/>
        <v/>
      </c>
    </row>
    <row r="467" spans="1:61" x14ac:dyDescent="0.25">
      <c r="A467">
        <v>591752</v>
      </c>
      <c r="B467" t="s">
        <v>14</v>
      </c>
      <c r="C467" t="s">
        <v>16</v>
      </c>
      <c r="D467">
        <v>63653</v>
      </c>
      <c r="E467">
        <v>1332</v>
      </c>
      <c r="F467">
        <v>2</v>
      </c>
      <c r="G467">
        <v>20134</v>
      </c>
      <c r="H467" t="s">
        <v>20</v>
      </c>
      <c r="I467">
        <v>35.6</v>
      </c>
      <c r="J467">
        <v>29</v>
      </c>
      <c r="K467">
        <v>1040.69</v>
      </c>
      <c r="L467">
        <v>1040.69</v>
      </c>
      <c r="M467">
        <v>0</v>
      </c>
      <c r="N467" s="3" t="str">
        <f t="shared" si="105"/>
        <v/>
      </c>
      <c r="O467" s="4" t="str">
        <f t="shared" si="105"/>
        <v/>
      </c>
      <c r="P467" s="4" t="str">
        <f t="shared" si="105"/>
        <v/>
      </c>
      <c r="Q467" s="4" t="str">
        <f t="shared" si="105"/>
        <v/>
      </c>
      <c r="R467" s="4" t="str">
        <f t="shared" si="105"/>
        <v/>
      </c>
      <c r="S467" s="4" t="str">
        <f t="shared" si="105"/>
        <v/>
      </c>
      <c r="T467" s="4" t="str">
        <f t="shared" si="105"/>
        <v/>
      </c>
      <c r="U467" s="4" t="str">
        <f t="shared" si="105"/>
        <v/>
      </c>
      <c r="V467" s="4" t="str">
        <f t="shared" si="97"/>
        <v/>
      </c>
      <c r="W467" s="4" t="str">
        <f t="shared" si="102"/>
        <v/>
      </c>
      <c r="X467" s="4" t="str">
        <f t="shared" si="102"/>
        <v/>
      </c>
      <c r="Y467" s="4" t="str">
        <f t="shared" si="102"/>
        <v/>
      </c>
      <c r="Z467" s="4" t="str">
        <f t="shared" si="102"/>
        <v/>
      </c>
      <c r="AA467" s="4" t="str">
        <f t="shared" si="102"/>
        <v/>
      </c>
      <c r="AB467" s="4" t="str">
        <f t="shared" si="102"/>
        <v/>
      </c>
      <c r="AC467" s="5" t="str">
        <f t="shared" si="102"/>
        <v/>
      </c>
      <c r="AD467" s="3" t="str">
        <f t="shared" si="106"/>
        <v/>
      </c>
      <c r="AE467" s="4" t="str">
        <f t="shared" si="106"/>
        <v/>
      </c>
      <c r="AF467" s="4" t="str">
        <f t="shared" si="106"/>
        <v/>
      </c>
      <c r="AG467" s="4" t="str">
        <f t="shared" si="106"/>
        <v/>
      </c>
      <c r="AH467" s="4" t="str">
        <f t="shared" si="106"/>
        <v/>
      </c>
      <c r="AI467" s="4" t="str">
        <f t="shared" si="106"/>
        <v/>
      </c>
      <c r="AJ467" s="4" t="str">
        <f t="shared" si="106"/>
        <v/>
      </c>
      <c r="AK467" s="4" t="str">
        <f t="shared" si="106"/>
        <v/>
      </c>
      <c r="AL467" s="4" t="str">
        <f t="shared" si="99"/>
        <v/>
      </c>
      <c r="AM467" s="4" t="str">
        <f t="shared" si="103"/>
        <v/>
      </c>
      <c r="AN467" s="4" t="str">
        <f t="shared" si="103"/>
        <v/>
      </c>
      <c r="AO467" s="4" t="str">
        <f t="shared" si="103"/>
        <v/>
      </c>
      <c r="AP467" s="4" t="str">
        <f t="shared" si="103"/>
        <v/>
      </c>
      <c r="AQ467" s="4" t="str">
        <f t="shared" si="103"/>
        <v/>
      </c>
      <c r="AR467" s="4" t="str">
        <f t="shared" si="103"/>
        <v/>
      </c>
      <c r="AS467" s="5" t="str">
        <f t="shared" si="103"/>
        <v/>
      </c>
      <c r="AT467" s="3" t="str">
        <f t="shared" si="107"/>
        <v/>
      </c>
      <c r="AU467" s="4" t="str">
        <f t="shared" si="107"/>
        <v/>
      </c>
      <c r="AV467" s="4" t="str">
        <f t="shared" si="107"/>
        <v/>
      </c>
      <c r="AW467" s="4" t="str">
        <f t="shared" si="107"/>
        <v/>
      </c>
      <c r="AX467" s="4" t="str">
        <f t="shared" si="107"/>
        <v/>
      </c>
      <c r="AY467" s="4" t="str">
        <f t="shared" si="107"/>
        <v/>
      </c>
      <c r="AZ467" s="4" t="str">
        <f t="shared" si="107"/>
        <v/>
      </c>
      <c r="BA467" s="4" t="str">
        <f t="shared" si="107"/>
        <v/>
      </c>
      <c r="BB467" s="4" t="str">
        <f t="shared" si="101"/>
        <v/>
      </c>
      <c r="BC467" s="4" t="str">
        <f t="shared" si="104"/>
        <v/>
      </c>
      <c r="BD467" s="4" t="str">
        <f t="shared" si="104"/>
        <v/>
      </c>
      <c r="BE467" s="4">
        <f t="shared" si="104"/>
        <v>1</v>
      </c>
      <c r="BF467" s="4" t="str">
        <f t="shared" si="104"/>
        <v/>
      </c>
      <c r="BG467" s="4" t="str">
        <f t="shared" si="104"/>
        <v/>
      </c>
      <c r="BH467" s="4" t="str">
        <f t="shared" si="104"/>
        <v/>
      </c>
      <c r="BI467" s="5" t="str">
        <f t="shared" si="104"/>
        <v/>
      </c>
    </row>
    <row r="468" spans="1:61" x14ac:dyDescent="0.25">
      <c r="A468">
        <v>591753</v>
      </c>
      <c r="B468" t="s">
        <v>14</v>
      </c>
      <c r="C468" t="s">
        <v>16</v>
      </c>
      <c r="D468">
        <v>63653</v>
      </c>
      <c r="E468">
        <v>1332</v>
      </c>
      <c r="F468">
        <v>3</v>
      </c>
      <c r="G468">
        <v>20131</v>
      </c>
      <c r="H468" t="s">
        <v>21</v>
      </c>
      <c r="I468">
        <v>4</v>
      </c>
      <c r="J468">
        <v>2</v>
      </c>
      <c r="K468">
        <v>49.49</v>
      </c>
      <c r="L468">
        <v>49.49</v>
      </c>
      <c r="M468">
        <v>0</v>
      </c>
      <c r="N468" s="3" t="str">
        <f t="shared" si="105"/>
        <v/>
      </c>
      <c r="O468" s="4" t="str">
        <f t="shared" si="105"/>
        <v/>
      </c>
      <c r="P468" s="4" t="str">
        <f t="shared" si="105"/>
        <v/>
      </c>
      <c r="Q468" s="4" t="str">
        <f t="shared" si="105"/>
        <v/>
      </c>
      <c r="R468" s="4" t="str">
        <f t="shared" si="105"/>
        <v/>
      </c>
      <c r="S468" s="4" t="str">
        <f t="shared" si="105"/>
        <v/>
      </c>
      <c r="T468" s="4" t="str">
        <f t="shared" si="105"/>
        <v/>
      </c>
      <c r="U468" s="4" t="str">
        <f t="shared" si="105"/>
        <v/>
      </c>
      <c r="V468" s="4" t="str">
        <f t="shared" si="97"/>
        <v/>
      </c>
      <c r="W468" s="4" t="str">
        <f t="shared" si="102"/>
        <v/>
      </c>
      <c r="X468" s="4" t="str">
        <f t="shared" si="102"/>
        <v/>
      </c>
      <c r="Y468" s="4" t="str">
        <f t="shared" si="102"/>
        <v/>
      </c>
      <c r="Z468" s="4" t="str">
        <f t="shared" si="102"/>
        <v/>
      </c>
      <c r="AA468" s="4" t="str">
        <f t="shared" si="102"/>
        <v/>
      </c>
      <c r="AB468" s="4" t="str">
        <f t="shared" si="102"/>
        <v/>
      </c>
      <c r="AC468" s="5" t="str">
        <f t="shared" si="102"/>
        <v/>
      </c>
      <c r="AD468" s="3" t="str">
        <f t="shared" si="106"/>
        <v/>
      </c>
      <c r="AE468" s="4" t="str">
        <f t="shared" si="106"/>
        <v/>
      </c>
      <c r="AF468" s="4" t="str">
        <f t="shared" si="106"/>
        <v/>
      </c>
      <c r="AG468" s="4" t="str">
        <f t="shared" si="106"/>
        <v/>
      </c>
      <c r="AH468" s="4" t="str">
        <f t="shared" si="106"/>
        <v/>
      </c>
      <c r="AI468" s="4" t="str">
        <f t="shared" si="106"/>
        <v/>
      </c>
      <c r="AJ468" s="4" t="str">
        <f t="shared" si="106"/>
        <v/>
      </c>
      <c r="AK468" s="4" t="str">
        <f t="shared" si="106"/>
        <v/>
      </c>
      <c r="AL468" s="4" t="str">
        <f t="shared" si="99"/>
        <v/>
      </c>
      <c r="AM468" s="4" t="str">
        <f t="shared" si="103"/>
        <v/>
      </c>
      <c r="AN468" s="4" t="str">
        <f t="shared" si="103"/>
        <v/>
      </c>
      <c r="AO468" s="4" t="str">
        <f t="shared" si="103"/>
        <v/>
      </c>
      <c r="AP468" s="4" t="str">
        <f t="shared" si="103"/>
        <v/>
      </c>
      <c r="AQ468" s="4" t="str">
        <f t="shared" si="103"/>
        <v/>
      </c>
      <c r="AR468" s="4" t="str">
        <f t="shared" si="103"/>
        <v/>
      </c>
      <c r="AS468" s="5" t="str">
        <f t="shared" si="103"/>
        <v/>
      </c>
      <c r="AT468" s="3" t="str">
        <f t="shared" si="107"/>
        <v/>
      </c>
      <c r="AU468" s="4" t="str">
        <f t="shared" si="107"/>
        <v/>
      </c>
      <c r="AV468" s="4" t="str">
        <f t="shared" si="107"/>
        <v/>
      </c>
      <c r="AW468" s="4" t="str">
        <f t="shared" si="107"/>
        <v/>
      </c>
      <c r="AX468" s="4" t="str">
        <f t="shared" si="107"/>
        <v/>
      </c>
      <c r="AY468" s="4" t="str">
        <f t="shared" si="107"/>
        <v/>
      </c>
      <c r="AZ468" s="4" t="str">
        <f t="shared" si="107"/>
        <v/>
      </c>
      <c r="BA468" s="4" t="str">
        <f t="shared" si="107"/>
        <v/>
      </c>
      <c r="BB468" s="4">
        <f t="shared" si="101"/>
        <v>1</v>
      </c>
      <c r="BC468" s="4" t="str">
        <f t="shared" si="104"/>
        <v/>
      </c>
      <c r="BD468" s="4" t="str">
        <f t="shared" si="104"/>
        <v/>
      </c>
      <c r="BE468" s="4" t="str">
        <f t="shared" si="104"/>
        <v/>
      </c>
      <c r="BF468" s="4" t="str">
        <f t="shared" si="104"/>
        <v/>
      </c>
      <c r="BG468" s="4" t="str">
        <f t="shared" si="104"/>
        <v/>
      </c>
      <c r="BH468" s="4" t="str">
        <f t="shared" si="104"/>
        <v/>
      </c>
      <c r="BI468" s="5" t="str">
        <f t="shared" si="104"/>
        <v/>
      </c>
    </row>
    <row r="469" spans="1:61" x14ac:dyDescent="0.25">
      <c r="A469">
        <v>591754</v>
      </c>
      <c r="B469" t="s">
        <v>14</v>
      </c>
      <c r="C469" t="s">
        <v>16</v>
      </c>
      <c r="D469">
        <v>63653</v>
      </c>
      <c r="E469">
        <v>1332</v>
      </c>
      <c r="F469">
        <v>3</v>
      </c>
      <c r="G469">
        <v>20132</v>
      </c>
      <c r="H469" t="s">
        <v>21</v>
      </c>
      <c r="I469">
        <v>7</v>
      </c>
      <c r="J469">
        <v>4</v>
      </c>
      <c r="K469">
        <v>105.72</v>
      </c>
      <c r="L469">
        <v>105.72</v>
      </c>
      <c r="M469">
        <v>0</v>
      </c>
      <c r="N469" s="3" t="str">
        <f t="shared" si="105"/>
        <v/>
      </c>
      <c r="O469" s="4" t="str">
        <f t="shared" si="105"/>
        <v/>
      </c>
      <c r="P469" s="4" t="str">
        <f t="shared" si="105"/>
        <v/>
      </c>
      <c r="Q469" s="4" t="str">
        <f t="shared" si="105"/>
        <v/>
      </c>
      <c r="R469" s="4" t="str">
        <f t="shared" si="105"/>
        <v/>
      </c>
      <c r="S469" s="4" t="str">
        <f t="shared" si="105"/>
        <v/>
      </c>
      <c r="T469" s="4" t="str">
        <f t="shared" si="105"/>
        <v/>
      </c>
      <c r="U469" s="4" t="str">
        <f t="shared" si="105"/>
        <v/>
      </c>
      <c r="V469" s="4" t="str">
        <f t="shared" si="97"/>
        <v/>
      </c>
      <c r="W469" s="4" t="str">
        <f t="shared" si="102"/>
        <v/>
      </c>
      <c r="X469" s="4" t="str">
        <f t="shared" si="102"/>
        <v/>
      </c>
      <c r="Y469" s="4" t="str">
        <f t="shared" si="102"/>
        <v/>
      </c>
      <c r="Z469" s="4" t="str">
        <f t="shared" si="102"/>
        <v/>
      </c>
      <c r="AA469" s="4" t="str">
        <f t="shared" si="102"/>
        <v/>
      </c>
      <c r="AB469" s="4" t="str">
        <f t="shared" si="102"/>
        <v/>
      </c>
      <c r="AC469" s="5" t="str">
        <f t="shared" si="102"/>
        <v/>
      </c>
      <c r="AD469" s="3" t="str">
        <f t="shared" si="106"/>
        <v/>
      </c>
      <c r="AE469" s="4" t="str">
        <f t="shared" si="106"/>
        <v/>
      </c>
      <c r="AF469" s="4" t="str">
        <f t="shared" si="106"/>
        <v/>
      </c>
      <c r="AG469" s="4" t="str">
        <f t="shared" si="106"/>
        <v/>
      </c>
      <c r="AH469" s="4" t="str">
        <f t="shared" si="106"/>
        <v/>
      </c>
      <c r="AI469" s="4" t="str">
        <f t="shared" si="106"/>
        <v/>
      </c>
      <c r="AJ469" s="4" t="str">
        <f t="shared" si="106"/>
        <v/>
      </c>
      <c r="AK469" s="4" t="str">
        <f t="shared" si="106"/>
        <v/>
      </c>
      <c r="AL469" s="4" t="str">
        <f t="shared" si="99"/>
        <v/>
      </c>
      <c r="AM469" s="4" t="str">
        <f t="shared" si="103"/>
        <v/>
      </c>
      <c r="AN469" s="4" t="str">
        <f t="shared" si="103"/>
        <v/>
      </c>
      <c r="AO469" s="4" t="str">
        <f t="shared" si="103"/>
        <v/>
      </c>
      <c r="AP469" s="4" t="str">
        <f t="shared" si="103"/>
        <v/>
      </c>
      <c r="AQ469" s="4" t="str">
        <f t="shared" si="103"/>
        <v/>
      </c>
      <c r="AR469" s="4" t="str">
        <f t="shared" si="103"/>
        <v/>
      </c>
      <c r="AS469" s="5" t="str">
        <f t="shared" si="103"/>
        <v/>
      </c>
      <c r="AT469" s="3" t="str">
        <f t="shared" si="107"/>
        <v/>
      </c>
      <c r="AU469" s="4" t="str">
        <f t="shared" si="107"/>
        <v/>
      </c>
      <c r="AV469" s="4" t="str">
        <f t="shared" si="107"/>
        <v/>
      </c>
      <c r="AW469" s="4" t="str">
        <f t="shared" si="107"/>
        <v/>
      </c>
      <c r="AX469" s="4" t="str">
        <f t="shared" si="107"/>
        <v/>
      </c>
      <c r="AY469" s="4" t="str">
        <f t="shared" si="107"/>
        <v/>
      </c>
      <c r="AZ469" s="4" t="str">
        <f t="shared" si="107"/>
        <v/>
      </c>
      <c r="BA469" s="4" t="str">
        <f t="shared" si="107"/>
        <v/>
      </c>
      <c r="BB469" s="4" t="str">
        <f t="shared" si="101"/>
        <v/>
      </c>
      <c r="BC469" s="4">
        <f t="shared" si="104"/>
        <v>1</v>
      </c>
      <c r="BD469" s="4" t="str">
        <f t="shared" si="104"/>
        <v/>
      </c>
      <c r="BE469" s="4" t="str">
        <f t="shared" si="104"/>
        <v/>
      </c>
      <c r="BF469" s="4" t="str">
        <f t="shared" si="104"/>
        <v/>
      </c>
      <c r="BG469" s="4" t="str">
        <f t="shared" si="104"/>
        <v/>
      </c>
      <c r="BH469" s="4" t="str">
        <f t="shared" si="104"/>
        <v/>
      </c>
      <c r="BI469" s="5" t="str">
        <f t="shared" si="104"/>
        <v/>
      </c>
    </row>
    <row r="470" spans="1:61" x14ac:dyDescent="0.25">
      <c r="A470">
        <v>591755</v>
      </c>
      <c r="B470" t="s">
        <v>14</v>
      </c>
      <c r="C470" t="s">
        <v>16</v>
      </c>
      <c r="D470">
        <v>63653</v>
      </c>
      <c r="E470">
        <v>1332</v>
      </c>
      <c r="F470">
        <v>3</v>
      </c>
      <c r="G470">
        <v>20133</v>
      </c>
      <c r="H470" t="s">
        <v>21</v>
      </c>
      <c r="I470">
        <v>304</v>
      </c>
      <c r="J470">
        <v>4</v>
      </c>
      <c r="K470">
        <v>102.4</v>
      </c>
      <c r="L470">
        <v>102.4</v>
      </c>
      <c r="M470">
        <v>0</v>
      </c>
      <c r="N470" s="3" t="str">
        <f t="shared" si="105"/>
        <v/>
      </c>
      <c r="O470" s="4" t="str">
        <f t="shared" si="105"/>
        <v/>
      </c>
      <c r="P470" s="4" t="str">
        <f t="shared" si="105"/>
        <v/>
      </c>
      <c r="Q470" s="4" t="str">
        <f t="shared" si="105"/>
        <v/>
      </c>
      <c r="R470" s="4" t="str">
        <f t="shared" si="105"/>
        <v/>
      </c>
      <c r="S470" s="4" t="str">
        <f t="shared" si="105"/>
        <v/>
      </c>
      <c r="T470" s="4" t="str">
        <f t="shared" si="105"/>
        <v/>
      </c>
      <c r="U470" s="4" t="str">
        <f t="shared" si="105"/>
        <v/>
      </c>
      <c r="V470" s="4" t="str">
        <f t="shared" si="97"/>
        <v/>
      </c>
      <c r="W470" s="4" t="str">
        <f t="shared" si="102"/>
        <v/>
      </c>
      <c r="X470" s="4" t="str">
        <f t="shared" si="102"/>
        <v/>
      </c>
      <c r="Y470" s="4" t="str">
        <f t="shared" si="102"/>
        <v/>
      </c>
      <c r="Z470" s="4" t="str">
        <f t="shared" si="102"/>
        <v/>
      </c>
      <c r="AA470" s="4" t="str">
        <f t="shared" si="102"/>
        <v/>
      </c>
      <c r="AB470" s="4" t="str">
        <f t="shared" si="102"/>
        <v/>
      </c>
      <c r="AC470" s="5" t="str">
        <f t="shared" si="102"/>
        <v/>
      </c>
      <c r="AD470" s="3" t="str">
        <f t="shared" si="106"/>
        <v/>
      </c>
      <c r="AE470" s="4" t="str">
        <f t="shared" si="106"/>
        <v/>
      </c>
      <c r="AF470" s="4" t="str">
        <f t="shared" si="106"/>
        <v/>
      </c>
      <c r="AG470" s="4" t="str">
        <f t="shared" si="106"/>
        <v/>
      </c>
      <c r="AH470" s="4" t="str">
        <f t="shared" si="106"/>
        <v/>
      </c>
      <c r="AI470" s="4" t="str">
        <f t="shared" si="106"/>
        <v/>
      </c>
      <c r="AJ470" s="4" t="str">
        <f t="shared" si="106"/>
        <v/>
      </c>
      <c r="AK470" s="4" t="str">
        <f t="shared" si="106"/>
        <v/>
      </c>
      <c r="AL470" s="4" t="str">
        <f t="shared" si="99"/>
        <v/>
      </c>
      <c r="AM470" s="4" t="str">
        <f t="shared" si="103"/>
        <v/>
      </c>
      <c r="AN470" s="4" t="str">
        <f t="shared" si="103"/>
        <v/>
      </c>
      <c r="AO470" s="4" t="str">
        <f t="shared" si="103"/>
        <v/>
      </c>
      <c r="AP470" s="4" t="str">
        <f t="shared" si="103"/>
        <v/>
      </c>
      <c r="AQ470" s="4" t="str">
        <f t="shared" si="103"/>
        <v/>
      </c>
      <c r="AR470" s="4" t="str">
        <f t="shared" si="103"/>
        <v/>
      </c>
      <c r="AS470" s="5" t="str">
        <f t="shared" si="103"/>
        <v/>
      </c>
      <c r="AT470" s="3" t="str">
        <f t="shared" si="107"/>
        <v/>
      </c>
      <c r="AU470" s="4" t="str">
        <f t="shared" si="107"/>
        <v/>
      </c>
      <c r="AV470" s="4" t="str">
        <f t="shared" si="107"/>
        <v/>
      </c>
      <c r="AW470" s="4" t="str">
        <f t="shared" si="107"/>
        <v/>
      </c>
      <c r="AX470" s="4" t="str">
        <f t="shared" si="107"/>
        <v/>
      </c>
      <c r="AY470" s="4" t="str">
        <f t="shared" si="107"/>
        <v/>
      </c>
      <c r="AZ470" s="4" t="str">
        <f t="shared" si="107"/>
        <v/>
      </c>
      <c r="BA470" s="4" t="str">
        <f t="shared" si="107"/>
        <v/>
      </c>
      <c r="BB470" s="4" t="str">
        <f t="shared" si="101"/>
        <v/>
      </c>
      <c r="BC470" s="4" t="str">
        <f t="shared" si="104"/>
        <v/>
      </c>
      <c r="BD470" s="4">
        <f t="shared" si="104"/>
        <v>1</v>
      </c>
      <c r="BE470" s="4" t="str">
        <f t="shared" si="104"/>
        <v/>
      </c>
      <c r="BF470" s="4" t="str">
        <f t="shared" si="104"/>
        <v/>
      </c>
      <c r="BG470" s="4" t="str">
        <f t="shared" si="104"/>
        <v/>
      </c>
      <c r="BH470" s="4" t="str">
        <f t="shared" si="104"/>
        <v/>
      </c>
      <c r="BI470" s="5" t="str">
        <f t="shared" si="104"/>
        <v/>
      </c>
    </row>
    <row r="471" spans="1:61" x14ac:dyDescent="0.25">
      <c r="A471">
        <v>591756</v>
      </c>
      <c r="B471" t="s">
        <v>14</v>
      </c>
      <c r="C471" t="s">
        <v>16</v>
      </c>
      <c r="D471">
        <v>63653</v>
      </c>
      <c r="E471">
        <v>1332</v>
      </c>
      <c r="F471">
        <v>3</v>
      </c>
      <c r="G471">
        <v>20134</v>
      </c>
      <c r="H471" t="s">
        <v>21</v>
      </c>
      <c r="I471">
        <v>303</v>
      </c>
      <c r="J471">
        <v>3</v>
      </c>
      <c r="K471">
        <v>66.150000000000006</v>
      </c>
      <c r="L471">
        <v>66.150000000000006</v>
      </c>
      <c r="M471">
        <v>0</v>
      </c>
      <c r="N471" s="3" t="str">
        <f t="shared" si="105"/>
        <v/>
      </c>
      <c r="O471" s="4" t="str">
        <f t="shared" si="105"/>
        <v/>
      </c>
      <c r="P471" s="4" t="str">
        <f t="shared" si="105"/>
        <v/>
      </c>
      <c r="Q471" s="4" t="str">
        <f t="shared" si="105"/>
        <v/>
      </c>
      <c r="R471" s="4" t="str">
        <f t="shared" si="105"/>
        <v/>
      </c>
      <c r="S471" s="4" t="str">
        <f t="shared" si="105"/>
        <v/>
      </c>
      <c r="T471" s="4" t="str">
        <f t="shared" si="105"/>
        <v/>
      </c>
      <c r="U471" s="4" t="str">
        <f t="shared" si="105"/>
        <v/>
      </c>
      <c r="V471" s="4" t="str">
        <f t="shared" si="97"/>
        <v/>
      </c>
      <c r="W471" s="4" t="str">
        <f t="shared" si="102"/>
        <v/>
      </c>
      <c r="X471" s="4" t="str">
        <f t="shared" si="102"/>
        <v/>
      </c>
      <c r="Y471" s="4" t="str">
        <f t="shared" si="102"/>
        <v/>
      </c>
      <c r="Z471" s="4" t="str">
        <f t="shared" si="102"/>
        <v/>
      </c>
      <c r="AA471" s="4" t="str">
        <f t="shared" si="102"/>
        <v/>
      </c>
      <c r="AB471" s="4" t="str">
        <f t="shared" si="102"/>
        <v/>
      </c>
      <c r="AC471" s="5" t="str">
        <f t="shared" si="102"/>
        <v/>
      </c>
      <c r="AD471" s="3" t="str">
        <f t="shared" si="106"/>
        <v/>
      </c>
      <c r="AE471" s="4" t="str">
        <f t="shared" si="106"/>
        <v/>
      </c>
      <c r="AF471" s="4" t="str">
        <f t="shared" si="106"/>
        <v/>
      </c>
      <c r="AG471" s="4" t="str">
        <f t="shared" si="106"/>
        <v/>
      </c>
      <c r="AH471" s="4" t="str">
        <f t="shared" si="106"/>
        <v/>
      </c>
      <c r="AI471" s="4" t="str">
        <f t="shared" si="106"/>
        <v/>
      </c>
      <c r="AJ471" s="4" t="str">
        <f t="shared" si="106"/>
        <v/>
      </c>
      <c r="AK471" s="4" t="str">
        <f t="shared" si="106"/>
        <v/>
      </c>
      <c r="AL471" s="4" t="str">
        <f t="shared" si="99"/>
        <v/>
      </c>
      <c r="AM471" s="4" t="str">
        <f t="shared" si="103"/>
        <v/>
      </c>
      <c r="AN471" s="4" t="str">
        <f t="shared" si="103"/>
        <v/>
      </c>
      <c r="AO471" s="4" t="str">
        <f t="shared" si="103"/>
        <v/>
      </c>
      <c r="AP471" s="4" t="str">
        <f t="shared" si="103"/>
        <v/>
      </c>
      <c r="AQ471" s="4" t="str">
        <f t="shared" si="103"/>
        <v/>
      </c>
      <c r="AR471" s="4" t="str">
        <f t="shared" si="103"/>
        <v/>
      </c>
      <c r="AS471" s="5" t="str">
        <f t="shared" si="103"/>
        <v/>
      </c>
      <c r="AT471" s="3" t="str">
        <f t="shared" si="107"/>
        <v/>
      </c>
      <c r="AU471" s="4" t="str">
        <f t="shared" si="107"/>
        <v/>
      </c>
      <c r="AV471" s="4" t="str">
        <f t="shared" si="107"/>
        <v/>
      </c>
      <c r="AW471" s="4" t="str">
        <f t="shared" si="107"/>
        <v/>
      </c>
      <c r="AX471" s="4" t="str">
        <f t="shared" si="107"/>
        <v/>
      </c>
      <c r="AY471" s="4" t="str">
        <f t="shared" si="107"/>
        <v/>
      </c>
      <c r="AZ471" s="4" t="str">
        <f t="shared" si="107"/>
        <v/>
      </c>
      <c r="BA471" s="4" t="str">
        <f t="shared" si="107"/>
        <v/>
      </c>
      <c r="BB471" s="4" t="str">
        <f t="shared" si="101"/>
        <v/>
      </c>
      <c r="BC471" s="4" t="str">
        <f t="shared" si="104"/>
        <v/>
      </c>
      <c r="BD471" s="4" t="str">
        <f t="shared" si="104"/>
        <v/>
      </c>
      <c r="BE471" s="4">
        <f t="shared" si="104"/>
        <v>1</v>
      </c>
      <c r="BF471" s="4" t="str">
        <f t="shared" si="104"/>
        <v/>
      </c>
      <c r="BG471" s="4" t="str">
        <f t="shared" si="104"/>
        <v/>
      </c>
      <c r="BH471" s="4" t="str">
        <f t="shared" si="104"/>
        <v/>
      </c>
      <c r="BI471" s="5" t="str">
        <f t="shared" si="104"/>
        <v/>
      </c>
    </row>
    <row r="472" spans="1:61" x14ac:dyDescent="0.25">
      <c r="A472">
        <v>718474</v>
      </c>
      <c r="B472" t="s">
        <v>15</v>
      </c>
      <c r="C472" t="s">
        <v>16</v>
      </c>
      <c r="D472">
        <v>63653</v>
      </c>
      <c r="E472">
        <v>1332</v>
      </c>
      <c r="F472">
        <v>2</v>
      </c>
      <c r="G472">
        <v>20131</v>
      </c>
      <c r="H472" t="s">
        <v>20</v>
      </c>
      <c r="I472">
        <v>34</v>
      </c>
      <c r="J472">
        <v>21</v>
      </c>
      <c r="K472">
        <v>34074.480000000003</v>
      </c>
      <c r="L472">
        <v>34026.51</v>
      </c>
      <c r="M472">
        <v>47.97</v>
      </c>
      <c r="N472" s="3" t="str">
        <f t="shared" si="105"/>
        <v/>
      </c>
      <c r="O472" s="4" t="str">
        <f t="shared" si="105"/>
        <v/>
      </c>
      <c r="P472" s="4" t="str">
        <f t="shared" si="105"/>
        <v/>
      </c>
      <c r="Q472" s="4" t="str">
        <f t="shared" si="105"/>
        <v/>
      </c>
      <c r="R472" s="4" t="str">
        <f t="shared" si="105"/>
        <v/>
      </c>
      <c r="S472" s="4" t="str">
        <f t="shared" si="105"/>
        <v/>
      </c>
      <c r="T472" s="4" t="str">
        <f t="shared" si="105"/>
        <v/>
      </c>
      <c r="U472" s="4" t="str">
        <f t="shared" si="105"/>
        <v/>
      </c>
      <c r="V472" s="4" t="str">
        <f t="shared" si="97"/>
        <v/>
      </c>
      <c r="W472" s="4" t="str">
        <f t="shared" si="102"/>
        <v/>
      </c>
      <c r="X472" s="4" t="str">
        <f t="shared" si="102"/>
        <v/>
      </c>
      <c r="Y472" s="4" t="str">
        <f t="shared" si="102"/>
        <v/>
      </c>
      <c r="Z472" s="4" t="str">
        <f t="shared" si="102"/>
        <v/>
      </c>
      <c r="AA472" s="4" t="str">
        <f t="shared" si="102"/>
        <v/>
      </c>
      <c r="AB472" s="4" t="str">
        <f t="shared" si="102"/>
        <v/>
      </c>
      <c r="AC472" s="5" t="str">
        <f t="shared" si="102"/>
        <v/>
      </c>
      <c r="AD472" s="3" t="str">
        <f t="shared" si="106"/>
        <v/>
      </c>
      <c r="AE472" s="4" t="str">
        <f t="shared" si="106"/>
        <v/>
      </c>
      <c r="AF472" s="4" t="str">
        <f t="shared" si="106"/>
        <v/>
      </c>
      <c r="AG472" s="4" t="str">
        <f t="shared" si="106"/>
        <v/>
      </c>
      <c r="AH472" s="4" t="str">
        <f t="shared" si="106"/>
        <v/>
      </c>
      <c r="AI472" s="4" t="str">
        <f t="shared" si="106"/>
        <v/>
      </c>
      <c r="AJ472" s="4" t="str">
        <f t="shared" si="106"/>
        <v/>
      </c>
      <c r="AK472" s="4" t="str">
        <f t="shared" si="106"/>
        <v/>
      </c>
      <c r="AL472" s="4" t="str">
        <f t="shared" si="99"/>
        <v/>
      </c>
      <c r="AM472" s="4" t="str">
        <f t="shared" si="103"/>
        <v/>
      </c>
      <c r="AN472" s="4" t="str">
        <f t="shared" si="103"/>
        <v/>
      </c>
      <c r="AO472" s="4" t="str">
        <f t="shared" si="103"/>
        <v/>
      </c>
      <c r="AP472" s="4" t="str">
        <f t="shared" si="103"/>
        <v/>
      </c>
      <c r="AQ472" s="4" t="str">
        <f t="shared" si="103"/>
        <v/>
      </c>
      <c r="AR472" s="4" t="str">
        <f t="shared" si="103"/>
        <v/>
      </c>
      <c r="AS472" s="5" t="str">
        <f t="shared" si="103"/>
        <v/>
      </c>
      <c r="AT472" s="3" t="str">
        <f t="shared" si="107"/>
        <v/>
      </c>
      <c r="AU472" s="4" t="str">
        <f t="shared" si="107"/>
        <v/>
      </c>
      <c r="AV472" s="4" t="str">
        <f t="shared" si="107"/>
        <v/>
      </c>
      <c r="AW472" s="4" t="str">
        <f t="shared" si="107"/>
        <v/>
      </c>
      <c r="AX472" s="4" t="str">
        <f t="shared" si="107"/>
        <v/>
      </c>
      <c r="AY472" s="4" t="str">
        <f t="shared" si="107"/>
        <v/>
      </c>
      <c r="AZ472" s="4" t="str">
        <f t="shared" si="107"/>
        <v/>
      </c>
      <c r="BA472" s="4" t="str">
        <f t="shared" si="107"/>
        <v/>
      </c>
      <c r="BB472" s="4" t="str">
        <f t="shared" si="101"/>
        <v/>
      </c>
      <c r="BC472" s="4" t="str">
        <f t="shared" si="104"/>
        <v/>
      </c>
      <c r="BD472" s="4" t="str">
        <f t="shared" si="104"/>
        <v/>
      </c>
      <c r="BE472" s="4" t="str">
        <f t="shared" si="104"/>
        <v/>
      </c>
      <c r="BF472" s="4">
        <f t="shared" si="104"/>
        <v>1</v>
      </c>
      <c r="BG472" s="4" t="str">
        <f t="shared" si="104"/>
        <v/>
      </c>
      <c r="BH472" s="4" t="str">
        <f t="shared" si="104"/>
        <v/>
      </c>
      <c r="BI472" s="5" t="str">
        <f t="shared" si="104"/>
        <v/>
      </c>
    </row>
    <row r="473" spans="1:61" x14ac:dyDescent="0.25">
      <c r="A473">
        <v>718475</v>
      </c>
      <c r="B473" t="s">
        <v>15</v>
      </c>
      <c r="C473" t="s">
        <v>16</v>
      </c>
      <c r="D473">
        <v>63653</v>
      </c>
      <c r="E473">
        <v>1332</v>
      </c>
      <c r="F473">
        <v>2</v>
      </c>
      <c r="G473">
        <v>20132</v>
      </c>
      <c r="H473" t="s">
        <v>20</v>
      </c>
      <c r="I473">
        <v>24</v>
      </c>
      <c r="J473">
        <v>15</v>
      </c>
      <c r="K473">
        <v>9567.07</v>
      </c>
      <c r="L473">
        <v>9487.02</v>
      </c>
      <c r="M473">
        <v>80.05</v>
      </c>
      <c r="N473" s="3" t="str">
        <f t="shared" si="105"/>
        <v/>
      </c>
      <c r="O473" s="4" t="str">
        <f t="shared" si="105"/>
        <v/>
      </c>
      <c r="P473" s="4" t="str">
        <f t="shared" si="105"/>
        <v/>
      </c>
      <c r="Q473" s="4" t="str">
        <f t="shared" si="105"/>
        <v/>
      </c>
      <c r="R473" s="4" t="str">
        <f t="shared" si="105"/>
        <v/>
      </c>
      <c r="S473" s="4" t="str">
        <f t="shared" si="105"/>
        <v/>
      </c>
      <c r="T473" s="4" t="str">
        <f t="shared" si="105"/>
        <v/>
      </c>
      <c r="U473" s="4" t="str">
        <f t="shared" si="105"/>
        <v/>
      </c>
      <c r="V473" s="4" t="str">
        <f t="shared" si="97"/>
        <v/>
      </c>
      <c r="W473" s="4" t="str">
        <f t="shared" si="102"/>
        <v/>
      </c>
      <c r="X473" s="4" t="str">
        <f t="shared" si="102"/>
        <v/>
      </c>
      <c r="Y473" s="4" t="str">
        <f t="shared" si="102"/>
        <v/>
      </c>
      <c r="Z473" s="4" t="str">
        <f t="shared" si="102"/>
        <v/>
      </c>
      <c r="AA473" s="4" t="str">
        <f t="shared" si="102"/>
        <v/>
      </c>
      <c r="AB473" s="4" t="str">
        <f t="shared" si="102"/>
        <v/>
      </c>
      <c r="AC473" s="5" t="str">
        <f t="shared" si="102"/>
        <v/>
      </c>
      <c r="AD473" s="3" t="str">
        <f t="shared" si="106"/>
        <v/>
      </c>
      <c r="AE473" s="4" t="str">
        <f t="shared" si="106"/>
        <v/>
      </c>
      <c r="AF473" s="4" t="str">
        <f t="shared" si="106"/>
        <v/>
      </c>
      <c r="AG473" s="4" t="str">
        <f t="shared" si="106"/>
        <v/>
      </c>
      <c r="AH473" s="4" t="str">
        <f t="shared" si="106"/>
        <v/>
      </c>
      <c r="AI473" s="4" t="str">
        <f t="shared" si="106"/>
        <v/>
      </c>
      <c r="AJ473" s="4" t="str">
        <f t="shared" si="106"/>
        <v/>
      </c>
      <c r="AK473" s="4" t="str">
        <f t="shared" si="106"/>
        <v/>
      </c>
      <c r="AL473" s="4" t="str">
        <f t="shared" si="99"/>
        <v/>
      </c>
      <c r="AM473" s="4" t="str">
        <f t="shared" si="103"/>
        <v/>
      </c>
      <c r="AN473" s="4" t="str">
        <f t="shared" si="103"/>
        <v/>
      </c>
      <c r="AO473" s="4" t="str">
        <f t="shared" si="103"/>
        <v/>
      </c>
      <c r="AP473" s="4" t="str">
        <f t="shared" si="103"/>
        <v/>
      </c>
      <c r="AQ473" s="4" t="str">
        <f t="shared" si="103"/>
        <v/>
      </c>
      <c r="AR473" s="4" t="str">
        <f t="shared" si="103"/>
        <v/>
      </c>
      <c r="AS473" s="5" t="str">
        <f t="shared" si="103"/>
        <v/>
      </c>
      <c r="AT473" s="3" t="str">
        <f t="shared" si="107"/>
        <v/>
      </c>
      <c r="AU473" s="4" t="str">
        <f t="shared" si="107"/>
        <v/>
      </c>
      <c r="AV473" s="4" t="str">
        <f t="shared" si="107"/>
        <v/>
      </c>
      <c r="AW473" s="4" t="str">
        <f t="shared" si="107"/>
        <v/>
      </c>
      <c r="AX473" s="4" t="str">
        <f t="shared" si="107"/>
        <v/>
      </c>
      <c r="AY473" s="4" t="str">
        <f t="shared" si="107"/>
        <v/>
      </c>
      <c r="AZ473" s="4" t="str">
        <f t="shared" si="107"/>
        <v/>
      </c>
      <c r="BA473" s="4" t="str">
        <f t="shared" si="107"/>
        <v/>
      </c>
      <c r="BB473" s="4" t="str">
        <f t="shared" si="101"/>
        <v/>
      </c>
      <c r="BC473" s="4" t="str">
        <f t="shared" si="104"/>
        <v/>
      </c>
      <c r="BD473" s="4" t="str">
        <f t="shared" si="104"/>
        <v/>
      </c>
      <c r="BE473" s="4" t="str">
        <f t="shared" si="104"/>
        <v/>
      </c>
      <c r="BF473" s="4" t="str">
        <f t="shared" si="104"/>
        <v/>
      </c>
      <c r="BG473" s="4">
        <f t="shared" si="104"/>
        <v>1</v>
      </c>
      <c r="BH473" s="4" t="str">
        <f t="shared" si="104"/>
        <v/>
      </c>
      <c r="BI473" s="5" t="str">
        <f t="shared" si="104"/>
        <v/>
      </c>
    </row>
    <row r="474" spans="1:61" x14ac:dyDescent="0.25">
      <c r="A474">
        <v>718476</v>
      </c>
      <c r="B474" t="s">
        <v>15</v>
      </c>
      <c r="C474" t="s">
        <v>16</v>
      </c>
      <c r="D474">
        <v>63653</v>
      </c>
      <c r="E474">
        <v>1332</v>
      </c>
      <c r="F474">
        <v>2</v>
      </c>
      <c r="G474">
        <v>20133</v>
      </c>
      <c r="H474" t="s">
        <v>20</v>
      </c>
      <c r="I474">
        <v>20</v>
      </c>
      <c r="J474">
        <v>13</v>
      </c>
      <c r="K474">
        <v>2510.1999999999998</v>
      </c>
      <c r="L474">
        <v>2369.2399999999998</v>
      </c>
      <c r="M474">
        <v>140.96</v>
      </c>
      <c r="N474" s="3" t="str">
        <f t="shared" si="105"/>
        <v/>
      </c>
      <c r="O474" s="4" t="str">
        <f t="shared" si="105"/>
        <v/>
      </c>
      <c r="P474" s="4" t="str">
        <f t="shared" si="105"/>
        <v/>
      </c>
      <c r="Q474" s="4" t="str">
        <f t="shared" si="105"/>
        <v/>
      </c>
      <c r="R474" s="4" t="str">
        <f t="shared" si="105"/>
        <v/>
      </c>
      <c r="S474" s="4" t="str">
        <f t="shared" si="105"/>
        <v/>
      </c>
      <c r="T474" s="4" t="str">
        <f t="shared" si="105"/>
        <v/>
      </c>
      <c r="U474" s="4" t="str">
        <f t="shared" si="105"/>
        <v/>
      </c>
      <c r="V474" s="4" t="str">
        <f t="shared" si="97"/>
        <v/>
      </c>
      <c r="W474" s="4" t="str">
        <f t="shared" si="102"/>
        <v/>
      </c>
      <c r="X474" s="4" t="str">
        <f t="shared" si="102"/>
        <v/>
      </c>
      <c r="Y474" s="4" t="str">
        <f t="shared" si="102"/>
        <v/>
      </c>
      <c r="Z474" s="4" t="str">
        <f t="shared" si="102"/>
        <v/>
      </c>
      <c r="AA474" s="4" t="str">
        <f t="shared" si="102"/>
        <v/>
      </c>
      <c r="AB474" s="4" t="str">
        <f t="shared" si="102"/>
        <v/>
      </c>
      <c r="AC474" s="5" t="str">
        <f t="shared" si="102"/>
        <v/>
      </c>
      <c r="AD474" s="3" t="str">
        <f t="shared" si="106"/>
        <v/>
      </c>
      <c r="AE474" s="4" t="str">
        <f t="shared" si="106"/>
        <v/>
      </c>
      <c r="AF474" s="4" t="str">
        <f t="shared" si="106"/>
        <v/>
      </c>
      <c r="AG474" s="4" t="str">
        <f t="shared" si="106"/>
        <v/>
      </c>
      <c r="AH474" s="4" t="str">
        <f t="shared" si="106"/>
        <v/>
      </c>
      <c r="AI474" s="4" t="str">
        <f t="shared" si="106"/>
        <v/>
      </c>
      <c r="AJ474" s="4" t="str">
        <f t="shared" si="106"/>
        <v/>
      </c>
      <c r="AK474" s="4" t="str">
        <f t="shared" si="106"/>
        <v/>
      </c>
      <c r="AL474" s="4" t="str">
        <f t="shared" si="99"/>
        <v/>
      </c>
      <c r="AM474" s="4" t="str">
        <f t="shared" si="103"/>
        <v/>
      </c>
      <c r="AN474" s="4" t="str">
        <f t="shared" si="103"/>
        <v/>
      </c>
      <c r="AO474" s="4" t="str">
        <f t="shared" si="103"/>
        <v/>
      </c>
      <c r="AP474" s="4" t="str">
        <f t="shared" si="103"/>
        <v/>
      </c>
      <c r="AQ474" s="4" t="str">
        <f t="shared" si="103"/>
        <v/>
      </c>
      <c r="AR474" s="4" t="str">
        <f t="shared" si="103"/>
        <v/>
      </c>
      <c r="AS474" s="5" t="str">
        <f t="shared" si="103"/>
        <v/>
      </c>
      <c r="AT474" s="3" t="str">
        <f t="shared" si="107"/>
        <v/>
      </c>
      <c r="AU474" s="4" t="str">
        <f t="shared" si="107"/>
        <v/>
      </c>
      <c r="AV474" s="4" t="str">
        <f t="shared" si="107"/>
        <v/>
      </c>
      <c r="AW474" s="4" t="str">
        <f t="shared" si="107"/>
        <v/>
      </c>
      <c r="AX474" s="4" t="str">
        <f t="shared" si="107"/>
        <v/>
      </c>
      <c r="AY474" s="4" t="str">
        <f t="shared" si="107"/>
        <v/>
      </c>
      <c r="AZ474" s="4" t="str">
        <f t="shared" si="107"/>
        <v/>
      </c>
      <c r="BA474" s="4" t="str">
        <f t="shared" si="107"/>
        <v/>
      </c>
      <c r="BB474" s="4" t="str">
        <f t="shared" si="101"/>
        <v/>
      </c>
      <c r="BC474" s="4" t="str">
        <f t="shared" si="104"/>
        <v/>
      </c>
      <c r="BD474" s="4" t="str">
        <f t="shared" si="104"/>
        <v/>
      </c>
      <c r="BE474" s="4" t="str">
        <f t="shared" si="104"/>
        <v/>
      </c>
      <c r="BF474" s="4" t="str">
        <f t="shared" si="104"/>
        <v/>
      </c>
      <c r="BG474" s="4" t="str">
        <f t="shared" si="104"/>
        <v/>
      </c>
      <c r="BH474" s="4">
        <f t="shared" si="104"/>
        <v>1</v>
      </c>
      <c r="BI474" s="5" t="str">
        <f t="shared" si="104"/>
        <v/>
      </c>
    </row>
    <row r="475" spans="1:61" x14ac:dyDescent="0.25">
      <c r="A475">
        <v>718477</v>
      </c>
      <c r="B475" t="s">
        <v>15</v>
      </c>
      <c r="C475" t="s">
        <v>16</v>
      </c>
      <c r="D475">
        <v>63653</v>
      </c>
      <c r="E475">
        <v>1332</v>
      </c>
      <c r="F475">
        <v>2</v>
      </c>
      <c r="G475">
        <v>20134</v>
      </c>
      <c r="H475" t="s">
        <v>20</v>
      </c>
      <c r="I475">
        <v>8</v>
      </c>
      <c r="J475">
        <v>7</v>
      </c>
      <c r="K475">
        <v>122.42</v>
      </c>
      <c r="L475">
        <v>122.42</v>
      </c>
      <c r="M475">
        <v>0</v>
      </c>
      <c r="N475" s="3" t="str">
        <f t="shared" si="105"/>
        <v/>
      </c>
      <c r="O475" s="4" t="str">
        <f t="shared" si="105"/>
        <v/>
      </c>
      <c r="P475" s="4" t="str">
        <f t="shared" si="105"/>
        <v/>
      </c>
      <c r="Q475" s="4" t="str">
        <f t="shared" si="105"/>
        <v/>
      </c>
      <c r="R475" s="4" t="str">
        <f t="shared" si="105"/>
        <v/>
      </c>
      <c r="S475" s="4" t="str">
        <f t="shared" si="105"/>
        <v/>
      </c>
      <c r="T475" s="4" t="str">
        <f t="shared" si="105"/>
        <v/>
      </c>
      <c r="U475" s="4" t="str">
        <f t="shared" si="105"/>
        <v/>
      </c>
      <c r="V475" s="4" t="str">
        <f t="shared" si="97"/>
        <v/>
      </c>
      <c r="W475" s="4" t="str">
        <f t="shared" si="102"/>
        <v/>
      </c>
      <c r="X475" s="4" t="str">
        <f t="shared" si="102"/>
        <v/>
      </c>
      <c r="Y475" s="4" t="str">
        <f t="shared" si="102"/>
        <v/>
      </c>
      <c r="Z475" s="4" t="str">
        <f t="shared" si="102"/>
        <v/>
      </c>
      <c r="AA475" s="4" t="str">
        <f t="shared" si="102"/>
        <v/>
      </c>
      <c r="AB475" s="4" t="str">
        <f t="shared" si="102"/>
        <v/>
      </c>
      <c r="AC475" s="5" t="str">
        <f t="shared" si="102"/>
        <v/>
      </c>
      <c r="AD475" s="3" t="str">
        <f t="shared" si="106"/>
        <v/>
      </c>
      <c r="AE475" s="4" t="str">
        <f t="shared" si="106"/>
        <v/>
      </c>
      <c r="AF475" s="4" t="str">
        <f t="shared" si="106"/>
        <v/>
      </c>
      <c r="AG475" s="4" t="str">
        <f t="shared" si="106"/>
        <v/>
      </c>
      <c r="AH475" s="4" t="str">
        <f t="shared" si="106"/>
        <v/>
      </c>
      <c r="AI475" s="4" t="str">
        <f t="shared" si="106"/>
        <v/>
      </c>
      <c r="AJ475" s="4" t="str">
        <f t="shared" si="106"/>
        <v/>
      </c>
      <c r="AK475" s="4" t="str">
        <f t="shared" si="106"/>
        <v/>
      </c>
      <c r="AL475" s="4" t="str">
        <f t="shared" si="99"/>
        <v/>
      </c>
      <c r="AM475" s="4" t="str">
        <f t="shared" si="103"/>
        <v/>
      </c>
      <c r="AN475" s="4" t="str">
        <f t="shared" si="103"/>
        <v/>
      </c>
      <c r="AO475" s="4" t="str">
        <f t="shared" si="103"/>
        <v/>
      </c>
      <c r="AP475" s="4" t="str">
        <f t="shared" si="103"/>
        <v/>
      </c>
      <c r="AQ475" s="4" t="str">
        <f t="shared" si="103"/>
        <v/>
      </c>
      <c r="AR475" s="4" t="str">
        <f t="shared" si="103"/>
        <v/>
      </c>
      <c r="AS475" s="5" t="str">
        <f t="shared" si="103"/>
        <v/>
      </c>
      <c r="AT475" s="3" t="str">
        <f t="shared" si="107"/>
        <v/>
      </c>
      <c r="AU475" s="4" t="str">
        <f t="shared" si="107"/>
        <v/>
      </c>
      <c r="AV475" s="4" t="str">
        <f t="shared" si="107"/>
        <v/>
      </c>
      <c r="AW475" s="4" t="str">
        <f t="shared" si="107"/>
        <v/>
      </c>
      <c r="AX475" s="4" t="str">
        <f t="shared" si="107"/>
        <v/>
      </c>
      <c r="AY475" s="4" t="str">
        <f t="shared" si="107"/>
        <v/>
      </c>
      <c r="AZ475" s="4" t="str">
        <f t="shared" si="107"/>
        <v/>
      </c>
      <c r="BA475" s="4" t="str">
        <f t="shared" si="107"/>
        <v/>
      </c>
      <c r="BB475" s="4" t="str">
        <f t="shared" si="101"/>
        <v/>
      </c>
      <c r="BC475" s="4" t="str">
        <f t="shared" si="104"/>
        <v/>
      </c>
      <c r="BD475" s="4" t="str">
        <f t="shared" si="104"/>
        <v/>
      </c>
      <c r="BE475" s="4" t="str">
        <f t="shared" si="104"/>
        <v/>
      </c>
      <c r="BF475" s="4" t="str">
        <f t="shared" si="104"/>
        <v/>
      </c>
      <c r="BG475" s="4" t="str">
        <f t="shared" si="104"/>
        <v/>
      </c>
      <c r="BH475" s="4" t="str">
        <f t="shared" si="104"/>
        <v/>
      </c>
      <c r="BI475" s="5">
        <f t="shared" si="104"/>
        <v>1</v>
      </c>
    </row>
    <row r="476" spans="1:61" x14ac:dyDescent="0.25">
      <c r="A476">
        <v>718478</v>
      </c>
      <c r="B476" t="s">
        <v>15</v>
      </c>
      <c r="C476" t="s">
        <v>16</v>
      </c>
      <c r="D476">
        <v>63653</v>
      </c>
      <c r="E476">
        <v>1332</v>
      </c>
      <c r="F476">
        <v>3</v>
      </c>
      <c r="G476">
        <v>20131</v>
      </c>
      <c r="H476" t="s">
        <v>21</v>
      </c>
      <c r="I476">
        <v>2</v>
      </c>
      <c r="J476">
        <v>2</v>
      </c>
      <c r="K476">
        <v>8.18</v>
      </c>
      <c r="L476">
        <v>8.18</v>
      </c>
      <c r="M476">
        <v>0</v>
      </c>
      <c r="N476" s="3" t="str">
        <f t="shared" si="105"/>
        <v/>
      </c>
      <c r="O476" s="4" t="str">
        <f t="shared" si="105"/>
        <v/>
      </c>
      <c r="P476" s="4" t="str">
        <f t="shared" si="105"/>
        <v/>
      </c>
      <c r="Q476" s="4" t="str">
        <f t="shared" si="105"/>
        <v/>
      </c>
      <c r="R476" s="4" t="str">
        <f t="shared" si="105"/>
        <v/>
      </c>
      <c r="S476" s="4" t="str">
        <f t="shared" si="105"/>
        <v/>
      </c>
      <c r="T476" s="4" t="str">
        <f t="shared" si="105"/>
        <v/>
      </c>
      <c r="U476" s="4" t="str">
        <f t="shared" si="105"/>
        <v/>
      </c>
      <c r="V476" s="4" t="str">
        <f t="shared" si="97"/>
        <v/>
      </c>
      <c r="W476" s="4" t="str">
        <f t="shared" si="102"/>
        <v/>
      </c>
      <c r="X476" s="4" t="str">
        <f t="shared" si="102"/>
        <v/>
      </c>
      <c r="Y476" s="4" t="str">
        <f t="shared" si="102"/>
        <v/>
      </c>
      <c r="Z476" s="4" t="str">
        <f t="shared" si="102"/>
        <v/>
      </c>
      <c r="AA476" s="4" t="str">
        <f t="shared" si="102"/>
        <v/>
      </c>
      <c r="AB476" s="4" t="str">
        <f t="shared" si="102"/>
        <v/>
      </c>
      <c r="AC476" s="5" t="str">
        <f t="shared" si="102"/>
        <v/>
      </c>
      <c r="AD476" s="3" t="str">
        <f t="shared" si="106"/>
        <v/>
      </c>
      <c r="AE476" s="4" t="str">
        <f t="shared" si="106"/>
        <v/>
      </c>
      <c r="AF476" s="4" t="str">
        <f t="shared" si="106"/>
        <v/>
      </c>
      <c r="AG476" s="4" t="str">
        <f t="shared" si="106"/>
        <v/>
      </c>
      <c r="AH476" s="4" t="str">
        <f t="shared" si="106"/>
        <v/>
      </c>
      <c r="AI476" s="4" t="str">
        <f t="shared" si="106"/>
        <v/>
      </c>
      <c r="AJ476" s="4" t="str">
        <f t="shared" si="106"/>
        <v/>
      </c>
      <c r="AK476" s="4" t="str">
        <f t="shared" si="106"/>
        <v/>
      </c>
      <c r="AL476" s="4" t="str">
        <f t="shared" si="99"/>
        <v/>
      </c>
      <c r="AM476" s="4" t="str">
        <f t="shared" si="103"/>
        <v/>
      </c>
      <c r="AN476" s="4" t="str">
        <f t="shared" si="103"/>
        <v/>
      </c>
      <c r="AO476" s="4" t="str">
        <f t="shared" si="103"/>
        <v/>
      </c>
      <c r="AP476" s="4" t="str">
        <f t="shared" si="103"/>
        <v/>
      </c>
      <c r="AQ476" s="4" t="str">
        <f t="shared" si="103"/>
        <v/>
      </c>
      <c r="AR476" s="4" t="str">
        <f t="shared" si="103"/>
        <v/>
      </c>
      <c r="AS476" s="5" t="str">
        <f t="shared" si="103"/>
        <v/>
      </c>
      <c r="AT476" s="3" t="str">
        <f t="shared" si="107"/>
        <v/>
      </c>
      <c r="AU476" s="4" t="str">
        <f t="shared" si="107"/>
        <v/>
      </c>
      <c r="AV476" s="4" t="str">
        <f t="shared" si="107"/>
        <v/>
      </c>
      <c r="AW476" s="4" t="str">
        <f t="shared" si="107"/>
        <v/>
      </c>
      <c r="AX476" s="4" t="str">
        <f t="shared" si="107"/>
        <v/>
      </c>
      <c r="AY476" s="4" t="str">
        <f t="shared" si="107"/>
        <v/>
      </c>
      <c r="AZ476" s="4" t="str">
        <f t="shared" si="107"/>
        <v/>
      </c>
      <c r="BA476" s="4" t="str">
        <f t="shared" si="107"/>
        <v/>
      </c>
      <c r="BB476" s="4" t="str">
        <f t="shared" si="101"/>
        <v/>
      </c>
      <c r="BC476" s="4" t="str">
        <f t="shared" si="104"/>
        <v/>
      </c>
      <c r="BD476" s="4" t="str">
        <f t="shared" si="104"/>
        <v/>
      </c>
      <c r="BE476" s="4" t="str">
        <f t="shared" si="104"/>
        <v/>
      </c>
      <c r="BF476" s="4">
        <f t="shared" si="104"/>
        <v>1</v>
      </c>
      <c r="BG476" s="4" t="str">
        <f t="shared" si="104"/>
        <v/>
      </c>
      <c r="BH476" s="4" t="str">
        <f t="shared" si="104"/>
        <v/>
      </c>
      <c r="BI476" s="5" t="str">
        <f t="shared" si="104"/>
        <v/>
      </c>
    </row>
    <row r="477" spans="1:61" x14ac:dyDescent="0.25">
      <c r="A477">
        <v>718479</v>
      </c>
      <c r="B477" t="s">
        <v>15</v>
      </c>
      <c r="C477" t="s">
        <v>16</v>
      </c>
      <c r="D477">
        <v>63653</v>
      </c>
      <c r="E477">
        <v>1332</v>
      </c>
      <c r="F477">
        <v>3</v>
      </c>
      <c r="G477">
        <v>20132</v>
      </c>
      <c r="H477" t="s">
        <v>21</v>
      </c>
      <c r="I477">
        <v>3</v>
      </c>
      <c r="J477">
        <v>3</v>
      </c>
      <c r="K477">
        <v>0.89</v>
      </c>
      <c r="L477">
        <v>0.89</v>
      </c>
      <c r="M477">
        <v>0</v>
      </c>
      <c r="N477" s="3" t="str">
        <f t="shared" si="105"/>
        <v/>
      </c>
      <c r="O477" s="4" t="str">
        <f t="shared" si="105"/>
        <v/>
      </c>
      <c r="P477" s="4" t="str">
        <f t="shared" si="105"/>
        <v/>
      </c>
      <c r="Q477" s="4" t="str">
        <f t="shared" si="105"/>
        <v/>
      </c>
      <c r="R477" s="4" t="str">
        <f t="shared" si="105"/>
        <v/>
      </c>
      <c r="S477" s="4" t="str">
        <f t="shared" si="105"/>
        <v/>
      </c>
      <c r="T477" s="4" t="str">
        <f t="shared" si="105"/>
        <v/>
      </c>
      <c r="U477" s="4" t="str">
        <f t="shared" si="105"/>
        <v/>
      </c>
      <c r="V477" s="4" t="str">
        <f t="shared" si="97"/>
        <v/>
      </c>
      <c r="W477" s="4" t="str">
        <f t="shared" si="102"/>
        <v/>
      </c>
      <c r="X477" s="4" t="str">
        <f t="shared" si="102"/>
        <v/>
      </c>
      <c r="Y477" s="4" t="str">
        <f t="shared" si="102"/>
        <v/>
      </c>
      <c r="Z477" s="4" t="str">
        <f t="shared" si="102"/>
        <v/>
      </c>
      <c r="AA477" s="4" t="str">
        <f t="shared" si="102"/>
        <v/>
      </c>
      <c r="AB477" s="4" t="str">
        <f t="shared" si="102"/>
        <v/>
      </c>
      <c r="AC477" s="5" t="str">
        <f t="shared" si="102"/>
        <v/>
      </c>
      <c r="AD477" s="3" t="str">
        <f t="shared" si="106"/>
        <v/>
      </c>
      <c r="AE477" s="4" t="str">
        <f t="shared" si="106"/>
        <v/>
      </c>
      <c r="AF477" s="4" t="str">
        <f t="shared" si="106"/>
        <v/>
      </c>
      <c r="AG477" s="4" t="str">
        <f t="shared" si="106"/>
        <v/>
      </c>
      <c r="AH477" s="4" t="str">
        <f t="shared" si="106"/>
        <v/>
      </c>
      <c r="AI477" s="4" t="str">
        <f t="shared" si="106"/>
        <v/>
      </c>
      <c r="AJ477" s="4" t="str">
        <f t="shared" si="106"/>
        <v/>
      </c>
      <c r="AK477" s="4" t="str">
        <f t="shared" si="106"/>
        <v/>
      </c>
      <c r="AL477" s="4" t="str">
        <f t="shared" si="99"/>
        <v/>
      </c>
      <c r="AM477" s="4" t="str">
        <f t="shared" si="103"/>
        <v/>
      </c>
      <c r="AN477" s="4" t="str">
        <f t="shared" si="103"/>
        <v/>
      </c>
      <c r="AO477" s="4" t="str">
        <f t="shared" si="103"/>
        <v/>
      </c>
      <c r="AP477" s="4" t="str">
        <f t="shared" si="103"/>
        <v/>
      </c>
      <c r="AQ477" s="4" t="str">
        <f t="shared" si="103"/>
        <v/>
      </c>
      <c r="AR477" s="4" t="str">
        <f t="shared" si="103"/>
        <v/>
      </c>
      <c r="AS477" s="5" t="str">
        <f t="shared" si="103"/>
        <v/>
      </c>
      <c r="AT477" s="3" t="str">
        <f t="shared" si="107"/>
        <v/>
      </c>
      <c r="AU477" s="4" t="str">
        <f t="shared" si="107"/>
        <v/>
      </c>
      <c r="AV477" s="4" t="str">
        <f t="shared" si="107"/>
        <v/>
      </c>
      <c r="AW477" s="4" t="str">
        <f t="shared" si="107"/>
        <v/>
      </c>
      <c r="AX477" s="4" t="str">
        <f t="shared" si="107"/>
        <v/>
      </c>
      <c r="AY477" s="4" t="str">
        <f t="shared" si="107"/>
        <v/>
      </c>
      <c r="AZ477" s="4" t="str">
        <f t="shared" si="107"/>
        <v/>
      </c>
      <c r="BA477" s="4" t="str">
        <f t="shared" si="107"/>
        <v/>
      </c>
      <c r="BB477" s="4" t="str">
        <f t="shared" si="101"/>
        <v/>
      </c>
      <c r="BC477" s="4" t="str">
        <f t="shared" si="104"/>
        <v/>
      </c>
      <c r="BD477" s="4" t="str">
        <f t="shared" si="104"/>
        <v/>
      </c>
      <c r="BE477" s="4" t="str">
        <f t="shared" si="104"/>
        <v/>
      </c>
      <c r="BF477" s="4" t="str">
        <f t="shared" si="104"/>
        <v/>
      </c>
      <c r="BG477" s="4">
        <f t="shared" si="104"/>
        <v>1</v>
      </c>
      <c r="BH477" s="4" t="str">
        <f t="shared" si="104"/>
        <v/>
      </c>
      <c r="BI477" s="5" t="str">
        <f t="shared" si="104"/>
        <v/>
      </c>
    </row>
    <row r="478" spans="1:61" x14ac:dyDescent="0.25">
      <c r="A478">
        <v>718480</v>
      </c>
      <c r="B478" t="s">
        <v>15</v>
      </c>
      <c r="C478" t="s">
        <v>16</v>
      </c>
      <c r="D478">
        <v>63653</v>
      </c>
      <c r="E478">
        <v>1332</v>
      </c>
      <c r="F478">
        <v>3</v>
      </c>
      <c r="G478">
        <v>20133</v>
      </c>
      <c r="H478" t="s">
        <v>21</v>
      </c>
      <c r="I478">
        <v>8</v>
      </c>
      <c r="J478">
        <v>2</v>
      </c>
      <c r="K478">
        <v>0.44</v>
      </c>
      <c r="L478">
        <v>0.44</v>
      </c>
      <c r="M478">
        <v>0</v>
      </c>
      <c r="N478" s="3" t="str">
        <f t="shared" si="105"/>
        <v/>
      </c>
      <c r="O478" s="4" t="str">
        <f t="shared" si="105"/>
        <v/>
      </c>
      <c r="P478" s="4" t="str">
        <f t="shared" si="105"/>
        <v/>
      </c>
      <c r="Q478" s="4" t="str">
        <f t="shared" si="105"/>
        <v/>
      </c>
      <c r="R478" s="4" t="str">
        <f t="shared" si="105"/>
        <v/>
      </c>
      <c r="S478" s="4" t="str">
        <f t="shared" si="105"/>
        <v/>
      </c>
      <c r="T478" s="4" t="str">
        <f t="shared" si="105"/>
        <v/>
      </c>
      <c r="U478" s="4" t="str">
        <f t="shared" si="105"/>
        <v/>
      </c>
      <c r="V478" s="4" t="str">
        <f t="shared" si="97"/>
        <v/>
      </c>
      <c r="W478" s="4" t="str">
        <f t="shared" si="102"/>
        <v/>
      </c>
      <c r="X478" s="4" t="str">
        <f t="shared" si="102"/>
        <v/>
      </c>
      <c r="Y478" s="4" t="str">
        <f t="shared" si="102"/>
        <v/>
      </c>
      <c r="Z478" s="4" t="str">
        <f t="shared" si="102"/>
        <v/>
      </c>
      <c r="AA478" s="4" t="str">
        <f t="shared" si="102"/>
        <v/>
      </c>
      <c r="AB478" s="4" t="str">
        <f t="shared" si="102"/>
        <v/>
      </c>
      <c r="AC478" s="5" t="str">
        <f t="shared" si="102"/>
        <v/>
      </c>
      <c r="AD478" s="3" t="str">
        <f t="shared" si="106"/>
        <v/>
      </c>
      <c r="AE478" s="4" t="str">
        <f t="shared" si="106"/>
        <v/>
      </c>
      <c r="AF478" s="4" t="str">
        <f t="shared" si="106"/>
        <v/>
      </c>
      <c r="AG478" s="4" t="str">
        <f t="shared" si="106"/>
        <v/>
      </c>
      <c r="AH478" s="4" t="str">
        <f t="shared" si="106"/>
        <v/>
      </c>
      <c r="AI478" s="4" t="str">
        <f t="shared" si="106"/>
        <v/>
      </c>
      <c r="AJ478" s="4" t="str">
        <f t="shared" si="106"/>
        <v/>
      </c>
      <c r="AK478" s="4" t="str">
        <f t="shared" si="106"/>
        <v/>
      </c>
      <c r="AL478" s="4" t="str">
        <f t="shared" si="99"/>
        <v/>
      </c>
      <c r="AM478" s="4" t="str">
        <f t="shared" si="103"/>
        <v/>
      </c>
      <c r="AN478" s="4" t="str">
        <f t="shared" si="103"/>
        <v/>
      </c>
      <c r="AO478" s="4" t="str">
        <f t="shared" si="103"/>
        <v/>
      </c>
      <c r="AP478" s="4" t="str">
        <f t="shared" si="103"/>
        <v/>
      </c>
      <c r="AQ478" s="4" t="str">
        <f t="shared" si="103"/>
        <v/>
      </c>
      <c r="AR478" s="4" t="str">
        <f t="shared" si="103"/>
        <v/>
      </c>
      <c r="AS478" s="5" t="str">
        <f t="shared" si="103"/>
        <v/>
      </c>
      <c r="AT478" s="3" t="str">
        <f t="shared" si="107"/>
        <v/>
      </c>
      <c r="AU478" s="4" t="str">
        <f t="shared" si="107"/>
        <v/>
      </c>
      <c r="AV478" s="4" t="str">
        <f t="shared" si="107"/>
        <v/>
      </c>
      <c r="AW478" s="4" t="str">
        <f t="shared" si="107"/>
        <v/>
      </c>
      <c r="AX478" s="4" t="str">
        <f t="shared" si="107"/>
        <v/>
      </c>
      <c r="AY478" s="4" t="str">
        <f t="shared" si="107"/>
        <v/>
      </c>
      <c r="AZ478" s="4" t="str">
        <f t="shared" si="107"/>
        <v/>
      </c>
      <c r="BA478" s="4" t="str">
        <f t="shared" si="107"/>
        <v/>
      </c>
      <c r="BB478" s="4" t="str">
        <f t="shared" si="101"/>
        <v/>
      </c>
      <c r="BC478" s="4" t="str">
        <f t="shared" si="104"/>
        <v/>
      </c>
      <c r="BD478" s="4" t="str">
        <f t="shared" si="104"/>
        <v/>
      </c>
      <c r="BE478" s="4" t="str">
        <f t="shared" si="104"/>
        <v/>
      </c>
      <c r="BF478" s="4" t="str">
        <f t="shared" si="104"/>
        <v/>
      </c>
      <c r="BG478" s="4" t="str">
        <f t="shared" si="104"/>
        <v/>
      </c>
      <c r="BH478" s="4">
        <f t="shared" si="104"/>
        <v>1</v>
      </c>
      <c r="BI478" s="5" t="str">
        <f t="shared" si="104"/>
        <v/>
      </c>
    </row>
    <row r="479" spans="1:61" x14ac:dyDescent="0.25">
      <c r="A479">
        <v>718481</v>
      </c>
      <c r="B479" t="s">
        <v>15</v>
      </c>
      <c r="C479" t="s">
        <v>16</v>
      </c>
      <c r="D479">
        <v>63653</v>
      </c>
      <c r="E479">
        <v>1332</v>
      </c>
      <c r="F479">
        <v>3</v>
      </c>
      <c r="G479">
        <v>20134</v>
      </c>
      <c r="H479" t="s">
        <v>20</v>
      </c>
      <c r="I479">
        <v>4</v>
      </c>
      <c r="J479">
        <v>2</v>
      </c>
      <c r="K479">
        <v>23.19</v>
      </c>
      <c r="L479">
        <v>23.19</v>
      </c>
      <c r="M479">
        <v>0</v>
      </c>
      <c r="N479" s="3" t="str">
        <f t="shared" si="105"/>
        <v/>
      </c>
      <c r="O479" s="4" t="str">
        <f t="shared" si="105"/>
        <v/>
      </c>
      <c r="P479" s="4" t="str">
        <f t="shared" si="105"/>
        <v/>
      </c>
      <c r="Q479" s="4" t="str">
        <f t="shared" si="105"/>
        <v/>
      </c>
      <c r="R479" s="4" t="str">
        <f t="shared" si="105"/>
        <v/>
      </c>
      <c r="S479" s="4" t="str">
        <f t="shared" si="105"/>
        <v/>
      </c>
      <c r="T479" s="4" t="str">
        <f t="shared" si="105"/>
        <v/>
      </c>
      <c r="U479" s="4" t="str">
        <f t="shared" si="105"/>
        <v/>
      </c>
      <c r="V479" s="4" t="str">
        <f t="shared" si="97"/>
        <v/>
      </c>
      <c r="W479" s="4" t="str">
        <f t="shared" si="102"/>
        <v/>
      </c>
      <c r="X479" s="4" t="str">
        <f t="shared" si="102"/>
        <v/>
      </c>
      <c r="Y479" s="4" t="str">
        <f t="shared" si="102"/>
        <v/>
      </c>
      <c r="Z479" s="4" t="str">
        <f t="shared" si="102"/>
        <v/>
      </c>
      <c r="AA479" s="4" t="str">
        <f t="shared" si="102"/>
        <v/>
      </c>
      <c r="AB479" s="4" t="str">
        <f t="shared" si="102"/>
        <v/>
      </c>
      <c r="AC479" s="5" t="str">
        <f t="shared" si="102"/>
        <v/>
      </c>
      <c r="AD479" s="3" t="str">
        <f t="shared" si="106"/>
        <v/>
      </c>
      <c r="AE479" s="4" t="str">
        <f t="shared" si="106"/>
        <v/>
      </c>
      <c r="AF479" s="4" t="str">
        <f t="shared" si="106"/>
        <v/>
      </c>
      <c r="AG479" s="4" t="str">
        <f t="shared" si="106"/>
        <v/>
      </c>
      <c r="AH479" s="4" t="str">
        <f t="shared" si="106"/>
        <v/>
      </c>
      <c r="AI479" s="4" t="str">
        <f t="shared" si="106"/>
        <v/>
      </c>
      <c r="AJ479" s="4" t="str">
        <f t="shared" si="106"/>
        <v/>
      </c>
      <c r="AK479" s="4" t="str">
        <f t="shared" si="106"/>
        <v/>
      </c>
      <c r="AL479" s="4" t="str">
        <f t="shared" si="99"/>
        <v/>
      </c>
      <c r="AM479" s="4" t="str">
        <f t="shared" si="103"/>
        <v/>
      </c>
      <c r="AN479" s="4" t="str">
        <f t="shared" si="103"/>
        <v/>
      </c>
      <c r="AO479" s="4" t="str">
        <f t="shared" si="103"/>
        <v/>
      </c>
      <c r="AP479" s="4" t="str">
        <f t="shared" si="103"/>
        <v/>
      </c>
      <c r="AQ479" s="4" t="str">
        <f t="shared" si="103"/>
        <v/>
      </c>
      <c r="AR479" s="4" t="str">
        <f t="shared" si="103"/>
        <v/>
      </c>
      <c r="AS479" s="5" t="str">
        <f t="shared" si="103"/>
        <v/>
      </c>
      <c r="AT479" s="3" t="str">
        <f t="shared" si="107"/>
        <v/>
      </c>
      <c r="AU479" s="4" t="str">
        <f t="shared" si="107"/>
        <v/>
      </c>
      <c r="AV479" s="4" t="str">
        <f t="shared" si="107"/>
        <v/>
      </c>
      <c r="AW479" s="4" t="str">
        <f t="shared" si="107"/>
        <v/>
      </c>
      <c r="AX479" s="4" t="str">
        <f t="shared" si="107"/>
        <v/>
      </c>
      <c r="AY479" s="4" t="str">
        <f t="shared" si="107"/>
        <v/>
      </c>
      <c r="AZ479" s="4" t="str">
        <f t="shared" si="107"/>
        <v/>
      </c>
      <c r="BA479" s="4" t="str">
        <f t="shared" si="107"/>
        <v/>
      </c>
      <c r="BB479" s="4" t="str">
        <f t="shared" si="101"/>
        <v/>
      </c>
      <c r="BC479" s="4" t="str">
        <f t="shared" si="104"/>
        <v/>
      </c>
      <c r="BD479" s="4" t="str">
        <f t="shared" si="104"/>
        <v/>
      </c>
      <c r="BE479" s="4" t="str">
        <f t="shared" si="104"/>
        <v/>
      </c>
      <c r="BF479" s="4" t="str">
        <f t="shared" si="104"/>
        <v/>
      </c>
      <c r="BG479" s="4" t="str">
        <f t="shared" si="104"/>
        <v/>
      </c>
      <c r="BH479" s="4" t="str">
        <f t="shared" si="104"/>
        <v/>
      </c>
      <c r="BI479" s="5">
        <f t="shared" si="104"/>
        <v>1</v>
      </c>
    </row>
    <row r="480" spans="1:61" x14ac:dyDescent="0.25">
      <c r="A480">
        <v>348200</v>
      </c>
      <c r="B480" t="s">
        <v>14</v>
      </c>
      <c r="C480" t="s">
        <v>16</v>
      </c>
      <c r="D480">
        <v>64679</v>
      </c>
      <c r="E480">
        <v>314</v>
      </c>
      <c r="F480">
        <v>0</v>
      </c>
      <c r="G480">
        <v>20124</v>
      </c>
      <c r="H480" t="s">
        <v>0</v>
      </c>
      <c r="I480">
        <v>1740</v>
      </c>
      <c r="J480">
        <v>58</v>
      </c>
      <c r="K480">
        <v>955.98</v>
      </c>
      <c r="L480">
        <v>948.98</v>
      </c>
      <c r="M480">
        <v>7</v>
      </c>
      <c r="N480" s="3" t="str">
        <f t="shared" si="105"/>
        <v/>
      </c>
      <c r="O480" s="4" t="str">
        <f t="shared" si="105"/>
        <v/>
      </c>
      <c r="P480" s="4" t="str">
        <f t="shared" si="105"/>
        <v/>
      </c>
      <c r="Q480" s="4" t="str">
        <f t="shared" si="105"/>
        <v/>
      </c>
      <c r="R480" s="4" t="str">
        <f t="shared" si="105"/>
        <v/>
      </c>
      <c r="S480" s="4" t="str">
        <f t="shared" si="105"/>
        <v/>
      </c>
      <c r="T480" s="4" t="str">
        <f t="shared" si="105"/>
        <v/>
      </c>
      <c r="U480" s="4" t="str">
        <f t="shared" si="105"/>
        <v/>
      </c>
      <c r="V480" s="4" t="str">
        <f t="shared" si="97"/>
        <v/>
      </c>
      <c r="W480" s="4" t="str">
        <f t="shared" si="102"/>
        <v/>
      </c>
      <c r="X480" s="4" t="str">
        <f t="shared" si="102"/>
        <v/>
      </c>
      <c r="Y480" s="4" t="str">
        <f t="shared" si="102"/>
        <v/>
      </c>
      <c r="Z480" s="4" t="str">
        <f t="shared" si="102"/>
        <v/>
      </c>
      <c r="AA480" s="4" t="str">
        <f t="shared" si="102"/>
        <v/>
      </c>
      <c r="AB480" s="4" t="str">
        <f t="shared" si="102"/>
        <v/>
      </c>
      <c r="AC480" s="5" t="str">
        <f t="shared" si="102"/>
        <v/>
      </c>
      <c r="AD480" s="3" t="str">
        <f t="shared" si="106"/>
        <v/>
      </c>
      <c r="AE480" s="4" t="str">
        <f t="shared" si="106"/>
        <v/>
      </c>
      <c r="AF480" s="4" t="str">
        <f t="shared" si="106"/>
        <v/>
      </c>
      <c r="AG480" s="4">
        <f t="shared" si="106"/>
        <v>1</v>
      </c>
      <c r="AH480" s="4" t="str">
        <f t="shared" si="106"/>
        <v/>
      </c>
      <c r="AI480" s="4" t="str">
        <f t="shared" si="106"/>
        <v/>
      </c>
      <c r="AJ480" s="4" t="str">
        <f t="shared" si="106"/>
        <v/>
      </c>
      <c r="AK480" s="4" t="str">
        <f t="shared" si="106"/>
        <v/>
      </c>
      <c r="AL480" s="4" t="str">
        <f t="shared" si="99"/>
        <v/>
      </c>
      <c r="AM480" s="4" t="str">
        <f t="shared" si="103"/>
        <v/>
      </c>
      <c r="AN480" s="4" t="str">
        <f t="shared" si="103"/>
        <v/>
      </c>
      <c r="AO480" s="4" t="str">
        <f t="shared" si="103"/>
        <v/>
      </c>
      <c r="AP480" s="4" t="str">
        <f t="shared" si="103"/>
        <v/>
      </c>
      <c r="AQ480" s="4" t="str">
        <f t="shared" si="103"/>
        <v/>
      </c>
      <c r="AR480" s="4" t="str">
        <f t="shared" si="103"/>
        <v/>
      </c>
      <c r="AS480" s="5" t="str">
        <f t="shared" si="103"/>
        <v/>
      </c>
      <c r="AT480" s="3" t="str">
        <f t="shared" si="107"/>
        <v/>
      </c>
      <c r="AU480" s="4" t="str">
        <f t="shared" si="107"/>
        <v/>
      </c>
      <c r="AV480" s="4" t="str">
        <f t="shared" si="107"/>
        <v/>
      </c>
      <c r="AW480" s="4" t="str">
        <f t="shared" si="107"/>
        <v/>
      </c>
      <c r="AX480" s="4" t="str">
        <f t="shared" si="107"/>
        <v/>
      </c>
      <c r="AY480" s="4" t="str">
        <f t="shared" si="107"/>
        <v/>
      </c>
      <c r="AZ480" s="4" t="str">
        <f t="shared" si="107"/>
        <v/>
      </c>
      <c r="BA480" s="4" t="str">
        <f t="shared" si="107"/>
        <v/>
      </c>
      <c r="BB480" s="4" t="str">
        <f t="shared" si="101"/>
        <v/>
      </c>
      <c r="BC480" s="4" t="str">
        <f t="shared" si="104"/>
        <v/>
      </c>
      <c r="BD480" s="4" t="str">
        <f t="shared" si="104"/>
        <v/>
      </c>
      <c r="BE480" s="4" t="str">
        <f t="shared" si="104"/>
        <v/>
      </c>
      <c r="BF480" s="4" t="str">
        <f t="shared" si="104"/>
        <v/>
      </c>
      <c r="BG480" s="4" t="str">
        <f t="shared" si="104"/>
        <v/>
      </c>
      <c r="BH480" s="4" t="str">
        <f t="shared" si="104"/>
        <v/>
      </c>
      <c r="BI480" s="5" t="str">
        <f t="shared" si="104"/>
        <v/>
      </c>
    </row>
    <row r="481" spans="1:61" x14ac:dyDescent="0.25">
      <c r="A481">
        <v>348201</v>
      </c>
      <c r="B481" t="s">
        <v>14</v>
      </c>
      <c r="C481" t="s">
        <v>16</v>
      </c>
      <c r="D481">
        <v>64679</v>
      </c>
      <c r="E481">
        <v>314</v>
      </c>
      <c r="F481">
        <v>1</v>
      </c>
      <c r="G481">
        <v>20123</v>
      </c>
      <c r="H481" t="s">
        <v>0</v>
      </c>
      <c r="I481">
        <v>484</v>
      </c>
      <c r="J481">
        <v>16</v>
      </c>
      <c r="K481">
        <v>185.21</v>
      </c>
      <c r="L481">
        <v>179.21</v>
      </c>
      <c r="M481">
        <v>6</v>
      </c>
      <c r="N481" s="3" t="str">
        <f t="shared" si="105"/>
        <v/>
      </c>
      <c r="O481" s="4" t="str">
        <f t="shared" si="105"/>
        <v/>
      </c>
      <c r="P481" s="4" t="str">
        <f t="shared" si="105"/>
        <v/>
      </c>
      <c r="Q481" s="4" t="str">
        <f t="shared" si="105"/>
        <v/>
      </c>
      <c r="R481" s="4" t="str">
        <f t="shared" si="105"/>
        <v/>
      </c>
      <c r="S481" s="4" t="str">
        <f t="shared" si="105"/>
        <v/>
      </c>
      <c r="T481" s="4" t="str">
        <f t="shared" si="105"/>
        <v/>
      </c>
      <c r="U481" s="4" t="str">
        <f t="shared" si="105"/>
        <v/>
      </c>
      <c r="V481" s="4" t="str">
        <f t="shared" si="97"/>
        <v/>
      </c>
      <c r="W481" s="4" t="str">
        <f t="shared" si="102"/>
        <v/>
      </c>
      <c r="X481" s="4" t="str">
        <f t="shared" si="102"/>
        <v/>
      </c>
      <c r="Y481" s="4" t="str">
        <f t="shared" si="102"/>
        <v/>
      </c>
      <c r="Z481" s="4" t="str">
        <f t="shared" si="102"/>
        <v/>
      </c>
      <c r="AA481" s="4" t="str">
        <f t="shared" si="102"/>
        <v/>
      </c>
      <c r="AB481" s="4" t="str">
        <f t="shared" si="102"/>
        <v/>
      </c>
      <c r="AC481" s="5" t="str">
        <f t="shared" si="102"/>
        <v/>
      </c>
      <c r="AD481" s="3" t="str">
        <f t="shared" si="106"/>
        <v/>
      </c>
      <c r="AE481" s="4" t="str">
        <f t="shared" si="106"/>
        <v/>
      </c>
      <c r="AF481" s="4">
        <f t="shared" si="106"/>
        <v>1</v>
      </c>
      <c r="AG481" s="4" t="str">
        <f t="shared" si="106"/>
        <v/>
      </c>
      <c r="AH481" s="4" t="str">
        <f t="shared" si="106"/>
        <v/>
      </c>
      <c r="AI481" s="4" t="str">
        <f t="shared" si="106"/>
        <v/>
      </c>
      <c r="AJ481" s="4" t="str">
        <f t="shared" si="106"/>
        <v/>
      </c>
      <c r="AK481" s="4" t="str">
        <f t="shared" si="106"/>
        <v/>
      </c>
      <c r="AL481" s="4" t="str">
        <f t="shared" si="99"/>
        <v/>
      </c>
      <c r="AM481" s="4" t="str">
        <f t="shared" si="103"/>
        <v/>
      </c>
      <c r="AN481" s="4" t="str">
        <f t="shared" si="103"/>
        <v/>
      </c>
      <c r="AO481" s="4" t="str">
        <f t="shared" si="103"/>
        <v/>
      </c>
      <c r="AP481" s="4" t="str">
        <f t="shared" si="103"/>
        <v/>
      </c>
      <c r="AQ481" s="4" t="str">
        <f t="shared" si="103"/>
        <v/>
      </c>
      <c r="AR481" s="4" t="str">
        <f t="shared" si="103"/>
        <v/>
      </c>
      <c r="AS481" s="5" t="str">
        <f t="shared" si="103"/>
        <v/>
      </c>
      <c r="AT481" s="3" t="str">
        <f t="shared" si="107"/>
        <v/>
      </c>
      <c r="AU481" s="4" t="str">
        <f t="shared" si="107"/>
        <v/>
      </c>
      <c r="AV481" s="4" t="str">
        <f t="shared" si="107"/>
        <v/>
      </c>
      <c r="AW481" s="4" t="str">
        <f t="shared" si="107"/>
        <v/>
      </c>
      <c r="AX481" s="4" t="str">
        <f t="shared" si="107"/>
        <v/>
      </c>
      <c r="AY481" s="4" t="str">
        <f t="shared" si="107"/>
        <v/>
      </c>
      <c r="AZ481" s="4" t="str">
        <f t="shared" si="107"/>
        <v/>
      </c>
      <c r="BA481" s="4" t="str">
        <f t="shared" si="107"/>
        <v/>
      </c>
      <c r="BB481" s="4" t="str">
        <f t="shared" si="101"/>
        <v/>
      </c>
      <c r="BC481" s="4" t="str">
        <f t="shared" si="104"/>
        <v/>
      </c>
      <c r="BD481" s="4" t="str">
        <f t="shared" si="104"/>
        <v/>
      </c>
      <c r="BE481" s="4" t="str">
        <f t="shared" si="104"/>
        <v/>
      </c>
      <c r="BF481" s="4" t="str">
        <f t="shared" si="104"/>
        <v/>
      </c>
      <c r="BG481" s="4" t="str">
        <f t="shared" si="104"/>
        <v/>
      </c>
      <c r="BH481" s="4" t="str">
        <f t="shared" si="104"/>
        <v/>
      </c>
      <c r="BI481" s="5" t="str">
        <f t="shared" si="104"/>
        <v/>
      </c>
    </row>
    <row r="482" spans="1:61" x14ac:dyDescent="0.25">
      <c r="A482">
        <v>348202</v>
      </c>
      <c r="B482" t="s">
        <v>14</v>
      </c>
      <c r="C482" t="s">
        <v>16</v>
      </c>
      <c r="D482">
        <v>64679</v>
      </c>
      <c r="E482">
        <v>314</v>
      </c>
      <c r="F482">
        <v>1</v>
      </c>
      <c r="G482">
        <v>20124</v>
      </c>
      <c r="H482" t="s">
        <v>0</v>
      </c>
      <c r="I482">
        <v>152647</v>
      </c>
      <c r="J482">
        <v>4868</v>
      </c>
      <c r="K482">
        <v>58541.62</v>
      </c>
      <c r="L482">
        <v>50089.95</v>
      </c>
      <c r="M482">
        <v>8451.67</v>
      </c>
      <c r="N482" s="3" t="str">
        <f t="shared" si="105"/>
        <v/>
      </c>
      <c r="O482" s="4" t="str">
        <f t="shared" si="105"/>
        <v/>
      </c>
      <c r="P482" s="4" t="str">
        <f t="shared" si="105"/>
        <v/>
      </c>
      <c r="Q482" s="4" t="str">
        <f t="shared" si="105"/>
        <v/>
      </c>
      <c r="R482" s="4" t="str">
        <f t="shared" si="105"/>
        <v/>
      </c>
      <c r="S482" s="4" t="str">
        <f t="shared" si="105"/>
        <v/>
      </c>
      <c r="T482" s="4" t="str">
        <f t="shared" si="105"/>
        <v/>
      </c>
      <c r="U482" s="4" t="str">
        <f t="shared" si="105"/>
        <v/>
      </c>
      <c r="V482" s="4" t="str">
        <f t="shared" si="97"/>
        <v/>
      </c>
      <c r="W482" s="4" t="str">
        <f t="shared" si="102"/>
        <v/>
      </c>
      <c r="X482" s="4" t="str">
        <f t="shared" si="102"/>
        <v/>
      </c>
      <c r="Y482" s="4" t="str">
        <f t="shared" si="102"/>
        <v/>
      </c>
      <c r="Z482" s="4" t="str">
        <f t="shared" si="102"/>
        <v/>
      </c>
      <c r="AA482" s="4" t="str">
        <f t="shared" si="102"/>
        <v/>
      </c>
      <c r="AB482" s="4" t="str">
        <f t="shared" si="102"/>
        <v/>
      </c>
      <c r="AC482" s="5" t="str">
        <f t="shared" si="102"/>
        <v/>
      </c>
      <c r="AD482" s="3" t="str">
        <f t="shared" si="106"/>
        <v/>
      </c>
      <c r="AE482" s="4" t="str">
        <f t="shared" si="106"/>
        <v/>
      </c>
      <c r="AF482" s="4" t="str">
        <f t="shared" si="106"/>
        <v/>
      </c>
      <c r="AG482" s="4">
        <f t="shared" si="106"/>
        <v>1</v>
      </c>
      <c r="AH482" s="4" t="str">
        <f t="shared" si="106"/>
        <v/>
      </c>
      <c r="AI482" s="4" t="str">
        <f t="shared" si="106"/>
        <v/>
      </c>
      <c r="AJ482" s="4" t="str">
        <f t="shared" si="106"/>
        <v/>
      </c>
      <c r="AK482" s="4" t="str">
        <f t="shared" si="106"/>
        <v/>
      </c>
      <c r="AL482" s="4" t="str">
        <f t="shared" si="99"/>
        <v/>
      </c>
      <c r="AM482" s="4" t="str">
        <f t="shared" si="103"/>
        <v/>
      </c>
      <c r="AN482" s="4" t="str">
        <f t="shared" si="103"/>
        <v/>
      </c>
      <c r="AO482" s="4" t="str">
        <f t="shared" si="103"/>
        <v/>
      </c>
      <c r="AP482" s="4" t="str">
        <f t="shared" si="103"/>
        <v/>
      </c>
      <c r="AQ482" s="4" t="str">
        <f t="shared" si="103"/>
        <v/>
      </c>
      <c r="AR482" s="4" t="str">
        <f t="shared" si="103"/>
        <v/>
      </c>
      <c r="AS482" s="5" t="str">
        <f t="shared" si="103"/>
        <v/>
      </c>
      <c r="AT482" s="3" t="str">
        <f t="shared" si="107"/>
        <v/>
      </c>
      <c r="AU482" s="4" t="str">
        <f t="shared" si="107"/>
        <v/>
      </c>
      <c r="AV482" s="4" t="str">
        <f t="shared" si="107"/>
        <v/>
      </c>
      <c r="AW482" s="4" t="str">
        <f t="shared" si="107"/>
        <v/>
      </c>
      <c r="AX482" s="4" t="str">
        <f t="shared" si="107"/>
        <v/>
      </c>
      <c r="AY482" s="4" t="str">
        <f t="shared" si="107"/>
        <v/>
      </c>
      <c r="AZ482" s="4" t="str">
        <f t="shared" si="107"/>
        <v/>
      </c>
      <c r="BA482" s="4" t="str">
        <f t="shared" si="107"/>
        <v/>
      </c>
      <c r="BB482" s="4" t="str">
        <f t="shared" si="101"/>
        <v/>
      </c>
      <c r="BC482" s="4" t="str">
        <f t="shared" si="104"/>
        <v/>
      </c>
      <c r="BD482" s="4" t="str">
        <f t="shared" si="104"/>
        <v/>
      </c>
      <c r="BE482" s="4" t="str">
        <f t="shared" si="104"/>
        <v/>
      </c>
      <c r="BF482" s="4" t="str">
        <f t="shared" si="104"/>
        <v/>
      </c>
      <c r="BG482" s="4" t="str">
        <f t="shared" si="104"/>
        <v/>
      </c>
      <c r="BH482" s="4" t="str">
        <f t="shared" si="104"/>
        <v/>
      </c>
      <c r="BI482" s="5" t="str">
        <f t="shared" si="104"/>
        <v/>
      </c>
    </row>
    <row r="483" spans="1:61" x14ac:dyDescent="0.25">
      <c r="A483">
        <v>348203</v>
      </c>
      <c r="B483" t="s">
        <v>14</v>
      </c>
      <c r="C483" t="s">
        <v>16</v>
      </c>
      <c r="D483">
        <v>64679</v>
      </c>
      <c r="E483">
        <v>314</v>
      </c>
      <c r="F483">
        <v>2</v>
      </c>
      <c r="G483">
        <v>20124</v>
      </c>
      <c r="H483" t="s">
        <v>0</v>
      </c>
      <c r="I483">
        <v>8157</v>
      </c>
      <c r="J483">
        <v>261</v>
      </c>
      <c r="K483">
        <v>3490.73</v>
      </c>
      <c r="L483">
        <v>3227.03</v>
      </c>
      <c r="M483">
        <v>263.7</v>
      </c>
      <c r="N483" s="3" t="str">
        <f t="shared" si="105"/>
        <v/>
      </c>
      <c r="O483" s="4" t="str">
        <f t="shared" si="105"/>
        <v/>
      </c>
      <c r="P483" s="4" t="str">
        <f t="shared" si="105"/>
        <v/>
      </c>
      <c r="Q483" s="4" t="str">
        <f t="shared" si="105"/>
        <v/>
      </c>
      <c r="R483" s="4" t="str">
        <f t="shared" si="105"/>
        <v/>
      </c>
      <c r="S483" s="4" t="str">
        <f t="shared" si="105"/>
        <v/>
      </c>
      <c r="T483" s="4" t="str">
        <f t="shared" si="105"/>
        <v/>
      </c>
      <c r="U483" s="4" t="str">
        <f t="shared" si="105"/>
        <v/>
      </c>
      <c r="V483" s="4" t="str">
        <f t="shared" si="97"/>
        <v/>
      </c>
      <c r="W483" s="4" t="str">
        <f t="shared" si="102"/>
        <v/>
      </c>
      <c r="X483" s="4" t="str">
        <f t="shared" si="102"/>
        <v/>
      </c>
      <c r="Y483" s="4" t="str">
        <f t="shared" si="102"/>
        <v/>
      </c>
      <c r="Z483" s="4" t="str">
        <f t="shared" si="102"/>
        <v/>
      </c>
      <c r="AA483" s="4" t="str">
        <f t="shared" si="102"/>
        <v/>
      </c>
      <c r="AB483" s="4" t="str">
        <f t="shared" si="102"/>
        <v/>
      </c>
      <c r="AC483" s="5" t="str">
        <f t="shared" si="102"/>
        <v/>
      </c>
      <c r="AD483" s="3" t="str">
        <f t="shared" si="106"/>
        <v/>
      </c>
      <c r="AE483" s="4" t="str">
        <f t="shared" si="106"/>
        <v/>
      </c>
      <c r="AF483" s="4" t="str">
        <f t="shared" si="106"/>
        <v/>
      </c>
      <c r="AG483" s="4">
        <f t="shared" si="106"/>
        <v>1</v>
      </c>
      <c r="AH483" s="4" t="str">
        <f t="shared" si="106"/>
        <v/>
      </c>
      <c r="AI483" s="4" t="str">
        <f t="shared" si="106"/>
        <v/>
      </c>
      <c r="AJ483" s="4" t="str">
        <f t="shared" si="106"/>
        <v/>
      </c>
      <c r="AK483" s="4" t="str">
        <f t="shared" si="106"/>
        <v/>
      </c>
      <c r="AL483" s="4" t="str">
        <f t="shared" si="99"/>
        <v/>
      </c>
      <c r="AM483" s="4" t="str">
        <f t="shared" si="103"/>
        <v/>
      </c>
      <c r="AN483" s="4" t="str">
        <f t="shared" si="103"/>
        <v/>
      </c>
      <c r="AO483" s="4" t="str">
        <f t="shared" si="103"/>
        <v/>
      </c>
      <c r="AP483" s="4" t="str">
        <f t="shared" si="103"/>
        <v/>
      </c>
      <c r="AQ483" s="4" t="str">
        <f t="shared" si="103"/>
        <v/>
      </c>
      <c r="AR483" s="4" t="str">
        <f t="shared" si="103"/>
        <v/>
      </c>
      <c r="AS483" s="5" t="str">
        <f t="shared" si="103"/>
        <v/>
      </c>
      <c r="AT483" s="3" t="str">
        <f t="shared" si="107"/>
        <v/>
      </c>
      <c r="AU483" s="4" t="str">
        <f t="shared" si="107"/>
        <v/>
      </c>
      <c r="AV483" s="4" t="str">
        <f t="shared" si="107"/>
        <v/>
      </c>
      <c r="AW483" s="4" t="str">
        <f t="shared" si="107"/>
        <v/>
      </c>
      <c r="AX483" s="4" t="str">
        <f t="shared" si="107"/>
        <v/>
      </c>
      <c r="AY483" s="4" t="str">
        <f t="shared" si="107"/>
        <v/>
      </c>
      <c r="AZ483" s="4" t="str">
        <f t="shared" si="107"/>
        <v/>
      </c>
      <c r="BA483" s="4" t="str">
        <f t="shared" si="107"/>
        <v/>
      </c>
      <c r="BB483" s="4" t="str">
        <f t="shared" si="101"/>
        <v/>
      </c>
      <c r="BC483" s="4" t="str">
        <f t="shared" si="104"/>
        <v/>
      </c>
      <c r="BD483" s="4" t="str">
        <f t="shared" si="104"/>
        <v/>
      </c>
      <c r="BE483" s="4" t="str">
        <f t="shared" si="104"/>
        <v/>
      </c>
      <c r="BF483" s="4" t="str">
        <f t="shared" si="104"/>
        <v/>
      </c>
      <c r="BG483" s="4" t="str">
        <f t="shared" si="104"/>
        <v/>
      </c>
      <c r="BH483" s="4" t="str">
        <f t="shared" si="104"/>
        <v/>
      </c>
      <c r="BI483" s="5" t="str">
        <f t="shared" si="104"/>
        <v/>
      </c>
    </row>
    <row r="484" spans="1:61" x14ac:dyDescent="0.25">
      <c r="A484">
        <v>469147</v>
      </c>
      <c r="B484" t="s">
        <v>15</v>
      </c>
      <c r="C484" t="s">
        <v>16</v>
      </c>
      <c r="D484">
        <v>64679</v>
      </c>
      <c r="E484">
        <v>314</v>
      </c>
      <c r="F484">
        <v>0</v>
      </c>
      <c r="G484">
        <v>20124</v>
      </c>
      <c r="H484" t="s">
        <v>0</v>
      </c>
      <c r="I484">
        <v>120</v>
      </c>
      <c r="J484">
        <v>2</v>
      </c>
      <c r="K484">
        <v>74.5</v>
      </c>
      <c r="L484">
        <v>74.5</v>
      </c>
      <c r="M484">
        <v>0</v>
      </c>
      <c r="N484" s="3" t="str">
        <f t="shared" si="105"/>
        <v/>
      </c>
      <c r="O484" s="4" t="str">
        <f t="shared" si="105"/>
        <v/>
      </c>
      <c r="P484" s="4" t="str">
        <f t="shared" si="105"/>
        <v/>
      </c>
      <c r="Q484" s="4" t="str">
        <f t="shared" si="105"/>
        <v/>
      </c>
      <c r="R484" s="4" t="str">
        <f t="shared" si="105"/>
        <v/>
      </c>
      <c r="S484" s="4" t="str">
        <f t="shared" si="105"/>
        <v/>
      </c>
      <c r="T484" s="4" t="str">
        <f t="shared" si="105"/>
        <v/>
      </c>
      <c r="U484" s="4" t="str">
        <f t="shared" si="105"/>
        <v/>
      </c>
      <c r="V484" s="4" t="str">
        <f t="shared" si="97"/>
        <v/>
      </c>
      <c r="W484" s="4" t="str">
        <f t="shared" si="102"/>
        <v/>
      </c>
      <c r="X484" s="4" t="str">
        <f t="shared" si="102"/>
        <v/>
      </c>
      <c r="Y484" s="4" t="str">
        <f t="shared" si="102"/>
        <v/>
      </c>
      <c r="Z484" s="4" t="str">
        <f t="shared" si="102"/>
        <v/>
      </c>
      <c r="AA484" s="4" t="str">
        <f t="shared" si="102"/>
        <v/>
      </c>
      <c r="AB484" s="4" t="str">
        <f t="shared" si="102"/>
        <v/>
      </c>
      <c r="AC484" s="5" t="str">
        <f t="shared" si="102"/>
        <v/>
      </c>
      <c r="AD484" s="3" t="str">
        <f t="shared" si="106"/>
        <v/>
      </c>
      <c r="AE484" s="4" t="str">
        <f t="shared" si="106"/>
        <v/>
      </c>
      <c r="AF484" s="4" t="str">
        <f t="shared" si="106"/>
        <v/>
      </c>
      <c r="AG484" s="4" t="str">
        <f t="shared" si="106"/>
        <v/>
      </c>
      <c r="AH484" s="4" t="str">
        <f t="shared" si="106"/>
        <v/>
      </c>
      <c r="AI484" s="4" t="str">
        <f t="shared" si="106"/>
        <v/>
      </c>
      <c r="AJ484" s="4" t="str">
        <f t="shared" si="106"/>
        <v/>
      </c>
      <c r="AK484" s="4">
        <f t="shared" si="106"/>
        <v>1</v>
      </c>
      <c r="AL484" s="4" t="str">
        <f t="shared" si="99"/>
        <v/>
      </c>
      <c r="AM484" s="4" t="str">
        <f t="shared" si="103"/>
        <v/>
      </c>
      <c r="AN484" s="4" t="str">
        <f t="shared" si="103"/>
        <v/>
      </c>
      <c r="AO484" s="4" t="str">
        <f t="shared" si="103"/>
        <v/>
      </c>
      <c r="AP484" s="4" t="str">
        <f t="shared" si="103"/>
        <v/>
      </c>
      <c r="AQ484" s="4" t="str">
        <f t="shared" si="103"/>
        <v/>
      </c>
      <c r="AR484" s="4" t="str">
        <f t="shared" si="103"/>
        <v/>
      </c>
      <c r="AS484" s="5" t="str">
        <f t="shared" si="103"/>
        <v/>
      </c>
      <c r="AT484" s="3" t="str">
        <f t="shared" si="107"/>
        <v/>
      </c>
      <c r="AU484" s="4" t="str">
        <f t="shared" si="107"/>
        <v/>
      </c>
      <c r="AV484" s="4" t="str">
        <f t="shared" si="107"/>
        <v/>
      </c>
      <c r="AW484" s="4" t="str">
        <f t="shared" si="107"/>
        <v/>
      </c>
      <c r="AX484" s="4" t="str">
        <f t="shared" si="107"/>
        <v/>
      </c>
      <c r="AY484" s="4" t="str">
        <f t="shared" si="107"/>
        <v/>
      </c>
      <c r="AZ484" s="4" t="str">
        <f t="shared" si="107"/>
        <v/>
      </c>
      <c r="BA484" s="4" t="str">
        <f t="shared" si="107"/>
        <v/>
      </c>
      <c r="BB484" s="4" t="str">
        <f t="shared" si="101"/>
        <v/>
      </c>
      <c r="BC484" s="4" t="str">
        <f t="shared" si="104"/>
        <v/>
      </c>
      <c r="BD484" s="4" t="str">
        <f t="shared" si="104"/>
        <v/>
      </c>
      <c r="BE484" s="4" t="str">
        <f t="shared" si="104"/>
        <v/>
      </c>
      <c r="BF484" s="4" t="str">
        <f t="shared" si="104"/>
        <v/>
      </c>
      <c r="BG484" s="4" t="str">
        <f t="shared" si="104"/>
        <v/>
      </c>
      <c r="BH484" s="4" t="str">
        <f t="shared" si="104"/>
        <v/>
      </c>
      <c r="BI484" s="5" t="str">
        <f t="shared" si="104"/>
        <v/>
      </c>
    </row>
    <row r="485" spans="1:61" x14ac:dyDescent="0.25">
      <c r="A485">
        <v>469148</v>
      </c>
      <c r="B485" t="s">
        <v>15</v>
      </c>
      <c r="C485" t="s">
        <v>16</v>
      </c>
      <c r="D485">
        <v>64679</v>
      </c>
      <c r="E485">
        <v>314</v>
      </c>
      <c r="F485">
        <v>1</v>
      </c>
      <c r="G485">
        <v>20123</v>
      </c>
      <c r="H485" t="s">
        <v>0</v>
      </c>
      <c r="I485">
        <v>150</v>
      </c>
      <c r="J485">
        <v>5</v>
      </c>
      <c r="K485">
        <v>134.13</v>
      </c>
      <c r="L485">
        <v>134.13</v>
      </c>
      <c r="M485">
        <v>0</v>
      </c>
      <c r="N485" s="3" t="str">
        <f t="shared" si="105"/>
        <v/>
      </c>
      <c r="O485" s="4" t="str">
        <f t="shared" si="105"/>
        <v/>
      </c>
      <c r="P485" s="4" t="str">
        <f t="shared" si="105"/>
        <v/>
      </c>
      <c r="Q485" s="4" t="str">
        <f t="shared" si="105"/>
        <v/>
      </c>
      <c r="R485" s="4" t="str">
        <f t="shared" si="105"/>
        <v/>
      </c>
      <c r="S485" s="4" t="str">
        <f t="shared" si="105"/>
        <v/>
      </c>
      <c r="T485" s="4" t="str">
        <f t="shared" si="105"/>
        <v/>
      </c>
      <c r="U485" s="4" t="str">
        <f t="shared" si="105"/>
        <v/>
      </c>
      <c r="V485" s="4" t="str">
        <f t="shared" si="97"/>
        <v/>
      </c>
      <c r="W485" s="4" t="str">
        <f t="shared" si="102"/>
        <v/>
      </c>
      <c r="X485" s="4" t="str">
        <f t="shared" si="102"/>
        <v/>
      </c>
      <c r="Y485" s="4" t="str">
        <f t="shared" si="102"/>
        <v/>
      </c>
      <c r="Z485" s="4" t="str">
        <f t="shared" si="102"/>
        <v/>
      </c>
      <c r="AA485" s="4" t="str">
        <f t="shared" si="102"/>
        <v/>
      </c>
      <c r="AB485" s="4" t="str">
        <f t="shared" si="102"/>
        <v/>
      </c>
      <c r="AC485" s="5" t="str">
        <f t="shared" si="102"/>
        <v/>
      </c>
      <c r="AD485" s="3" t="str">
        <f t="shared" si="106"/>
        <v/>
      </c>
      <c r="AE485" s="4" t="str">
        <f t="shared" si="106"/>
        <v/>
      </c>
      <c r="AF485" s="4" t="str">
        <f t="shared" si="106"/>
        <v/>
      </c>
      <c r="AG485" s="4" t="str">
        <f t="shared" si="106"/>
        <v/>
      </c>
      <c r="AH485" s="4" t="str">
        <f t="shared" si="106"/>
        <v/>
      </c>
      <c r="AI485" s="4" t="str">
        <f t="shared" si="106"/>
        <v/>
      </c>
      <c r="AJ485" s="4">
        <f t="shared" si="106"/>
        <v>1</v>
      </c>
      <c r="AK485" s="4" t="str">
        <f t="shared" si="106"/>
        <v/>
      </c>
      <c r="AL485" s="4" t="str">
        <f t="shared" si="99"/>
        <v/>
      </c>
      <c r="AM485" s="4" t="str">
        <f t="shared" si="103"/>
        <v/>
      </c>
      <c r="AN485" s="4" t="str">
        <f t="shared" si="103"/>
        <v/>
      </c>
      <c r="AO485" s="4" t="str">
        <f t="shared" si="103"/>
        <v/>
      </c>
      <c r="AP485" s="4" t="str">
        <f t="shared" si="103"/>
        <v/>
      </c>
      <c r="AQ485" s="4" t="str">
        <f t="shared" si="103"/>
        <v/>
      </c>
      <c r="AR485" s="4" t="str">
        <f t="shared" si="103"/>
        <v/>
      </c>
      <c r="AS485" s="5" t="str">
        <f t="shared" si="103"/>
        <v/>
      </c>
      <c r="AT485" s="3" t="str">
        <f t="shared" si="107"/>
        <v/>
      </c>
      <c r="AU485" s="4" t="str">
        <f t="shared" si="107"/>
        <v/>
      </c>
      <c r="AV485" s="4" t="str">
        <f t="shared" si="107"/>
        <v/>
      </c>
      <c r="AW485" s="4" t="str">
        <f t="shared" si="107"/>
        <v/>
      </c>
      <c r="AX485" s="4" t="str">
        <f t="shared" si="107"/>
        <v/>
      </c>
      <c r="AY485" s="4" t="str">
        <f t="shared" si="107"/>
        <v/>
      </c>
      <c r="AZ485" s="4" t="str">
        <f t="shared" si="107"/>
        <v/>
      </c>
      <c r="BA485" s="4" t="str">
        <f t="shared" si="107"/>
        <v/>
      </c>
      <c r="BB485" s="4" t="str">
        <f t="shared" si="101"/>
        <v/>
      </c>
      <c r="BC485" s="4" t="str">
        <f t="shared" si="104"/>
        <v/>
      </c>
      <c r="BD485" s="4" t="str">
        <f t="shared" si="104"/>
        <v/>
      </c>
      <c r="BE485" s="4" t="str">
        <f t="shared" si="104"/>
        <v/>
      </c>
      <c r="BF485" s="4" t="str">
        <f t="shared" si="104"/>
        <v/>
      </c>
      <c r="BG485" s="4" t="str">
        <f t="shared" si="104"/>
        <v/>
      </c>
      <c r="BH485" s="4" t="str">
        <f t="shared" si="104"/>
        <v/>
      </c>
      <c r="BI485" s="5" t="str">
        <f t="shared" si="104"/>
        <v/>
      </c>
    </row>
    <row r="486" spans="1:61" x14ac:dyDescent="0.25">
      <c r="A486">
        <v>469149</v>
      </c>
      <c r="B486" t="s">
        <v>15</v>
      </c>
      <c r="C486" t="s">
        <v>16</v>
      </c>
      <c r="D486">
        <v>64679</v>
      </c>
      <c r="E486">
        <v>314</v>
      </c>
      <c r="F486">
        <v>1</v>
      </c>
      <c r="G486">
        <v>20124</v>
      </c>
      <c r="H486" t="s">
        <v>0</v>
      </c>
      <c r="I486">
        <v>126719</v>
      </c>
      <c r="J486">
        <v>4060</v>
      </c>
      <c r="K486">
        <v>171891.48</v>
      </c>
      <c r="L486">
        <v>171604.36</v>
      </c>
      <c r="M486">
        <v>287.12</v>
      </c>
      <c r="N486" s="3" t="str">
        <f t="shared" si="105"/>
        <v/>
      </c>
      <c r="O486" s="4" t="str">
        <f t="shared" si="105"/>
        <v/>
      </c>
      <c r="P486" s="4" t="str">
        <f t="shared" si="105"/>
        <v/>
      </c>
      <c r="Q486" s="4" t="str">
        <f t="shared" si="105"/>
        <v/>
      </c>
      <c r="R486" s="4" t="str">
        <f t="shared" si="105"/>
        <v/>
      </c>
      <c r="S486" s="4" t="str">
        <f t="shared" si="105"/>
        <v/>
      </c>
      <c r="T486" s="4" t="str">
        <f t="shared" si="105"/>
        <v/>
      </c>
      <c r="U486" s="4" t="str">
        <f t="shared" si="105"/>
        <v/>
      </c>
      <c r="V486" s="4" t="str">
        <f t="shared" si="97"/>
        <v/>
      </c>
      <c r="W486" s="4" t="str">
        <f t="shared" si="102"/>
        <v/>
      </c>
      <c r="X486" s="4" t="str">
        <f t="shared" si="102"/>
        <v/>
      </c>
      <c r="Y486" s="4" t="str">
        <f t="shared" si="102"/>
        <v/>
      </c>
      <c r="Z486" s="4" t="str">
        <f t="shared" si="102"/>
        <v/>
      </c>
      <c r="AA486" s="4" t="str">
        <f t="shared" si="102"/>
        <v/>
      </c>
      <c r="AB486" s="4" t="str">
        <f t="shared" si="102"/>
        <v/>
      </c>
      <c r="AC486" s="5" t="str">
        <f t="shared" si="102"/>
        <v/>
      </c>
      <c r="AD486" s="3" t="str">
        <f t="shared" si="106"/>
        <v/>
      </c>
      <c r="AE486" s="4" t="str">
        <f t="shared" si="106"/>
        <v/>
      </c>
      <c r="AF486" s="4" t="str">
        <f t="shared" si="106"/>
        <v/>
      </c>
      <c r="AG486" s="4" t="str">
        <f t="shared" si="106"/>
        <v/>
      </c>
      <c r="AH486" s="4" t="str">
        <f t="shared" si="106"/>
        <v/>
      </c>
      <c r="AI486" s="4" t="str">
        <f t="shared" si="106"/>
        <v/>
      </c>
      <c r="AJ486" s="4" t="str">
        <f t="shared" si="106"/>
        <v/>
      </c>
      <c r="AK486" s="4">
        <f t="shared" si="106"/>
        <v>1</v>
      </c>
      <c r="AL486" s="4" t="str">
        <f t="shared" si="99"/>
        <v/>
      </c>
      <c r="AM486" s="4" t="str">
        <f t="shared" si="103"/>
        <v/>
      </c>
      <c r="AN486" s="4" t="str">
        <f t="shared" si="103"/>
        <v/>
      </c>
      <c r="AO486" s="4" t="str">
        <f t="shared" si="103"/>
        <v/>
      </c>
      <c r="AP486" s="4" t="str">
        <f t="shared" si="103"/>
        <v/>
      </c>
      <c r="AQ486" s="4" t="str">
        <f t="shared" si="103"/>
        <v/>
      </c>
      <c r="AR486" s="4" t="str">
        <f t="shared" si="103"/>
        <v/>
      </c>
      <c r="AS486" s="5" t="str">
        <f t="shared" si="103"/>
        <v/>
      </c>
      <c r="AT486" s="3" t="str">
        <f t="shared" si="107"/>
        <v/>
      </c>
      <c r="AU486" s="4" t="str">
        <f t="shared" si="107"/>
        <v/>
      </c>
      <c r="AV486" s="4" t="str">
        <f t="shared" si="107"/>
        <v/>
      </c>
      <c r="AW486" s="4" t="str">
        <f t="shared" si="107"/>
        <v/>
      </c>
      <c r="AX486" s="4" t="str">
        <f t="shared" si="107"/>
        <v/>
      </c>
      <c r="AY486" s="4" t="str">
        <f t="shared" si="107"/>
        <v/>
      </c>
      <c r="AZ486" s="4" t="str">
        <f t="shared" si="107"/>
        <v/>
      </c>
      <c r="BA486" s="4" t="str">
        <f t="shared" si="107"/>
        <v/>
      </c>
      <c r="BB486" s="4" t="str">
        <f t="shared" si="101"/>
        <v/>
      </c>
      <c r="BC486" s="4" t="str">
        <f t="shared" si="104"/>
        <v/>
      </c>
      <c r="BD486" s="4" t="str">
        <f t="shared" si="104"/>
        <v/>
      </c>
      <c r="BE486" s="4" t="str">
        <f t="shared" si="104"/>
        <v/>
      </c>
      <c r="BF486" s="4" t="str">
        <f t="shared" si="104"/>
        <v/>
      </c>
      <c r="BG486" s="4" t="str">
        <f t="shared" si="104"/>
        <v/>
      </c>
      <c r="BH486" s="4" t="str">
        <f t="shared" si="104"/>
        <v/>
      </c>
      <c r="BI486" s="5" t="str">
        <f t="shared" si="104"/>
        <v/>
      </c>
    </row>
    <row r="487" spans="1:61" x14ac:dyDescent="0.25">
      <c r="A487">
        <v>469150</v>
      </c>
      <c r="B487" t="s">
        <v>15</v>
      </c>
      <c r="C487" t="s">
        <v>16</v>
      </c>
      <c r="D487">
        <v>64679</v>
      </c>
      <c r="E487">
        <v>314</v>
      </c>
      <c r="F487">
        <v>2</v>
      </c>
      <c r="G487">
        <v>20123</v>
      </c>
      <c r="H487" t="s">
        <v>0</v>
      </c>
      <c r="I487">
        <v>61</v>
      </c>
      <c r="J487">
        <v>3</v>
      </c>
      <c r="K487">
        <v>60.74</v>
      </c>
      <c r="L487">
        <v>60.74</v>
      </c>
      <c r="M487">
        <v>0</v>
      </c>
      <c r="N487" s="3" t="str">
        <f t="shared" si="105"/>
        <v/>
      </c>
      <c r="O487" s="4" t="str">
        <f t="shared" si="105"/>
        <v/>
      </c>
      <c r="P487" s="4" t="str">
        <f t="shared" si="105"/>
        <v/>
      </c>
      <c r="Q487" s="4" t="str">
        <f t="shared" si="105"/>
        <v/>
      </c>
      <c r="R487" s="4" t="str">
        <f t="shared" si="105"/>
        <v/>
      </c>
      <c r="S487" s="4" t="str">
        <f t="shared" si="105"/>
        <v/>
      </c>
      <c r="T487" s="4" t="str">
        <f t="shared" si="105"/>
        <v/>
      </c>
      <c r="U487" s="4" t="str">
        <f t="shared" si="105"/>
        <v/>
      </c>
      <c r="V487" s="4" t="str">
        <f t="shared" si="97"/>
        <v/>
      </c>
      <c r="W487" s="4" t="str">
        <f t="shared" si="102"/>
        <v/>
      </c>
      <c r="X487" s="4" t="str">
        <f t="shared" si="102"/>
        <v/>
      </c>
      <c r="Y487" s="4" t="str">
        <f t="shared" si="102"/>
        <v/>
      </c>
      <c r="Z487" s="4" t="str">
        <f t="shared" si="102"/>
        <v/>
      </c>
      <c r="AA487" s="4" t="str">
        <f t="shared" si="102"/>
        <v/>
      </c>
      <c r="AB487" s="4" t="str">
        <f t="shared" si="102"/>
        <v/>
      </c>
      <c r="AC487" s="5" t="str">
        <f t="shared" si="102"/>
        <v/>
      </c>
      <c r="AD487" s="3" t="str">
        <f t="shared" si="106"/>
        <v/>
      </c>
      <c r="AE487" s="4" t="str">
        <f t="shared" si="106"/>
        <v/>
      </c>
      <c r="AF487" s="4" t="str">
        <f t="shared" si="106"/>
        <v/>
      </c>
      <c r="AG487" s="4" t="str">
        <f t="shared" si="106"/>
        <v/>
      </c>
      <c r="AH487" s="4" t="str">
        <f t="shared" si="106"/>
        <v/>
      </c>
      <c r="AI487" s="4" t="str">
        <f t="shared" si="106"/>
        <v/>
      </c>
      <c r="AJ487" s="4">
        <f t="shared" si="106"/>
        <v>1</v>
      </c>
      <c r="AK487" s="4" t="str">
        <f t="shared" si="106"/>
        <v/>
      </c>
      <c r="AL487" s="4" t="str">
        <f t="shared" si="99"/>
        <v/>
      </c>
      <c r="AM487" s="4" t="str">
        <f t="shared" si="103"/>
        <v/>
      </c>
      <c r="AN487" s="4" t="str">
        <f t="shared" si="103"/>
        <v/>
      </c>
      <c r="AO487" s="4" t="str">
        <f t="shared" si="103"/>
        <v/>
      </c>
      <c r="AP487" s="4" t="str">
        <f t="shared" si="103"/>
        <v/>
      </c>
      <c r="AQ487" s="4" t="str">
        <f t="shared" si="103"/>
        <v/>
      </c>
      <c r="AR487" s="4" t="str">
        <f t="shared" si="103"/>
        <v/>
      </c>
      <c r="AS487" s="5" t="str">
        <f t="shared" si="103"/>
        <v/>
      </c>
      <c r="AT487" s="3" t="str">
        <f t="shared" si="107"/>
        <v/>
      </c>
      <c r="AU487" s="4" t="str">
        <f t="shared" si="107"/>
        <v/>
      </c>
      <c r="AV487" s="4" t="str">
        <f t="shared" si="107"/>
        <v/>
      </c>
      <c r="AW487" s="4" t="str">
        <f t="shared" si="107"/>
        <v/>
      </c>
      <c r="AX487" s="4" t="str">
        <f t="shared" si="107"/>
        <v/>
      </c>
      <c r="AY487" s="4" t="str">
        <f t="shared" si="107"/>
        <v/>
      </c>
      <c r="AZ487" s="4" t="str">
        <f t="shared" si="107"/>
        <v/>
      </c>
      <c r="BA487" s="4" t="str">
        <f t="shared" si="107"/>
        <v/>
      </c>
      <c r="BB487" s="4" t="str">
        <f t="shared" si="101"/>
        <v/>
      </c>
      <c r="BC487" s="4" t="str">
        <f t="shared" si="104"/>
        <v/>
      </c>
      <c r="BD487" s="4" t="str">
        <f t="shared" si="104"/>
        <v/>
      </c>
      <c r="BE487" s="4" t="str">
        <f t="shared" si="104"/>
        <v/>
      </c>
      <c r="BF487" s="4" t="str">
        <f t="shared" si="104"/>
        <v/>
      </c>
      <c r="BG487" s="4" t="str">
        <f t="shared" si="104"/>
        <v/>
      </c>
      <c r="BH487" s="4" t="str">
        <f t="shared" si="104"/>
        <v/>
      </c>
      <c r="BI487" s="5" t="str">
        <f t="shared" si="104"/>
        <v/>
      </c>
    </row>
    <row r="488" spans="1:61" x14ac:dyDescent="0.25">
      <c r="A488">
        <v>469151</v>
      </c>
      <c r="B488" t="s">
        <v>15</v>
      </c>
      <c r="C488" t="s">
        <v>16</v>
      </c>
      <c r="D488">
        <v>64679</v>
      </c>
      <c r="E488">
        <v>314</v>
      </c>
      <c r="F488">
        <v>2</v>
      </c>
      <c r="G488">
        <v>20124</v>
      </c>
      <c r="H488" t="s">
        <v>0</v>
      </c>
      <c r="I488">
        <v>7902</v>
      </c>
      <c r="J488">
        <v>268</v>
      </c>
      <c r="K488">
        <v>11516.86</v>
      </c>
      <c r="L488">
        <v>11480.56</v>
      </c>
      <c r="M488">
        <v>36.299999999999997</v>
      </c>
      <c r="N488" s="3" t="str">
        <f t="shared" si="105"/>
        <v/>
      </c>
      <c r="O488" s="4" t="str">
        <f t="shared" si="105"/>
        <v/>
      </c>
      <c r="P488" s="4" t="str">
        <f t="shared" si="105"/>
        <v/>
      </c>
      <c r="Q488" s="4" t="str">
        <f t="shared" si="105"/>
        <v/>
      </c>
      <c r="R488" s="4" t="str">
        <f t="shared" si="105"/>
        <v/>
      </c>
      <c r="S488" s="4" t="str">
        <f t="shared" si="105"/>
        <v/>
      </c>
      <c r="T488" s="4" t="str">
        <f t="shared" si="105"/>
        <v/>
      </c>
      <c r="U488" s="4" t="str">
        <f t="shared" si="105"/>
        <v/>
      </c>
      <c r="V488" s="4" t="str">
        <f t="shared" si="97"/>
        <v/>
      </c>
      <c r="W488" s="4" t="str">
        <f t="shared" si="97"/>
        <v/>
      </c>
      <c r="X488" s="4" t="str">
        <f t="shared" si="97"/>
        <v/>
      </c>
      <c r="Y488" s="4" t="str">
        <f t="shared" si="97"/>
        <v/>
      </c>
      <c r="Z488" s="4" t="str">
        <f t="shared" si="97"/>
        <v/>
      </c>
      <c r="AA488" s="4" t="str">
        <f t="shared" si="97"/>
        <v/>
      </c>
      <c r="AB488" s="4" t="str">
        <f t="shared" si="97"/>
        <v/>
      </c>
      <c r="AC488" s="5" t="str">
        <f t="shared" si="97"/>
        <v/>
      </c>
      <c r="AD488" s="3" t="str">
        <f t="shared" si="106"/>
        <v/>
      </c>
      <c r="AE488" s="4" t="str">
        <f t="shared" si="106"/>
        <v/>
      </c>
      <c r="AF488" s="4" t="str">
        <f t="shared" si="106"/>
        <v/>
      </c>
      <c r="AG488" s="4" t="str">
        <f t="shared" si="106"/>
        <v/>
      </c>
      <c r="AH488" s="4" t="str">
        <f t="shared" si="106"/>
        <v/>
      </c>
      <c r="AI488" s="4" t="str">
        <f t="shared" si="106"/>
        <v/>
      </c>
      <c r="AJ488" s="4" t="str">
        <f t="shared" si="106"/>
        <v/>
      </c>
      <c r="AK488" s="4">
        <f t="shared" si="106"/>
        <v>1</v>
      </c>
      <c r="AL488" s="4" t="str">
        <f t="shared" si="99"/>
        <v/>
      </c>
      <c r="AM488" s="4" t="str">
        <f t="shared" si="99"/>
        <v/>
      </c>
      <c r="AN488" s="4" t="str">
        <f t="shared" si="99"/>
        <v/>
      </c>
      <c r="AO488" s="4" t="str">
        <f t="shared" si="99"/>
        <v/>
      </c>
      <c r="AP488" s="4" t="str">
        <f t="shared" si="99"/>
        <v/>
      </c>
      <c r="AQ488" s="4" t="str">
        <f t="shared" si="99"/>
        <v/>
      </c>
      <c r="AR488" s="4" t="str">
        <f t="shared" si="99"/>
        <v/>
      </c>
      <c r="AS488" s="5" t="str">
        <f t="shared" si="99"/>
        <v/>
      </c>
      <c r="AT488" s="3" t="str">
        <f t="shared" si="107"/>
        <v/>
      </c>
      <c r="AU488" s="4" t="str">
        <f t="shared" si="107"/>
        <v/>
      </c>
      <c r="AV488" s="4" t="str">
        <f t="shared" si="107"/>
        <v/>
      </c>
      <c r="AW488" s="4" t="str">
        <f t="shared" si="107"/>
        <v/>
      </c>
      <c r="AX488" s="4" t="str">
        <f t="shared" si="107"/>
        <v/>
      </c>
      <c r="AY488" s="4" t="str">
        <f t="shared" si="107"/>
        <v/>
      </c>
      <c r="AZ488" s="4" t="str">
        <f t="shared" si="107"/>
        <v/>
      </c>
      <c r="BA488" s="4" t="str">
        <f t="shared" si="107"/>
        <v/>
      </c>
      <c r="BB488" s="4" t="str">
        <f t="shared" si="101"/>
        <v/>
      </c>
      <c r="BC488" s="4" t="str">
        <f t="shared" si="101"/>
        <v/>
      </c>
      <c r="BD488" s="4" t="str">
        <f t="shared" si="101"/>
        <v/>
      </c>
      <c r="BE488" s="4" t="str">
        <f t="shared" si="101"/>
        <v/>
      </c>
      <c r="BF488" s="4" t="str">
        <f t="shared" si="101"/>
        <v/>
      </c>
      <c r="BG488" s="4" t="str">
        <f t="shared" si="101"/>
        <v/>
      </c>
      <c r="BH488" s="4" t="str">
        <f t="shared" si="101"/>
        <v/>
      </c>
      <c r="BI488" s="5" t="str">
        <f t="shared" si="101"/>
        <v/>
      </c>
    </row>
    <row r="489" spans="1:61" x14ac:dyDescent="0.25">
      <c r="A489">
        <v>594445</v>
      </c>
      <c r="B489" t="s">
        <v>14</v>
      </c>
      <c r="C489" t="s">
        <v>16</v>
      </c>
      <c r="D489">
        <v>64679</v>
      </c>
      <c r="E489">
        <v>314</v>
      </c>
      <c r="F489">
        <v>0</v>
      </c>
      <c r="G489">
        <v>20131</v>
      </c>
      <c r="H489" t="s">
        <v>0</v>
      </c>
      <c r="I489">
        <v>1739</v>
      </c>
      <c r="J489">
        <v>58</v>
      </c>
      <c r="K489">
        <v>951.52</v>
      </c>
      <c r="L489">
        <v>947.52</v>
      </c>
      <c r="M489">
        <v>4</v>
      </c>
      <c r="N489" s="3" t="str">
        <f t="shared" si="105"/>
        <v/>
      </c>
      <c r="O489" s="4" t="str">
        <f t="shared" si="105"/>
        <v/>
      </c>
      <c r="P489" s="4" t="str">
        <f t="shared" si="105"/>
        <v/>
      </c>
      <c r="Q489" s="4" t="str">
        <f t="shared" si="105"/>
        <v/>
      </c>
      <c r="R489" s="4" t="str">
        <f t="shared" si="105"/>
        <v/>
      </c>
      <c r="S489" s="4" t="str">
        <f t="shared" si="105"/>
        <v/>
      </c>
      <c r="T489" s="4" t="str">
        <f t="shared" si="105"/>
        <v/>
      </c>
      <c r="U489" s="4" t="str">
        <f t="shared" si="105"/>
        <v/>
      </c>
      <c r="V489" s="4" t="str">
        <f t="shared" ref="V489:AC520" si="108">IF(AND($B489=V$3, $G489=V$2, LEFT($H489, 6)=V$1), 1, "")</f>
        <v/>
      </c>
      <c r="W489" s="4" t="str">
        <f t="shared" si="108"/>
        <v/>
      </c>
      <c r="X489" s="4" t="str">
        <f t="shared" si="108"/>
        <v/>
      </c>
      <c r="Y489" s="4" t="str">
        <f t="shared" si="108"/>
        <v/>
      </c>
      <c r="Z489" s="4" t="str">
        <f t="shared" si="108"/>
        <v/>
      </c>
      <c r="AA489" s="4" t="str">
        <f t="shared" si="108"/>
        <v/>
      </c>
      <c r="AB489" s="4" t="str">
        <f t="shared" si="108"/>
        <v/>
      </c>
      <c r="AC489" s="5" t="str">
        <f t="shared" si="108"/>
        <v/>
      </c>
      <c r="AD489" s="3" t="str">
        <f t="shared" si="106"/>
        <v/>
      </c>
      <c r="AE489" s="4" t="str">
        <f t="shared" si="106"/>
        <v/>
      </c>
      <c r="AF489" s="4" t="str">
        <f t="shared" si="106"/>
        <v/>
      </c>
      <c r="AG489" s="4" t="str">
        <f t="shared" si="106"/>
        <v/>
      </c>
      <c r="AH489" s="4" t="str">
        <f t="shared" si="106"/>
        <v/>
      </c>
      <c r="AI489" s="4" t="str">
        <f t="shared" si="106"/>
        <v/>
      </c>
      <c r="AJ489" s="4" t="str">
        <f t="shared" si="106"/>
        <v/>
      </c>
      <c r="AK489" s="4" t="str">
        <f t="shared" si="106"/>
        <v/>
      </c>
      <c r="AL489" s="4" t="str">
        <f t="shared" ref="AL489:AS520" si="109">IF(AND($B489=AL$3, $G489=AL$2, LEFT($H489, 6)=AL$1), 1, "")</f>
        <v/>
      </c>
      <c r="AM489" s="4" t="str">
        <f t="shared" si="109"/>
        <v/>
      </c>
      <c r="AN489" s="4" t="str">
        <f t="shared" si="109"/>
        <v/>
      </c>
      <c r="AO489" s="4" t="str">
        <f t="shared" si="109"/>
        <v/>
      </c>
      <c r="AP489" s="4" t="str">
        <f t="shared" si="109"/>
        <v/>
      </c>
      <c r="AQ489" s="4" t="str">
        <f t="shared" si="109"/>
        <v/>
      </c>
      <c r="AR489" s="4" t="str">
        <f t="shared" si="109"/>
        <v/>
      </c>
      <c r="AS489" s="5" t="str">
        <f t="shared" si="109"/>
        <v/>
      </c>
      <c r="AT489" s="3">
        <f t="shared" si="107"/>
        <v>1</v>
      </c>
      <c r="AU489" s="4" t="str">
        <f t="shared" si="107"/>
        <v/>
      </c>
      <c r="AV489" s="4" t="str">
        <f t="shared" si="107"/>
        <v/>
      </c>
      <c r="AW489" s="4" t="str">
        <f t="shared" si="107"/>
        <v/>
      </c>
      <c r="AX489" s="4" t="str">
        <f t="shared" si="107"/>
        <v/>
      </c>
      <c r="AY489" s="4" t="str">
        <f t="shared" si="107"/>
        <v/>
      </c>
      <c r="AZ489" s="4" t="str">
        <f t="shared" si="107"/>
        <v/>
      </c>
      <c r="BA489" s="4" t="str">
        <f t="shared" si="107"/>
        <v/>
      </c>
      <c r="BB489" s="4" t="str">
        <f t="shared" ref="BB489:BI520" si="110">IF(AND($B489=BB$3, $G489=BB$2, LEFT($H489, 6)=BB$1), 1, "")</f>
        <v/>
      </c>
      <c r="BC489" s="4" t="str">
        <f t="shared" si="110"/>
        <v/>
      </c>
      <c r="BD489" s="4" t="str">
        <f t="shared" si="110"/>
        <v/>
      </c>
      <c r="BE489" s="4" t="str">
        <f t="shared" si="110"/>
        <v/>
      </c>
      <c r="BF489" s="4" t="str">
        <f t="shared" si="110"/>
        <v/>
      </c>
      <c r="BG489" s="4" t="str">
        <f t="shared" si="110"/>
        <v/>
      </c>
      <c r="BH489" s="4" t="str">
        <f t="shared" si="110"/>
        <v/>
      </c>
      <c r="BI489" s="5" t="str">
        <f t="shared" si="110"/>
        <v/>
      </c>
    </row>
    <row r="490" spans="1:61" x14ac:dyDescent="0.25">
      <c r="A490">
        <v>594446</v>
      </c>
      <c r="B490" t="s">
        <v>14</v>
      </c>
      <c r="C490" t="s">
        <v>16</v>
      </c>
      <c r="D490">
        <v>64679</v>
      </c>
      <c r="E490">
        <v>314</v>
      </c>
      <c r="F490">
        <v>0</v>
      </c>
      <c r="G490">
        <v>20132</v>
      </c>
      <c r="H490" t="s">
        <v>0</v>
      </c>
      <c r="I490">
        <v>1682</v>
      </c>
      <c r="J490">
        <v>56</v>
      </c>
      <c r="K490">
        <v>909.34</v>
      </c>
      <c r="L490">
        <v>909.34</v>
      </c>
      <c r="M490">
        <v>0</v>
      </c>
      <c r="N490" s="3" t="str">
        <f t="shared" si="105"/>
        <v/>
      </c>
      <c r="O490" s="4" t="str">
        <f t="shared" si="105"/>
        <v/>
      </c>
      <c r="P490" s="4" t="str">
        <f t="shared" si="105"/>
        <v/>
      </c>
      <c r="Q490" s="4" t="str">
        <f t="shared" si="105"/>
        <v/>
      </c>
      <c r="R490" s="4" t="str">
        <f t="shared" si="105"/>
        <v/>
      </c>
      <c r="S490" s="4" t="str">
        <f t="shared" si="105"/>
        <v/>
      </c>
      <c r="T490" s="4" t="str">
        <f t="shared" si="105"/>
        <v/>
      </c>
      <c r="U490" s="4" t="str">
        <f t="shared" si="105"/>
        <v/>
      </c>
      <c r="V490" s="4" t="str">
        <f t="shared" si="108"/>
        <v/>
      </c>
      <c r="W490" s="4" t="str">
        <f t="shared" si="108"/>
        <v/>
      </c>
      <c r="X490" s="4" t="str">
        <f t="shared" si="108"/>
        <v/>
      </c>
      <c r="Y490" s="4" t="str">
        <f t="shared" si="108"/>
        <v/>
      </c>
      <c r="Z490" s="4" t="str">
        <f t="shared" si="108"/>
        <v/>
      </c>
      <c r="AA490" s="4" t="str">
        <f t="shared" si="108"/>
        <v/>
      </c>
      <c r="AB490" s="4" t="str">
        <f t="shared" si="108"/>
        <v/>
      </c>
      <c r="AC490" s="5" t="str">
        <f t="shared" si="108"/>
        <v/>
      </c>
      <c r="AD490" s="3" t="str">
        <f t="shared" si="106"/>
        <v/>
      </c>
      <c r="AE490" s="4" t="str">
        <f t="shared" si="106"/>
        <v/>
      </c>
      <c r="AF490" s="4" t="str">
        <f t="shared" si="106"/>
        <v/>
      </c>
      <c r="AG490" s="4" t="str">
        <f t="shared" si="106"/>
        <v/>
      </c>
      <c r="AH490" s="4" t="str">
        <f t="shared" si="106"/>
        <v/>
      </c>
      <c r="AI490" s="4" t="str">
        <f t="shared" si="106"/>
        <v/>
      </c>
      <c r="AJ490" s="4" t="str">
        <f t="shared" si="106"/>
        <v/>
      </c>
      <c r="AK490" s="4" t="str">
        <f t="shared" si="106"/>
        <v/>
      </c>
      <c r="AL490" s="4" t="str">
        <f t="shared" si="109"/>
        <v/>
      </c>
      <c r="AM490" s="4" t="str">
        <f t="shared" si="109"/>
        <v/>
      </c>
      <c r="AN490" s="4" t="str">
        <f t="shared" si="109"/>
        <v/>
      </c>
      <c r="AO490" s="4" t="str">
        <f t="shared" si="109"/>
        <v/>
      </c>
      <c r="AP490" s="4" t="str">
        <f t="shared" si="109"/>
        <v/>
      </c>
      <c r="AQ490" s="4" t="str">
        <f t="shared" si="109"/>
        <v/>
      </c>
      <c r="AR490" s="4" t="str">
        <f t="shared" si="109"/>
        <v/>
      </c>
      <c r="AS490" s="5" t="str">
        <f t="shared" si="109"/>
        <v/>
      </c>
      <c r="AT490" s="3" t="str">
        <f t="shared" si="107"/>
        <v/>
      </c>
      <c r="AU490" s="4">
        <f t="shared" si="107"/>
        <v>1</v>
      </c>
      <c r="AV490" s="4" t="str">
        <f t="shared" si="107"/>
        <v/>
      </c>
      <c r="AW490" s="4" t="str">
        <f t="shared" si="107"/>
        <v/>
      </c>
      <c r="AX490" s="4" t="str">
        <f t="shared" si="107"/>
        <v/>
      </c>
      <c r="AY490" s="4" t="str">
        <f t="shared" si="107"/>
        <v/>
      </c>
      <c r="AZ490" s="4" t="str">
        <f t="shared" si="107"/>
        <v/>
      </c>
      <c r="BA490" s="4" t="str">
        <f t="shared" si="107"/>
        <v/>
      </c>
      <c r="BB490" s="4" t="str">
        <f t="shared" si="110"/>
        <v/>
      </c>
      <c r="BC490" s="4" t="str">
        <f t="shared" si="110"/>
        <v/>
      </c>
      <c r="BD490" s="4" t="str">
        <f t="shared" si="110"/>
        <v/>
      </c>
      <c r="BE490" s="4" t="str">
        <f t="shared" si="110"/>
        <v/>
      </c>
      <c r="BF490" s="4" t="str">
        <f t="shared" si="110"/>
        <v/>
      </c>
      <c r="BG490" s="4" t="str">
        <f t="shared" si="110"/>
        <v/>
      </c>
      <c r="BH490" s="4" t="str">
        <f t="shared" si="110"/>
        <v/>
      </c>
      <c r="BI490" s="5" t="str">
        <f t="shared" si="110"/>
        <v/>
      </c>
    </row>
    <row r="491" spans="1:61" x14ac:dyDescent="0.25">
      <c r="A491">
        <v>594447</v>
      </c>
      <c r="B491" t="s">
        <v>14</v>
      </c>
      <c r="C491" t="s">
        <v>16</v>
      </c>
      <c r="D491">
        <v>64679</v>
      </c>
      <c r="E491">
        <v>314</v>
      </c>
      <c r="F491">
        <v>0</v>
      </c>
      <c r="G491">
        <v>20133</v>
      </c>
      <c r="H491" t="s">
        <v>0</v>
      </c>
      <c r="I491">
        <v>1381</v>
      </c>
      <c r="J491">
        <v>46</v>
      </c>
      <c r="K491">
        <v>764.54</v>
      </c>
      <c r="L491">
        <v>764.54</v>
      </c>
      <c r="M491">
        <v>0</v>
      </c>
      <c r="N491" s="3" t="str">
        <f t="shared" si="105"/>
        <v/>
      </c>
      <c r="O491" s="4" t="str">
        <f t="shared" si="105"/>
        <v/>
      </c>
      <c r="P491" s="4" t="str">
        <f t="shared" si="105"/>
        <v/>
      </c>
      <c r="Q491" s="4" t="str">
        <f t="shared" si="105"/>
        <v/>
      </c>
      <c r="R491" s="4" t="str">
        <f t="shared" si="105"/>
        <v/>
      </c>
      <c r="S491" s="4" t="str">
        <f t="shared" si="105"/>
        <v/>
      </c>
      <c r="T491" s="4" t="str">
        <f t="shared" si="105"/>
        <v/>
      </c>
      <c r="U491" s="4" t="str">
        <f t="shared" si="105"/>
        <v/>
      </c>
      <c r="V491" s="4" t="str">
        <f t="shared" si="108"/>
        <v/>
      </c>
      <c r="W491" s="4" t="str">
        <f t="shared" si="108"/>
        <v/>
      </c>
      <c r="X491" s="4" t="str">
        <f t="shared" si="108"/>
        <v/>
      </c>
      <c r="Y491" s="4" t="str">
        <f t="shared" si="108"/>
        <v/>
      </c>
      <c r="Z491" s="4" t="str">
        <f t="shared" si="108"/>
        <v/>
      </c>
      <c r="AA491" s="4" t="str">
        <f t="shared" si="108"/>
        <v/>
      </c>
      <c r="AB491" s="4" t="str">
        <f t="shared" si="108"/>
        <v/>
      </c>
      <c r="AC491" s="5" t="str">
        <f t="shared" si="108"/>
        <v/>
      </c>
      <c r="AD491" s="3" t="str">
        <f t="shared" si="106"/>
        <v/>
      </c>
      <c r="AE491" s="4" t="str">
        <f t="shared" si="106"/>
        <v/>
      </c>
      <c r="AF491" s="4" t="str">
        <f t="shared" si="106"/>
        <v/>
      </c>
      <c r="AG491" s="4" t="str">
        <f t="shared" si="106"/>
        <v/>
      </c>
      <c r="AH491" s="4" t="str">
        <f t="shared" si="106"/>
        <v/>
      </c>
      <c r="AI491" s="4" t="str">
        <f t="shared" si="106"/>
        <v/>
      </c>
      <c r="AJ491" s="4" t="str">
        <f t="shared" si="106"/>
        <v/>
      </c>
      <c r="AK491" s="4" t="str">
        <f t="shared" si="106"/>
        <v/>
      </c>
      <c r="AL491" s="4" t="str">
        <f t="shared" si="109"/>
        <v/>
      </c>
      <c r="AM491" s="4" t="str">
        <f t="shared" si="109"/>
        <v/>
      </c>
      <c r="AN491" s="4" t="str">
        <f t="shared" si="109"/>
        <v/>
      </c>
      <c r="AO491" s="4" t="str">
        <f t="shared" si="109"/>
        <v/>
      </c>
      <c r="AP491" s="4" t="str">
        <f t="shared" si="109"/>
        <v/>
      </c>
      <c r="AQ491" s="4" t="str">
        <f t="shared" si="109"/>
        <v/>
      </c>
      <c r="AR491" s="4" t="str">
        <f t="shared" si="109"/>
        <v/>
      </c>
      <c r="AS491" s="5" t="str">
        <f t="shared" si="109"/>
        <v/>
      </c>
      <c r="AT491" s="3" t="str">
        <f t="shared" si="107"/>
        <v/>
      </c>
      <c r="AU491" s="4" t="str">
        <f t="shared" si="107"/>
        <v/>
      </c>
      <c r="AV491" s="4">
        <f t="shared" si="107"/>
        <v>1</v>
      </c>
      <c r="AW491" s="4" t="str">
        <f t="shared" si="107"/>
        <v/>
      </c>
      <c r="AX491" s="4" t="str">
        <f t="shared" si="107"/>
        <v/>
      </c>
      <c r="AY491" s="4" t="str">
        <f t="shared" si="107"/>
        <v/>
      </c>
      <c r="AZ491" s="4" t="str">
        <f t="shared" si="107"/>
        <v/>
      </c>
      <c r="BA491" s="4" t="str">
        <f t="shared" si="107"/>
        <v/>
      </c>
      <c r="BB491" s="4" t="str">
        <f t="shared" si="110"/>
        <v/>
      </c>
      <c r="BC491" s="4" t="str">
        <f t="shared" si="110"/>
        <v/>
      </c>
      <c r="BD491" s="4" t="str">
        <f t="shared" si="110"/>
        <v/>
      </c>
      <c r="BE491" s="4" t="str">
        <f t="shared" si="110"/>
        <v/>
      </c>
      <c r="BF491" s="4" t="str">
        <f t="shared" si="110"/>
        <v/>
      </c>
      <c r="BG491" s="4" t="str">
        <f t="shared" si="110"/>
        <v/>
      </c>
      <c r="BH491" s="4" t="str">
        <f t="shared" si="110"/>
        <v/>
      </c>
      <c r="BI491" s="5" t="str">
        <f t="shared" si="110"/>
        <v/>
      </c>
    </row>
    <row r="492" spans="1:61" x14ac:dyDescent="0.25">
      <c r="A492">
        <v>594448</v>
      </c>
      <c r="B492" t="s">
        <v>14</v>
      </c>
      <c r="C492" t="s">
        <v>16</v>
      </c>
      <c r="D492">
        <v>64679</v>
      </c>
      <c r="E492">
        <v>314</v>
      </c>
      <c r="F492">
        <v>0</v>
      </c>
      <c r="G492">
        <v>20134</v>
      </c>
      <c r="H492" t="s">
        <v>0</v>
      </c>
      <c r="I492">
        <v>1680</v>
      </c>
      <c r="J492">
        <v>56</v>
      </c>
      <c r="K492">
        <v>908.34</v>
      </c>
      <c r="L492">
        <v>908.34</v>
      </c>
      <c r="M492">
        <v>0</v>
      </c>
      <c r="N492" s="3" t="str">
        <f t="shared" si="105"/>
        <v/>
      </c>
      <c r="O492" s="4" t="str">
        <f t="shared" si="105"/>
        <v/>
      </c>
      <c r="P492" s="4" t="str">
        <f t="shared" si="105"/>
        <v/>
      </c>
      <c r="Q492" s="4" t="str">
        <f t="shared" si="105"/>
        <v/>
      </c>
      <c r="R492" s="4" t="str">
        <f t="shared" si="105"/>
        <v/>
      </c>
      <c r="S492" s="4" t="str">
        <f t="shared" si="105"/>
        <v/>
      </c>
      <c r="T492" s="4" t="str">
        <f t="shared" si="105"/>
        <v/>
      </c>
      <c r="U492" s="4" t="str">
        <f t="shared" si="105"/>
        <v/>
      </c>
      <c r="V492" s="4" t="str">
        <f t="shared" si="108"/>
        <v/>
      </c>
      <c r="W492" s="4" t="str">
        <f t="shared" si="108"/>
        <v/>
      </c>
      <c r="X492" s="4" t="str">
        <f t="shared" si="108"/>
        <v/>
      </c>
      <c r="Y492" s="4" t="str">
        <f t="shared" si="108"/>
        <v/>
      </c>
      <c r="Z492" s="4" t="str">
        <f t="shared" si="108"/>
        <v/>
      </c>
      <c r="AA492" s="4" t="str">
        <f t="shared" si="108"/>
        <v/>
      </c>
      <c r="AB492" s="4" t="str">
        <f t="shared" si="108"/>
        <v/>
      </c>
      <c r="AC492" s="5" t="str">
        <f t="shared" si="108"/>
        <v/>
      </c>
      <c r="AD492" s="3" t="str">
        <f t="shared" si="106"/>
        <v/>
      </c>
      <c r="AE492" s="4" t="str">
        <f t="shared" si="106"/>
        <v/>
      </c>
      <c r="AF492" s="4" t="str">
        <f t="shared" si="106"/>
        <v/>
      </c>
      <c r="AG492" s="4" t="str">
        <f t="shared" si="106"/>
        <v/>
      </c>
      <c r="AH492" s="4" t="str">
        <f t="shared" si="106"/>
        <v/>
      </c>
      <c r="AI492" s="4" t="str">
        <f t="shared" si="106"/>
        <v/>
      </c>
      <c r="AJ492" s="4" t="str">
        <f t="shared" si="106"/>
        <v/>
      </c>
      <c r="AK492" s="4" t="str">
        <f t="shared" si="106"/>
        <v/>
      </c>
      <c r="AL492" s="4" t="str">
        <f t="shared" si="109"/>
        <v/>
      </c>
      <c r="AM492" s="4" t="str">
        <f t="shared" si="109"/>
        <v/>
      </c>
      <c r="AN492" s="4" t="str">
        <f t="shared" si="109"/>
        <v/>
      </c>
      <c r="AO492" s="4" t="str">
        <f t="shared" si="109"/>
        <v/>
      </c>
      <c r="AP492" s="4" t="str">
        <f t="shared" si="109"/>
        <v/>
      </c>
      <c r="AQ492" s="4" t="str">
        <f t="shared" si="109"/>
        <v/>
      </c>
      <c r="AR492" s="4" t="str">
        <f t="shared" si="109"/>
        <v/>
      </c>
      <c r="AS492" s="5" t="str">
        <f t="shared" si="109"/>
        <v/>
      </c>
      <c r="AT492" s="3" t="str">
        <f t="shared" si="107"/>
        <v/>
      </c>
      <c r="AU492" s="4" t="str">
        <f t="shared" si="107"/>
        <v/>
      </c>
      <c r="AV492" s="4" t="str">
        <f t="shared" si="107"/>
        <v/>
      </c>
      <c r="AW492" s="4">
        <f t="shared" si="107"/>
        <v>1</v>
      </c>
      <c r="AX492" s="4" t="str">
        <f t="shared" si="107"/>
        <v/>
      </c>
      <c r="AY492" s="4" t="str">
        <f t="shared" si="107"/>
        <v/>
      </c>
      <c r="AZ492" s="4" t="str">
        <f t="shared" si="107"/>
        <v/>
      </c>
      <c r="BA492" s="4" t="str">
        <f t="shared" si="107"/>
        <v/>
      </c>
      <c r="BB492" s="4" t="str">
        <f t="shared" si="110"/>
        <v/>
      </c>
      <c r="BC492" s="4" t="str">
        <f t="shared" si="110"/>
        <v/>
      </c>
      <c r="BD492" s="4" t="str">
        <f t="shared" si="110"/>
        <v/>
      </c>
      <c r="BE492" s="4" t="str">
        <f t="shared" si="110"/>
        <v/>
      </c>
      <c r="BF492" s="4" t="str">
        <f t="shared" si="110"/>
        <v/>
      </c>
      <c r="BG492" s="4" t="str">
        <f t="shared" si="110"/>
        <v/>
      </c>
      <c r="BH492" s="4" t="str">
        <f t="shared" si="110"/>
        <v/>
      </c>
      <c r="BI492" s="5" t="str">
        <f t="shared" si="110"/>
        <v/>
      </c>
    </row>
    <row r="493" spans="1:61" x14ac:dyDescent="0.25">
      <c r="A493">
        <v>594449</v>
      </c>
      <c r="B493" t="s">
        <v>14</v>
      </c>
      <c r="C493" t="s">
        <v>16</v>
      </c>
      <c r="D493">
        <v>64679</v>
      </c>
      <c r="E493">
        <v>314</v>
      </c>
      <c r="F493">
        <v>1</v>
      </c>
      <c r="G493">
        <v>20131</v>
      </c>
      <c r="H493" t="s">
        <v>0</v>
      </c>
      <c r="I493">
        <v>218280</v>
      </c>
      <c r="J493">
        <v>6871</v>
      </c>
      <c r="K493">
        <v>86183.77</v>
      </c>
      <c r="L493">
        <v>73774.89</v>
      </c>
      <c r="M493">
        <v>12408.88</v>
      </c>
      <c r="N493" s="3" t="str">
        <f t="shared" si="105"/>
        <v/>
      </c>
      <c r="O493" s="4" t="str">
        <f t="shared" si="105"/>
        <v/>
      </c>
      <c r="P493" s="4" t="str">
        <f t="shared" si="105"/>
        <v/>
      </c>
      <c r="Q493" s="4" t="str">
        <f t="shared" si="105"/>
        <v/>
      </c>
      <c r="R493" s="4" t="str">
        <f t="shared" si="105"/>
        <v/>
      </c>
      <c r="S493" s="4" t="str">
        <f t="shared" si="105"/>
        <v/>
      </c>
      <c r="T493" s="4" t="str">
        <f t="shared" si="105"/>
        <v/>
      </c>
      <c r="U493" s="4" t="str">
        <f t="shared" si="105"/>
        <v/>
      </c>
      <c r="V493" s="4" t="str">
        <f t="shared" si="108"/>
        <v/>
      </c>
      <c r="W493" s="4" t="str">
        <f t="shared" si="108"/>
        <v/>
      </c>
      <c r="X493" s="4" t="str">
        <f t="shared" si="108"/>
        <v/>
      </c>
      <c r="Y493" s="4" t="str">
        <f t="shared" si="108"/>
        <v/>
      </c>
      <c r="Z493" s="4" t="str">
        <f t="shared" si="108"/>
        <v/>
      </c>
      <c r="AA493" s="4" t="str">
        <f t="shared" si="108"/>
        <v/>
      </c>
      <c r="AB493" s="4" t="str">
        <f t="shared" si="108"/>
        <v/>
      </c>
      <c r="AC493" s="5" t="str">
        <f t="shared" si="108"/>
        <v/>
      </c>
      <c r="AD493" s="3" t="str">
        <f t="shared" si="106"/>
        <v/>
      </c>
      <c r="AE493" s="4" t="str">
        <f t="shared" si="106"/>
        <v/>
      </c>
      <c r="AF493" s="4" t="str">
        <f t="shared" si="106"/>
        <v/>
      </c>
      <c r="AG493" s="4" t="str">
        <f t="shared" si="106"/>
        <v/>
      </c>
      <c r="AH493" s="4" t="str">
        <f t="shared" si="106"/>
        <v/>
      </c>
      <c r="AI493" s="4" t="str">
        <f t="shared" si="106"/>
        <v/>
      </c>
      <c r="AJ493" s="4" t="str">
        <f t="shared" si="106"/>
        <v/>
      </c>
      <c r="AK493" s="4" t="str">
        <f t="shared" si="106"/>
        <v/>
      </c>
      <c r="AL493" s="4" t="str">
        <f t="shared" si="109"/>
        <v/>
      </c>
      <c r="AM493" s="4" t="str">
        <f t="shared" si="109"/>
        <v/>
      </c>
      <c r="AN493" s="4" t="str">
        <f t="shared" si="109"/>
        <v/>
      </c>
      <c r="AO493" s="4" t="str">
        <f t="shared" si="109"/>
        <v/>
      </c>
      <c r="AP493" s="4" t="str">
        <f t="shared" si="109"/>
        <v/>
      </c>
      <c r="AQ493" s="4" t="str">
        <f t="shared" si="109"/>
        <v/>
      </c>
      <c r="AR493" s="4" t="str">
        <f t="shared" si="109"/>
        <v/>
      </c>
      <c r="AS493" s="5" t="str">
        <f t="shared" si="109"/>
        <v/>
      </c>
      <c r="AT493" s="3">
        <f t="shared" si="107"/>
        <v>1</v>
      </c>
      <c r="AU493" s="4" t="str">
        <f t="shared" si="107"/>
        <v/>
      </c>
      <c r="AV493" s="4" t="str">
        <f t="shared" si="107"/>
        <v/>
      </c>
      <c r="AW493" s="4" t="str">
        <f t="shared" si="107"/>
        <v/>
      </c>
      <c r="AX493" s="4" t="str">
        <f t="shared" si="107"/>
        <v/>
      </c>
      <c r="AY493" s="4" t="str">
        <f t="shared" si="107"/>
        <v/>
      </c>
      <c r="AZ493" s="4" t="str">
        <f t="shared" si="107"/>
        <v/>
      </c>
      <c r="BA493" s="4" t="str">
        <f t="shared" si="107"/>
        <v/>
      </c>
      <c r="BB493" s="4" t="str">
        <f t="shared" si="110"/>
        <v/>
      </c>
      <c r="BC493" s="4" t="str">
        <f t="shared" si="110"/>
        <v/>
      </c>
      <c r="BD493" s="4" t="str">
        <f t="shared" si="110"/>
        <v/>
      </c>
      <c r="BE493" s="4" t="str">
        <f t="shared" si="110"/>
        <v/>
      </c>
      <c r="BF493" s="4" t="str">
        <f t="shared" si="110"/>
        <v/>
      </c>
      <c r="BG493" s="4" t="str">
        <f t="shared" si="110"/>
        <v/>
      </c>
      <c r="BH493" s="4" t="str">
        <f t="shared" si="110"/>
        <v/>
      </c>
      <c r="BI493" s="5" t="str">
        <f t="shared" si="110"/>
        <v/>
      </c>
    </row>
    <row r="494" spans="1:61" x14ac:dyDescent="0.25">
      <c r="A494">
        <v>594450</v>
      </c>
      <c r="B494" t="s">
        <v>14</v>
      </c>
      <c r="C494" t="s">
        <v>16</v>
      </c>
      <c r="D494">
        <v>64679</v>
      </c>
      <c r="E494">
        <v>314</v>
      </c>
      <c r="F494">
        <v>1</v>
      </c>
      <c r="G494">
        <v>20132</v>
      </c>
      <c r="H494" t="s">
        <v>0</v>
      </c>
      <c r="I494">
        <v>214010</v>
      </c>
      <c r="J494">
        <v>6743</v>
      </c>
      <c r="K494">
        <v>80328.710000000006</v>
      </c>
      <c r="L494">
        <v>69960.23</v>
      </c>
      <c r="M494">
        <v>10368.48</v>
      </c>
      <c r="N494" s="3" t="str">
        <f t="shared" si="105"/>
        <v/>
      </c>
      <c r="O494" s="4" t="str">
        <f t="shared" si="105"/>
        <v/>
      </c>
      <c r="P494" s="4" t="str">
        <f t="shared" si="105"/>
        <v/>
      </c>
      <c r="Q494" s="4" t="str">
        <f t="shared" si="105"/>
        <v/>
      </c>
      <c r="R494" s="4" t="str">
        <f t="shared" si="105"/>
        <v/>
      </c>
      <c r="S494" s="4" t="str">
        <f t="shared" si="105"/>
        <v/>
      </c>
      <c r="T494" s="4" t="str">
        <f t="shared" si="105"/>
        <v/>
      </c>
      <c r="U494" s="4" t="str">
        <f t="shared" si="105"/>
        <v/>
      </c>
      <c r="V494" s="4" t="str">
        <f t="shared" si="108"/>
        <v/>
      </c>
      <c r="W494" s="4" t="str">
        <f t="shared" si="108"/>
        <v/>
      </c>
      <c r="X494" s="4" t="str">
        <f t="shared" si="108"/>
        <v/>
      </c>
      <c r="Y494" s="4" t="str">
        <f t="shared" si="108"/>
        <v/>
      </c>
      <c r="Z494" s="4" t="str">
        <f t="shared" si="108"/>
        <v/>
      </c>
      <c r="AA494" s="4" t="str">
        <f t="shared" si="108"/>
        <v/>
      </c>
      <c r="AB494" s="4" t="str">
        <f t="shared" si="108"/>
        <v/>
      </c>
      <c r="AC494" s="5" t="str">
        <f t="shared" si="108"/>
        <v/>
      </c>
      <c r="AD494" s="3" t="str">
        <f t="shared" si="106"/>
        <v/>
      </c>
      <c r="AE494" s="4" t="str">
        <f t="shared" si="106"/>
        <v/>
      </c>
      <c r="AF494" s="4" t="str">
        <f t="shared" si="106"/>
        <v/>
      </c>
      <c r="AG494" s="4" t="str">
        <f t="shared" si="106"/>
        <v/>
      </c>
      <c r="AH494" s="4" t="str">
        <f t="shared" si="106"/>
        <v/>
      </c>
      <c r="AI494" s="4" t="str">
        <f t="shared" si="106"/>
        <v/>
      </c>
      <c r="AJ494" s="4" t="str">
        <f t="shared" si="106"/>
        <v/>
      </c>
      <c r="AK494" s="4" t="str">
        <f t="shared" si="106"/>
        <v/>
      </c>
      <c r="AL494" s="4" t="str">
        <f t="shared" si="109"/>
        <v/>
      </c>
      <c r="AM494" s="4" t="str">
        <f t="shared" si="109"/>
        <v/>
      </c>
      <c r="AN494" s="4" t="str">
        <f t="shared" si="109"/>
        <v/>
      </c>
      <c r="AO494" s="4" t="str">
        <f t="shared" si="109"/>
        <v/>
      </c>
      <c r="AP494" s="4" t="str">
        <f t="shared" si="109"/>
        <v/>
      </c>
      <c r="AQ494" s="4" t="str">
        <f t="shared" si="109"/>
        <v/>
      </c>
      <c r="AR494" s="4" t="str">
        <f t="shared" si="109"/>
        <v/>
      </c>
      <c r="AS494" s="5" t="str">
        <f t="shared" si="109"/>
        <v/>
      </c>
      <c r="AT494" s="3" t="str">
        <f t="shared" si="107"/>
        <v/>
      </c>
      <c r="AU494" s="4">
        <f t="shared" si="107"/>
        <v>1</v>
      </c>
      <c r="AV494" s="4" t="str">
        <f t="shared" si="107"/>
        <v/>
      </c>
      <c r="AW494" s="4" t="str">
        <f t="shared" si="107"/>
        <v/>
      </c>
      <c r="AX494" s="4" t="str">
        <f t="shared" si="107"/>
        <v/>
      </c>
      <c r="AY494" s="4" t="str">
        <f t="shared" si="107"/>
        <v/>
      </c>
      <c r="AZ494" s="4" t="str">
        <f t="shared" si="107"/>
        <v/>
      </c>
      <c r="BA494" s="4" t="str">
        <f t="shared" si="107"/>
        <v/>
      </c>
      <c r="BB494" s="4" t="str">
        <f t="shared" si="110"/>
        <v/>
      </c>
      <c r="BC494" s="4" t="str">
        <f t="shared" si="110"/>
        <v/>
      </c>
      <c r="BD494" s="4" t="str">
        <f t="shared" si="110"/>
        <v/>
      </c>
      <c r="BE494" s="4" t="str">
        <f t="shared" si="110"/>
        <v/>
      </c>
      <c r="BF494" s="4" t="str">
        <f t="shared" si="110"/>
        <v/>
      </c>
      <c r="BG494" s="4" t="str">
        <f t="shared" si="110"/>
        <v/>
      </c>
      <c r="BH494" s="4" t="str">
        <f t="shared" si="110"/>
        <v/>
      </c>
      <c r="BI494" s="5" t="str">
        <f t="shared" si="110"/>
        <v/>
      </c>
    </row>
    <row r="495" spans="1:61" x14ac:dyDescent="0.25">
      <c r="A495">
        <v>594451</v>
      </c>
      <c r="B495" t="s">
        <v>14</v>
      </c>
      <c r="C495" t="s">
        <v>16</v>
      </c>
      <c r="D495">
        <v>64679</v>
      </c>
      <c r="E495">
        <v>314</v>
      </c>
      <c r="F495">
        <v>1</v>
      </c>
      <c r="G495">
        <v>20133</v>
      </c>
      <c r="H495" t="s">
        <v>0</v>
      </c>
      <c r="I495">
        <v>170144.666</v>
      </c>
      <c r="J495">
        <v>5385</v>
      </c>
      <c r="K495">
        <v>62487.47</v>
      </c>
      <c r="L495">
        <v>57819.54</v>
      </c>
      <c r="M495">
        <v>4667.93</v>
      </c>
      <c r="N495" s="3" t="str">
        <f t="shared" si="105"/>
        <v/>
      </c>
      <c r="O495" s="4" t="str">
        <f t="shared" si="105"/>
        <v/>
      </c>
      <c r="P495" s="4" t="str">
        <f t="shared" si="105"/>
        <v/>
      </c>
      <c r="Q495" s="4" t="str">
        <f t="shared" si="105"/>
        <v/>
      </c>
      <c r="R495" s="4" t="str">
        <f t="shared" si="105"/>
        <v/>
      </c>
      <c r="S495" s="4" t="str">
        <f t="shared" si="105"/>
        <v/>
      </c>
      <c r="T495" s="4" t="str">
        <f t="shared" si="105"/>
        <v/>
      </c>
      <c r="U495" s="4" t="str">
        <f t="shared" si="105"/>
        <v/>
      </c>
      <c r="V495" s="4" t="str">
        <f t="shared" si="108"/>
        <v/>
      </c>
      <c r="W495" s="4" t="str">
        <f t="shared" si="108"/>
        <v/>
      </c>
      <c r="X495" s="4" t="str">
        <f t="shared" si="108"/>
        <v/>
      </c>
      <c r="Y495" s="4" t="str">
        <f t="shared" si="108"/>
        <v/>
      </c>
      <c r="Z495" s="4" t="str">
        <f t="shared" si="108"/>
        <v/>
      </c>
      <c r="AA495" s="4" t="str">
        <f t="shared" si="108"/>
        <v/>
      </c>
      <c r="AB495" s="4" t="str">
        <f t="shared" si="108"/>
        <v/>
      </c>
      <c r="AC495" s="5" t="str">
        <f t="shared" si="108"/>
        <v/>
      </c>
      <c r="AD495" s="3" t="str">
        <f t="shared" si="106"/>
        <v/>
      </c>
      <c r="AE495" s="4" t="str">
        <f t="shared" si="106"/>
        <v/>
      </c>
      <c r="AF495" s="4" t="str">
        <f t="shared" si="106"/>
        <v/>
      </c>
      <c r="AG495" s="4" t="str">
        <f t="shared" si="106"/>
        <v/>
      </c>
      <c r="AH495" s="4" t="str">
        <f t="shared" si="106"/>
        <v/>
      </c>
      <c r="AI495" s="4" t="str">
        <f t="shared" si="106"/>
        <v/>
      </c>
      <c r="AJ495" s="4" t="str">
        <f t="shared" si="106"/>
        <v/>
      </c>
      <c r="AK495" s="4" t="str">
        <f t="shared" si="106"/>
        <v/>
      </c>
      <c r="AL495" s="4" t="str">
        <f t="shared" si="109"/>
        <v/>
      </c>
      <c r="AM495" s="4" t="str">
        <f t="shared" si="109"/>
        <v/>
      </c>
      <c r="AN495" s="4" t="str">
        <f t="shared" si="109"/>
        <v/>
      </c>
      <c r="AO495" s="4" t="str">
        <f t="shared" si="109"/>
        <v/>
      </c>
      <c r="AP495" s="4" t="str">
        <f t="shared" si="109"/>
        <v/>
      </c>
      <c r="AQ495" s="4" t="str">
        <f t="shared" si="109"/>
        <v/>
      </c>
      <c r="AR495" s="4" t="str">
        <f t="shared" si="109"/>
        <v/>
      </c>
      <c r="AS495" s="5" t="str">
        <f t="shared" si="109"/>
        <v/>
      </c>
      <c r="AT495" s="3" t="str">
        <f t="shared" si="107"/>
        <v/>
      </c>
      <c r="AU495" s="4" t="str">
        <f t="shared" si="107"/>
        <v/>
      </c>
      <c r="AV495" s="4">
        <f t="shared" si="107"/>
        <v>1</v>
      </c>
      <c r="AW495" s="4" t="str">
        <f t="shared" si="107"/>
        <v/>
      </c>
      <c r="AX495" s="4" t="str">
        <f t="shared" si="107"/>
        <v/>
      </c>
      <c r="AY495" s="4" t="str">
        <f t="shared" si="107"/>
        <v/>
      </c>
      <c r="AZ495" s="4" t="str">
        <f t="shared" si="107"/>
        <v/>
      </c>
      <c r="BA495" s="4" t="str">
        <f t="shared" si="107"/>
        <v/>
      </c>
      <c r="BB495" s="4" t="str">
        <f t="shared" si="110"/>
        <v/>
      </c>
      <c r="BC495" s="4" t="str">
        <f t="shared" si="110"/>
        <v/>
      </c>
      <c r="BD495" s="4" t="str">
        <f t="shared" si="110"/>
        <v/>
      </c>
      <c r="BE495" s="4" t="str">
        <f t="shared" si="110"/>
        <v/>
      </c>
      <c r="BF495" s="4" t="str">
        <f t="shared" si="110"/>
        <v/>
      </c>
      <c r="BG495" s="4" t="str">
        <f t="shared" si="110"/>
        <v/>
      </c>
      <c r="BH495" s="4" t="str">
        <f t="shared" si="110"/>
        <v/>
      </c>
      <c r="BI495" s="5" t="str">
        <f t="shared" si="110"/>
        <v/>
      </c>
    </row>
    <row r="496" spans="1:61" x14ac:dyDescent="0.25">
      <c r="A496">
        <v>594452</v>
      </c>
      <c r="B496" t="s">
        <v>14</v>
      </c>
      <c r="C496" t="s">
        <v>16</v>
      </c>
      <c r="D496">
        <v>64679</v>
      </c>
      <c r="E496">
        <v>314</v>
      </c>
      <c r="F496">
        <v>1</v>
      </c>
      <c r="G496">
        <v>20134</v>
      </c>
      <c r="H496" t="s">
        <v>0</v>
      </c>
      <c r="I496">
        <v>69997</v>
      </c>
      <c r="J496">
        <v>2310</v>
      </c>
      <c r="K496">
        <v>18969.27</v>
      </c>
      <c r="L496">
        <v>18115.16</v>
      </c>
      <c r="M496">
        <v>854.11</v>
      </c>
      <c r="N496" s="3" t="str">
        <f t="shared" si="105"/>
        <v/>
      </c>
      <c r="O496" s="4" t="str">
        <f t="shared" si="105"/>
        <v/>
      </c>
      <c r="P496" s="4" t="str">
        <f t="shared" si="105"/>
        <v/>
      </c>
      <c r="Q496" s="4" t="str">
        <f t="shared" si="105"/>
        <v/>
      </c>
      <c r="R496" s="4" t="str">
        <f t="shared" si="105"/>
        <v/>
      </c>
      <c r="S496" s="4" t="str">
        <f t="shared" si="105"/>
        <v/>
      </c>
      <c r="T496" s="4" t="str">
        <f t="shared" si="105"/>
        <v/>
      </c>
      <c r="U496" s="4" t="str">
        <f t="shared" si="105"/>
        <v/>
      </c>
      <c r="V496" s="4" t="str">
        <f t="shared" si="108"/>
        <v/>
      </c>
      <c r="W496" s="4" t="str">
        <f t="shared" si="108"/>
        <v/>
      </c>
      <c r="X496" s="4" t="str">
        <f t="shared" si="108"/>
        <v/>
      </c>
      <c r="Y496" s="4" t="str">
        <f t="shared" si="108"/>
        <v/>
      </c>
      <c r="Z496" s="4" t="str">
        <f t="shared" si="108"/>
        <v/>
      </c>
      <c r="AA496" s="4" t="str">
        <f t="shared" si="108"/>
        <v/>
      </c>
      <c r="AB496" s="4" t="str">
        <f t="shared" si="108"/>
        <v/>
      </c>
      <c r="AC496" s="5" t="str">
        <f t="shared" si="108"/>
        <v/>
      </c>
      <c r="AD496" s="3" t="str">
        <f t="shared" si="106"/>
        <v/>
      </c>
      <c r="AE496" s="4" t="str">
        <f t="shared" si="106"/>
        <v/>
      </c>
      <c r="AF496" s="4" t="str">
        <f t="shared" si="106"/>
        <v/>
      </c>
      <c r="AG496" s="4" t="str">
        <f t="shared" si="106"/>
        <v/>
      </c>
      <c r="AH496" s="4" t="str">
        <f t="shared" si="106"/>
        <v/>
      </c>
      <c r="AI496" s="4" t="str">
        <f t="shared" si="106"/>
        <v/>
      </c>
      <c r="AJ496" s="4" t="str">
        <f t="shared" si="106"/>
        <v/>
      </c>
      <c r="AK496" s="4" t="str">
        <f t="shared" si="106"/>
        <v/>
      </c>
      <c r="AL496" s="4" t="str">
        <f t="shared" si="109"/>
        <v/>
      </c>
      <c r="AM496" s="4" t="str">
        <f t="shared" si="109"/>
        <v/>
      </c>
      <c r="AN496" s="4" t="str">
        <f t="shared" si="109"/>
        <v/>
      </c>
      <c r="AO496" s="4" t="str">
        <f t="shared" si="109"/>
        <v/>
      </c>
      <c r="AP496" s="4" t="str">
        <f t="shared" si="109"/>
        <v/>
      </c>
      <c r="AQ496" s="4" t="str">
        <f t="shared" si="109"/>
        <v/>
      </c>
      <c r="AR496" s="4" t="str">
        <f t="shared" si="109"/>
        <v/>
      </c>
      <c r="AS496" s="5" t="str">
        <f t="shared" si="109"/>
        <v/>
      </c>
      <c r="AT496" s="3" t="str">
        <f t="shared" si="107"/>
        <v/>
      </c>
      <c r="AU496" s="4" t="str">
        <f t="shared" si="107"/>
        <v/>
      </c>
      <c r="AV496" s="4" t="str">
        <f t="shared" si="107"/>
        <v/>
      </c>
      <c r="AW496" s="4">
        <f t="shared" si="107"/>
        <v>1</v>
      </c>
      <c r="AX496" s="4" t="str">
        <f t="shared" si="107"/>
        <v/>
      </c>
      <c r="AY496" s="4" t="str">
        <f t="shared" si="107"/>
        <v/>
      </c>
      <c r="AZ496" s="4" t="str">
        <f t="shared" si="107"/>
        <v/>
      </c>
      <c r="BA496" s="4" t="str">
        <f t="shared" si="107"/>
        <v/>
      </c>
      <c r="BB496" s="4" t="str">
        <f t="shared" si="110"/>
        <v/>
      </c>
      <c r="BC496" s="4" t="str">
        <f t="shared" si="110"/>
        <v/>
      </c>
      <c r="BD496" s="4" t="str">
        <f t="shared" si="110"/>
        <v/>
      </c>
      <c r="BE496" s="4" t="str">
        <f t="shared" si="110"/>
        <v/>
      </c>
      <c r="BF496" s="4" t="str">
        <f t="shared" si="110"/>
        <v/>
      </c>
      <c r="BG496" s="4" t="str">
        <f t="shared" si="110"/>
        <v/>
      </c>
      <c r="BH496" s="4" t="str">
        <f t="shared" si="110"/>
        <v/>
      </c>
      <c r="BI496" s="5" t="str">
        <f t="shared" si="110"/>
        <v/>
      </c>
    </row>
    <row r="497" spans="1:61" x14ac:dyDescent="0.25">
      <c r="A497">
        <v>594453</v>
      </c>
      <c r="B497" t="s">
        <v>14</v>
      </c>
      <c r="C497" t="s">
        <v>16</v>
      </c>
      <c r="D497">
        <v>64679</v>
      </c>
      <c r="E497">
        <v>314</v>
      </c>
      <c r="F497">
        <v>2</v>
      </c>
      <c r="G497">
        <v>20131</v>
      </c>
      <c r="H497" t="s">
        <v>0</v>
      </c>
      <c r="I497">
        <v>28439</v>
      </c>
      <c r="J497">
        <v>931</v>
      </c>
      <c r="K497">
        <v>11966.53</v>
      </c>
      <c r="L497">
        <v>10836.12</v>
      </c>
      <c r="M497">
        <v>1130.4100000000001</v>
      </c>
      <c r="N497" s="3" t="str">
        <f t="shared" si="105"/>
        <v/>
      </c>
      <c r="O497" s="4" t="str">
        <f t="shared" si="105"/>
        <v/>
      </c>
      <c r="P497" s="4" t="str">
        <f t="shared" si="105"/>
        <v/>
      </c>
      <c r="Q497" s="4" t="str">
        <f t="shared" si="105"/>
        <v/>
      </c>
      <c r="R497" s="4" t="str">
        <f t="shared" si="105"/>
        <v/>
      </c>
      <c r="S497" s="4" t="str">
        <f t="shared" si="105"/>
        <v/>
      </c>
      <c r="T497" s="4" t="str">
        <f t="shared" si="105"/>
        <v/>
      </c>
      <c r="U497" s="4" t="str">
        <f t="shared" si="105"/>
        <v/>
      </c>
      <c r="V497" s="4" t="str">
        <f t="shared" si="108"/>
        <v/>
      </c>
      <c r="W497" s="4" t="str">
        <f t="shared" si="108"/>
        <v/>
      </c>
      <c r="X497" s="4" t="str">
        <f t="shared" si="108"/>
        <v/>
      </c>
      <c r="Y497" s="4" t="str">
        <f t="shared" si="108"/>
        <v/>
      </c>
      <c r="Z497" s="4" t="str">
        <f t="shared" si="108"/>
        <v/>
      </c>
      <c r="AA497" s="4" t="str">
        <f t="shared" si="108"/>
        <v/>
      </c>
      <c r="AB497" s="4" t="str">
        <f t="shared" si="108"/>
        <v/>
      </c>
      <c r="AC497" s="5" t="str">
        <f t="shared" si="108"/>
        <v/>
      </c>
      <c r="AD497" s="3" t="str">
        <f t="shared" si="106"/>
        <v/>
      </c>
      <c r="AE497" s="4" t="str">
        <f t="shared" si="106"/>
        <v/>
      </c>
      <c r="AF497" s="4" t="str">
        <f t="shared" si="106"/>
        <v/>
      </c>
      <c r="AG497" s="4" t="str">
        <f t="shared" si="106"/>
        <v/>
      </c>
      <c r="AH497" s="4" t="str">
        <f t="shared" si="106"/>
        <v/>
      </c>
      <c r="AI497" s="4" t="str">
        <f t="shared" si="106"/>
        <v/>
      </c>
      <c r="AJ497" s="4" t="str">
        <f t="shared" si="106"/>
        <v/>
      </c>
      <c r="AK497" s="4" t="str">
        <f t="shared" si="106"/>
        <v/>
      </c>
      <c r="AL497" s="4" t="str">
        <f t="shared" si="109"/>
        <v/>
      </c>
      <c r="AM497" s="4" t="str">
        <f t="shared" si="109"/>
        <v/>
      </c>
      <c r="AN497" s="4" t="str">
        <f t="shared" si="109"/>
        <v/>
      </c>
      <c r="AO497" s="4" t="str">
        <f t="shared" si="109"/>
        <v/>
      </c>
      <c r="AP497" s="4" t="str">
        <f t="shared" si="109"/>
        <v/>
      </c>
      <c r="AQ497" s="4" t="str">
        <f t="shared" si="109"/>
        <v/>
      </c>
      <c r="AR497" s="4" t="str">
        <f t="shared" si="109"/>
        <v/>
      </c>
      <c r="AS497" s="5" t="str">
        <f t="shared" si="109"/>
        <v/>
      </c>
      <c r="AT497" s="3">
        <f t="shared" si="107"/>
        <v>1</v>
      </c>
      <c r="AU497" s="4" t="str">
        <f t="shared" si="107"/>
        <v/>
      </c>
      <c r="AV497" s="4" t="str">
        <f t="shared" si="107"/>
        <v/>
      </c>
      <c r="AW497" s="4" t="str">
        <f t="shared" si="107"/>
        <v/>
      </c>
      <c r="AX497" s="4" t="str">
        <f t="shared" si="107"/>
        <v/>
      </c>
      <c r="AY497" s="4" t="str">
        <f t="shared" si="107"/>
        <v/>
      </c>
      <c r="AZ497" s="4" t="str">
        <f t="shared" si="107"/>
        <v/>
      </c>
      <c r="BA497" s="4" t="str">
        <f t="shared" si="107"/>
        <v/>
      </c>
      <c r="BB497" s="4" t="str">
        <f t="shared" si="110"/>
        <v/>
      </c>
      <c r="BC497" s="4" t="str">
        <f t="shared" si="110"/>
        <v/>
      </c>
      <c r="BD497" s="4" t="str">
        <f t="shared" si="110"/>
        <v/>
      </c>
      <c r="BE497" s="4" t="str">
        <f t="shared" si="110"/>
        <v/>
      </c>
      <c r="BF497" s="4" t="str">
        <f t="shared" si="110"/>
        <v/>
      </c>
      <c r="BG497" s="4" t="str">
        <f t="shared" si="110"/>
        <v/>
      </c>
      <c r="BH497" s="4" t="str">
        <f t="shared" si="110"/>
        <v/>
      </c>
      <c r="BI497" s="5" t="str">
        <f t="shared" si="110"/>
        <v/>
      </c>
    </row>
    <row r="498" spans="1:61" x14ac:dyDescent="0.25">
      <c r="A498">
        <v>594454</v>
      </c>
      <c r="B498" t="s">
        <v>14</v>
      </c>
      <c r="C498" t="s">
        <v>16</v>
      </c>
      <c r="D498">
        <v>64679</v>
      </c>
      <c r="E498">
        <v>314</v>
      </c>
      <c r="F498">
        <v>2</v>
      </c>
      <c r="G498">
        <v>20132</v>
      </c>
      <c r="H498" t="s">
        <v>0</v>
      </c>
      <c r="I498">
        <v>38751</v>
      </c>
      <c r="J498">
        <v>1245</v>
      </c>
      <c r="K498">
        <v>17727.61</v>
      </c>
      <c r="L498">
        <v>15506.83</v>
      </c>
      <c r="M498">
        <v>2220.7800000000002</v>
      </c>
      <c r="N498" s="3" t="str">
        <f t="shared" si="105"/>
        <v/>
      </c>
      <c r="O498" s="4" t="str">
        <f t="shared" ref="N498:U529" si="111">IF(AND($B498=O$3, $G498=O$2, $H498=O$1), 1, "")</f>
        <v/>
      </c>
      <c r="P498" s="4" t="str">
        <f t="shared" si="111"/>
        <v/>
      </c>
      <c r="Q498" s="4" t="str">
        <f t="shared" si="111"/>
        <v/>
      </c>
      <c r="R498" s="4" t="str">
        <f t="shared" si="111"/>
        <v/>
      </c>
      <c r="S498" s="4" t="str">
        <f t="shared" si="111"/>
        <v/>
      </c>
      <c r="T498" s="4" t="str">
        <f t="shared" si="111"/>
        <v/>
      </c>
      <c r="U498" s="4" t="str">
        <f t="shared" si="111"/>
        <v/>
      </c>
      <c r="V498" s="4" t="str">
        <f t="shared" si="108"/>
        <v/>
      </c>
      <c r="W498" s="4" t="str">
        <f t="shared" si="108"/>
        <v/>
      </c>
      <c r="X498" s="4" t="str">
        <f t="shared" si="108"/>
        <v/>
      </c>
      <c r="Y498" s="4" t="str">
        <f t="shared" si="108"/>
        <v/>
      </c>
      <c r="Z498" s="4" t="str">
        <f t="shared" si="108"/>
        <v/>
      </c>
      <c r="AA498" s="4" t="str">
        <f t="shared" si="108"/>
        <v/>
      </c>
      <c r="AB498" s="4" t="str">
        <f t="shared" si="108"/>
        <v/>
      </c>
      <c r="AC498" s="5" t="str">
        <f t="shared" si="108"/>
        <v/>
      </c>
      <c r="AD498" s="3" t="str">
        <f t="shared" si="106"/>
        <v/>
      </c>
      <c r="AE498" s="4" t="str">
        <f t="shared" ref="AD498:AK529" si="112">IF(AND($B498=AE$3, $G498=AE$2, $H498=AE$1), 1, "")</f>
        <v/>
      </c>
      <c r="AF498" s="4" t="str">
        <f t="shared" si="112"/>
        <v/>
      </c>
      <c r="AG498" s="4" t="str">
        <f t="shared" si="112"/>
        <v/>
      </c>
      <c r="AH498" s="4" t="str">
        <f t="shared" si="112"/>
        <v/>
      </c>
      <c r="AI498" s="4" t="str">
        <f t="shared" si="112"/>
        <v/>
      </c>
      <c r="AJ498" s="4" t="str">
        <f t="shared" si="112"/>
        <v/>
      </c>
      <c r="AK498" s="4" t="str">
        <f t="shared" si="112"/>
        <v/>
      </c>
      <c r="AL498" s="4" t="str">
        <f t="shared" si="109"/>
        <v/>
      </c>
      <c r="AM498" s="4" t="str">
        <f t="shared" si="109"/>
        <v/>
      </c>
      <c r="AN498" s="4" t="str">
        <f t="shared" si="109"/>
        <v/>
      </c>
      <c r="AO498" s="4" t="str">
        <f t="shared" si="109"/>
        <v/>
      </c>
      <c r="AP498" s="4" t="str">
        <f t="shared" si="109"/>
        <v/>
      </c>
      <c r="AQ498" s="4" t="str">
        <f t="shared" si="109"/>
        <v/>
      </c>
      <c r="AR498" s="4" t="str">
        <f t="shared" si="109"/>
        <v/>
      </c>
      <c r="AS498" s="5" t="str">
        <f t="shared" si="109"/>
        <v/>
      </c>
      <c r="AT498" s="3" t="str">
        <f t="shared" si="107"/>
        <v/>
      </c>
      <c r="AU498" s="4">
        <f t="shared" ref="AT498:BA529" si="113">IF(AND($B498=AU$3, $G498=AU$2, $H498=AU$1), 1, "")</f>
        <v>1</v>
      </c>
      <c r="AV498" s="4" t="str">
        <f t="shared" si="113"/>
        <v/>
      </c>
      <c r="AW498" s="4" t="str">
        <f t="shared" si="113"/>
        <v/>
      </c>
      <c r="AX498" s="4" t="str">
        <f t="shared" si="113"/>
        <v/>
      </c>
      <c r="AY498" s="4" t="str">
        <f t="shared" si="113"/>
        <v/>
      </c>
      <c r="AZ498" s="4" t="str">
        <f t="shared" si="113"/>
        <v/>
      </c>
      <c r="BA498" s="4" t="str">
        <f t="shared" si="113"/>
        <v/>
      </c>
      <c r="BB498" s="4" t="str">
        <f t="shared" si="110"/>
        <v/>
      </c>
      <c r="BC498" s="4" t="str">
        <f t="shared" si="110"/>
        <v/>
      </c>
      <c r="BD498" s="4" t="str">
        <f t="shared" si="110"/>
        <v/>
      </c>
      <c r="BE498" s="4" t="str">
        <f t="shared" si="110"/>
        <v/>
      </c>
      <c r="BF498" s="4" t="str">
        <f t="shared" si="110"/>
        <v/>
      </c>
      <c r="BG498" s="4" t="str">
        <f t="shared" si="110"/>
        <v/>
      </c>
      <c r="BH498" s="4" t="str">
        <f t="shared" si="110"/>
        <v/>
      </c>
      <c r="BI498" s="5" t="str">
        <f t="shared" si="110"/>
        <v/>
      </c>
    </row>
    <row r="499" spans="1:61" x14ac:dyDescent="0.25">
      <c r="A499">
        <v>594455</v>
      </c>
      <c r="B499" t="s">
        <v>14</v>
      </c>
      <c r="C499" t="s">
        <v>16</v>
      </c>
      <c r="D499">
        <v>64679</v>
      </c>
      <c r="E499">
        <v>314</v>
      </c>
      <c r="F499">
        <v>2</v>
      </c>
      <c r="G499">
        <v>20133</v>
      </c>
      <c r="H499" t="s">
        <v>0</v>
      </c>
      <c r="I499">
        <v>31083</v>
      </c>
      <c r="J499">
        <v>984</v>
      </c>
      <c r="K499">
        <v>14869.1</v>
      </c>
      <c r="L499">
        <v>14361.53</v>
      </c>
      <c r="M499">
        <v>507.57</v>
      </c>
      <c r="N499" s="3" t="str">
        <f t="shared" si="111"/>
        <v/>
      </c>
      <c r="O499" s="4" t="str">
        <f t="shared" si="111"/>
        <v/>
      </c>
      <c r="P499" s="4" t="str">
        <f t="shared" si="111"/>
        <v/>
      </c>
      <c r="Q499" s="4" t="str">
        <f t="shared" si="111"/>
        <v/>
      </c>
      <c r="R499" s="4" t="str">
        <f t="shared" si="111"/>
        <v/>
      </c>
      <c r="S499" s="4" t="str">
        <f t="shared" si="111"/>
        <v/>
      </c>
      <c r="T499" s="4" t="str">
        <f t="shared" si="111"/>
        <v/>
      </c>
      <c r="U499" s="4" t="str">
        <f t="shared" si="111"/>
        <v/>
      </c>
      <c r="V499" s="4" t="str">
        <f t="shared" si="108"/>
        <v/>
      </c>
      <c r="W499" s="4" t="str">
        <f t="shared" si="108"/>
        <v/>
      </c>
      <c r="X499" s="4" t="str">
        <f t="shared" si="108"/>
        <v/>
      </c>
      <c r="Y499" s="4" t="str">
        <f t="shared" si="108"/>
        <v/>
      </c>
      <c r="Z499" s="4" t="str">
        <f t="shared" si="108"/>
        <v/>
      </c>
      <c r="AA499" s="4" t="str">
        <f t="shared" si="108"/>
        <v/>
      </c>
      <c r="AB499" s="4" t="str">
        <f t="shared" si="108"/>
        <v/>
      </c>
      <c r="AC499" s="5" t="str">
        <f t="shared" si="108"/>
        <v/>
      </c>
      <c r="AD499" s="3" t="str">
        <f t="shared" si="112"/>
        <v/>
      </c>
      <c r="AE499" s="4" t="str">
        <f t="shared" si="112"/>
        <v/>
      </c>
      <c r="AF499" s="4" t="str">
        <f t="shared" si="112"/>
        <v/>
      </c>
      <c r="AG499" s="4" t="str">
        <f t="shared" si="112"/>
        <v/>
      </c>
      <c r="AH499" s="4" t="str">
        <f t="shared" si="112"/>
        <v/>
      </c>
      <c r="AI499" s="4" t="str">
        <f t="shared" si="112"/>
        <v/>
      </c>
      <c r="AJ499" s="4" t="str">
        <f t="shared" si="112"/>
        <v/>
      </c>
      <c r="AK499" s="4" t="str">
        <f t="shared" si="112"/>
        <v/>
      </c>
      <c r="AL499" s="4" t="str">
        <f t="shared" si="109"/>
        <v/>
      </c>
      <c r="AM499" s="4" t="str">
        <f t="shared" si="109"/>
        <v/>
      </c>
      <c r="AN499" s="4" t="str">
        <f t="shared" si="109"/>
        <v/>
      </c>
      <c r="AO499" s="4" t="str">
        <f t="shared" si="109"/>
        <v/>
      </c>
      <c r="AP499" s="4" t="str">
        <f t="shared" si="109"/>
        <v/>
      </c>
      <c r="AQ499" s="4" t="str">
        <f t="shared" si="109"/>
        <v/>
      </c>
      <c r="AR499" s="4" t="str">
        <f t="shared" si="109"/>
        <v/>
      </c>
      <c r="AS499" s="5" t="str">
        <f t="shared" si="109"/>
        <v/>
      </c>
      <c r="AT499" s="3" t="str">
        <f t="shared" si="113"/>
        <v/>
      </c>
      <c r="AU499" s="4" t="str">
        <f t="shared" si="113"/>
        <v/>
      </c>
      <c r="AV499" s="4">
        <f t="shared" si="113"/>
        <v>1</v>
      </c>
      <c r="AW499" s="4" t="str">
        <f t="shared" si="113"/>
        <v/>
      </c>
      <c r="AX499" s="4" t="str">
        <f t="shared" si="113"/>
        <v/>
      </c>
      <c r="AY499" s="4" t="str">
        <f t="shared" si="113"/>
        <v/>
      </c>
      <c r="AZ499" s="4" t="str">
        <f t="shared" si="113"/>
        <v/>
      </c>
      <c r="BA499" s="4" t="str">
        <f t="shared" si="113"/>
        <v/>
      </c>
      <c r="BB499" s="4" t="str">
        <f t="shared" si="110"/>
        <v/>
      </c>
      <c r="BC499" s="4" t="str">
        <f t="shared" si="110"/>
        <v/>
      </c>
      <c r="BD499" s="4" t="str">
        <f t="shared" si="110"/>
        <v/>
      </c>
      <c r="BE499" s="4" t="str">
        <f t="shared" si="110"/>
        <v/>
      </c>
      <c r="BF499" s="4" t="str">
        <f t="shared" si="110"/>
        <v/>
      </c>
      <c r="BG499" s="4" t="str">
        <f t="shared" si="110"/>
        <v/>
      </c>
      <c r="BH499" s="4" t="str">
        <f t="shared" si="110"/>
        <v/>
      </c>
      <c r="BI499" s="5" t="str">
        <f t="shared" si="110"/>
        <v/>
      </c>
    </row>
    <row r="500" spans="1:61" x14ac:dyDescent="0.25">
      <c r="A500">
        <v>594456</v>
      </c>
      <c r="B500" t="s">
        <v>14</v>
      </c>
      <c r="C500" t="s">
        <v>16</v>
      </c>
      <c r="D500">
        <v>64679</v>
      </c>
      <c r="E500">
        <v>314</v>
      </c>
      <c r="F500">
        <v>2</v>
      </c>
      <c r="G500">
        <v>20134</v>
      </c>
      <c r="H500" t="s">
        <v>0</v>
      </c>
      <c r="I500">
        <v>8224</v>
      </c>
      <c r="J500">
        <v>273</v>
      </c>
      <c r="K500">
        <v>3406.14</v>
      </c>
      <c r="L500">
        <v>3247.51</v>
      </c>
      <c r="M500">
        <v>158.63</v>
      </c>
      <c r="N500" s="3" t="str">
        <f t="shared" si="111"/>
        <v/>
      </c>
      <c r="O500" s="4" t="str">
        <f t="shared" si="111"/>
        <v/>
      </c>
      <c r="P500" s="4" t="str">
        <f t="shared" si="111"/>
        <v/>
      </c>
      <c r="Q500" s="4" t="str">
        <f t="shared" si="111"/>
        <v/>
      </c>
      <c r="R500" s="4" t="str">
        <f t="shared" si="111"/>
        <v/>
      </c>
      <c r="S500" s="4" t="str">
        <f t="shared" si="111"/>
        <v/>
      </c>
      <c r="T500" s="4" t="str">
        <f t="shared" si="111"/>
        <v/>
      </c>
      <c r="U500" s="4" t="str">
        <f t="shared" si="111"/>
        <v/>
      </c>
      <c r="V500" s="4" t="str">
        <f t="shared" si="108"/>
        <v/>
      </c>
      <c r="W500" s="4" t="str">
        <f t="shared" si="108"/>
        <v/>
      </c>
      <c r="X500" s="4" t="str">
        <f t="shared" si="108"/>
        <v/>
      </c>
      <c r="Y500" s="4" t="str">
        <f t="shared" si="108"/>
        <v/>
      </c>
      <c r="Z500" s="4" t="str">
        <f t="shared" si="108"/>
        <v/>
      </c>
      <c r="AA500" s="4" t="str">
        <f t="shared" si="108"/>
        <v/>
      </c>
      <c r="AB500" s="4" t="str">
        <f t="shared" si="108"/>
        <v/>
      </c>
      <c r="AC500" s="5" t="str">
        <f t="shared" si="108"/>
        <v/>
      </c>
      <c r="AD500" s="3" t="str">
        <f t="shared" si="112"/>
        <v/>
      </c>
      <c r="AE500" s="4" t="str">
        <f t="shared" si="112"/>
        <v/>
      </c>
      <c r="AF500" s="4" t="str">
        <f t="shared" si="112"/>
        <v/>
      </c>
      <c r="AG500" s="4" t="str">
        <f t="shared" si="112"/>
        <v/>
      </c>
      <c r="AH500" s="4" t="str">
        <f t="shared" si="112"/>
        <v/>
      </c>
      <c r="AI500" s="4" t="str">
        <f t="shared" si="112"/>
        <v/>
      </c>
      <c r="AJ500" s="4" t="str">
        <f t="shared" si="112"/>
        <v/>
      </c>
      <c r="AK500" s="4" t="str">
        <f t="shared" si="112"/>
        <v/>
      </c>
      <c r="AL500" s="4" t="str">
        <f t="shared" si="109"/>
        <v/>
      </c>
      <c r="AM500" s="4" t="str">
        <f t="shared" si="109"/>
        <v/>
      </c>
      <c r="AN500" s="4" t="str">
        <f t="shared" si="109"/>
        <v/>
      </c>
      <c r="AO500" s="4" t="str">
        <f t="shared" si="109"/>
        <v/>
      </c>
      <c r="AP500" s="4" t="str">
        <f t="shared" si="109"/>
        <v/>
      </c>
      <c r="AQ500" s="4" t="str">
        <f t="shared" si="109"/>
        <v/>
      </c>
      <c r="AR500" s="4" t="str">
        <f t="shared" si="109"/>
        <v/>
      </c>
      <c r="AS500" s="5" t="str">
        <f t="shared" si="109"/>
        <v/>
      </c>
      <c r="AT500" s="3" t="str">
        <f t="shared" si="113"/>
        <v/>
      </c>
      <c r="AU500" s="4" t="str">
        <f t="shared" si="113"/>
        <v/>
      </c>
      <c r="AV500" s="4" t="str">
        <f t="shared" si="113"/>
        <v/>
      </c>
      <c r="AW500" s="4">
        <f t="shared" si="113"/>
        <v>1</v>
      </c>
      <c r="AX500" s="4" t="str">
        <f t="shared" si="113"/>
        <v/>
      </c>
      <c r="AY500" s="4" t="str">
        <f t="shared" si="113"/>
        <v/>
      </c>
      <c r="AZ500" s="4" t="str">
        <f t="shared" si="113"/>
        <v/>
      </c>
      <c r="BA500" s="4" t="str">
        <f t="shared" si="113"/>
        <v/>
      </c>
      <c r="BB500" s="4" t="str">
        <f t="shared" si="110"/>
        <v/>
      </c>
      <c r="BC500" s="4" t="str">
        <f t="shared" si="110"/>
        <v/>
      </c>
      <c r="BD500" s="4" t="str">
        <f t="shared" si="110"/>
        <v/>
      </c>
      <c r="BE500" s="4" t="str">
        <f t="shared" si="110"/>
        <v/>
      </c>
      <c r="BF500" s="4" t="str">
        <f t="shared" si="110"/>
        <v/>
      </c>
      <c r="BG500" s="4" t="str">
        <f t="shared" si="110"/>
        <v/>
      </c>
      <c r="BH500" s="4" t="str">
        <f t="shared" si="110"/>
        <v/>
      </c>
      <c r="BI500" s="5" t="str">
        <f t="shared" si="110"/>
        <v/>
      </c>
    </row>
    <row r="501" spans="1:61" x14ac:dyDescent="0.25">
      <c r="A501">
        <v>594457</v>
      </c>
      <c r="B501" t="s">
        <v>14</v>
      </c>
      <c r="C501" t="s">
        <v>16</v>
      </c>
      <c r="D501">
        <v>64679</v>
      </c>
      <c r="E501">
        <v>314</v>
      </c>
      <c r="F501">
        <v>3</v>
      </c>
      <c r="G501">
        <v>20131</v>
      </c>
      <c r="H501" t="s">
        <v>0</v>
      </c>
      <c r="I501">
        <v>1348</v>
      </c>
      <c r="J501">
        <v>41</v>
      </c>
      <c r="K501">
        <v>614.30999999999995</v>
      </c>
      <c r="L501">
        <v>575.30999999999995</v>
      </c>
      <c r="M501">
        <v>39</v>
      </c>
      <c r="N501" s="3" t="str">
        <f t="shared" si="111"/>
        <v/>
      </c>
      <c r="O501" s="4" t="str">
        <f t="shared" si="111"/>
        <v/>
      </c>
      <c r="P501" s="4" t="str">
        <f t="shared" si="111"/>
        <v/>
      </c>
      <c r="Q501" s="4" t="str">
        <f t="shared" si="111"/>
        <v/>
      </c>
      <c r="R501" s="4" t="str">
        <f t="shared" si="111"/>
        <v/>
      </c>
      <c r="S501" s="4" t="str">
        <f t="shared" si="111"/>
        <v/>
      </c>
      <c r="T501" s="4" t="str">
        <f t="shared" si="111"/>
        <v/>
      </c>
      <c r="U501" s="4" t="str">
        <f t="shared" si="111"/>
        <v/>
      </c>
      <c r="V501" s="4" t="str">
        <f t="shared" si="108"/>
        <v/>
      </c>
      <c r="W501" s="4" t="str">
        <f t="shared" si="108"/>
        <v/>
      </c>
      <c r="X501" s="4" t="str">
        <f t="shared" si="108"/>
        <v/>
      </c>
      <c r="Y501" s="4" t="str">
        <f t="shared" si="108"/>
        <v/>
      </c>
      <c r="Z501" s="4" t="str">
        <f t="shared" si="108"/>
        <v/>
      </c>
      <c r="AA501" s="4" t="str">
        <f t="shared" si="108"/>
        <v/>
      </c>
      <c r="AB501" s="4" t="str">
        <f t="shared" si="108"/>
        <v/>
      </c>
      <c r="AC501" s="5" t="str">
        <f t="shared" si="108"/>
        <v/>
      </c>
      <c r="AD501" s="3" t="str">
        <f t="shared" si="112"/>
        <v/>
      </c>
      <c r="AE501" s="4" t="str">
        <f t="shared" si="112"/>
        <v/>
      </c>
      <c r="AF501" s="4" t="str">
        <f t="shared" si="112"/>
        <v/>
      </c>
      <c r="AG501" s="4" t="str">
        <f t="shared" si="112"/>
        <v/>
      </c>
      <c r="AH501" s="4" t="str">
        <f t="shared" si="112"/>
        <v/>
      </c>
      <c r="AI501" s="4" t="str">
        <f t="shared" si="112"/>
        <v/>
      </c>
      <c r="AJ501" s="4" t="str">
        <f t="shared" si="112"/>
        <v/>
      </c>
      <c r="AK501" s="4" t="str">
        <f t="shared" si="112"/>
        <v/>
      </c>
      <c r="AL501" s="4" t="str">
        <f t="shared" si="109"/>
        <v/>
      </c>
      <c r="AM501" s="4" t="str">
        <f t="shared" si="109"/>
        <v/>
      </c>
      <c r="AN501" s="4" t="str">
        <f t="shared" si="109"/>
        <v/>
      </c>
      <c r="AO501" s="4" t="str">
        <f t="shared" si="109"/>
        <v/>
      </c>
      <c r="AP501" s="4" t="str">
        <f t="shared" si="109"/>
        <v/>
      </c>
      <c r="AQ501" s="4" t="str">
        <f t="shared" si="109"/>
        <v/>
      </c>
      <c r="AR501" s="4" t="str">
        <f t="shared" si="109"/>
        <v/>
      </c>
      <c r="AS501" s="5" t="str">
        <f t="shared" si="109"/>
        <v/>
      </c>
      <c r="AT501" s="3">
        <f t="shared" si="113"/>
        <v>1</v>
      </c>
      <c r="AU501" s="4" t="str">
        <f t="shared" si="113"/>
        <v/>
      </c>
      <c r="AV501" s="4" t="str">
        <f t="shared" si="113"/>
        <v/>
      </c>
      <c r="AW501" s="4" t="str">
        <f t="shared" si="113"/>
        <v/>
      </c>
      <c r="AX501" s="4" t="str">
        <f t="shared" si="113"/>
        <v/>
      </c>
      <c r="AY501" s="4" t="str">
        <f t="shared" si="113"/>
        <v/>
      </c>
      <c r="AZ501" s="4" t="str">
        <f t="shared" si="113"/>
        <v/>
      </c>
      <c r="BA501" s="4" t="str">
        <f t="shared" si="113"/>
        <v/>
      </c>
      <c r="BB501" s="4" t="str">
        <f t="shared" si="110"/>
        <v/>
      </c>
      <c r="BC501" s="4" t="str">
        <f t="shared" si="110"/>
        <v/>
      </c>
      <c r="BD501" s="4" t="str">
        <f t="shared" si="110"/>
        <v/>
      </c>
      <c r="BE501" s="4" t="str">
        <f t="shared" si="110"/>
        <v/>
      </c>
      <c r="BF501" s="4" t="str">
        <f t="shared" si="110"/>
        <v/>
      </c>
      <c r="BG501" s="4" t="str">
        <f t="shared" si="110"/>
        <v/>
      </c>
      <c r="BH501" s="4" t="str">
        <f t="shared" si="110"/>
        <v/>
      </c>
      <c r="BI501" s="5" t="str">
        <f t="shared" si="110"/>
        <v/>
      </c>
    </row>
    <row r="502" spans="1:61" x14ac:dyDescent="0.25">
      <c r="A502">
        <v>594458</v>
      </c>
      <c r="B502" t="s">
        <v>14</v>
      </c>
      <c r="C502" t="s">
        <v>16</v>
      </c>
      <c r="D502">
        <v>64679</v>
      </c>
      <c r="E502">
        <v>314</v>
      </c>
      <c r="F502">
        <v>3</v>
      </c>
      <c r="G502">
        <v>20132</v>
      </c>
      <c r="H502" t="s">
        <v>0</v>
      </c>
      <c r="I502">
        <v>22263</v>
      </c>
      <c r="J502">
        <v>734</v>
      </c>
      <c r="K502">
        <v>9878.98</v>
      </c>
      <c r="L502">
        <v>9317.11</v>
      </c>
      <c r="M502">
        <v>561.87</v>
      </c>
      <c r="N502" s="3" t="str">
        <f t="shared" si="111"/>
        <v/>
      </c>
      <c r="O502" s="4" t="str">
        <f t="shared" si="111"/>
        <v/>
      </c>
      <c r="P502" s="4" t="str">
        <f t="shared" si="111"/>
        <v/>
      </c>
      <c r="Q502" s="4" t="str">
        <f t="shared" si="111"/>
        <v/>
      </c>
      <c r="R502" s="4" t="str">
        <f t="shared" si="111"/>
        <v/>
      </c>
      <c r="S502" s="4" t="str">
        <f t="shared" si="111"/>
        <v/>
      </c>
      <c r="T502" s="4" t="str">
        <f t="shared" si="111"/>
        <v/>
      </c>
      <c r="U502" s="4" t="str">
        <f t="shared" si="111"/>
        <v/>
      </c>
      <c r="V502" s="4" t="str">
        <f t="shared" si="108"/>
        <v/>
      </c>
      <c r="W502" s="4" t="str">
        <f t="shared" si="108"/>
        <v/>
      </c>
      <c r="X502" s="4" t="str">
        <f t="shared" si="108"/>
        <v/>
      </c>
      <c r="Y502" s="4" t="str">
        <f t="shared" si="108"/>
        <v/>
      </c>
      <c r="Z502" s="4" t="str">
        <f t="shared" si="108"/>
        <v/>
      </c>
      <c r="AA502" s="4" t="str">
        <f t="shared" si="108"/>
        <v/>
      </c>
      <c r="AB502" s="4" t="str">
        <f t="shared" si="108"/>
        <v/>
      </c>
      <c r="AC502" s="5" t="str">
        <f t="shared" si="108"/>
        <v/>
      </c>
      <c r="AD502" s="3" t="str">
        <f t="shared" si="112"/>
        <v/>
      </c>
      <c r="AE502" s="4" t="str">
        <f t="shared" si="112"/>
        <v/>
      </c>
      <c r="AF502" s="4" t="str">
        <f t="shared" si="112"/>
        <v/>
      </c>
      <c r="AG502" s="4" t="str">
        <f t="shared" si="112"/>
        <v/>
      </c>
      <c r="AH502" s="4" t="str">
        <f t="shared" si="112"/>
        <v/>
      </c>
      <c r="AI502" s="4" t="str">
        <f t="shared" si="112"/>
        <v/>
      </c>
      <c r="AJ502" s="4" t="str">
        <f t="shared" si="112"/>
        <v/>
      </c>
      <c r="AK502" s="4" t="str">
        <f t="shared" si="112"/>
        <v/>
      </c>
      <c r="AL502" s="4" t="str">
        <f t="shared" si="109"/>
        <v/>
      </c>
      <c r="AM502" s="4" t="str">
        <f t="shared" si="109"/>
        <v/>
      </c>
      <c r="AN502" s="4" t="str">
        <f t="shared" si="109"/>
        <v/>
      </c>
      <c r="AO502" s="4" t="str">
        <f t="shared" si="109"/>
        <v/>
      </c>
      <c r="AP502" s="4" t="str">
        <f t="shared" si="109"/>
        <v/>
      </c>
      <c r="AQ502" s="4" t="str">
        <f t="shared" si="109"/>
        <v/>
      </c>
      <c r="AR502" s="4" t="str">
        <f t="shared" si="109"/>
        <v/>
      </c>
      <c r="AS502" s="5" t="str">
        <f t="shared" si="109"/>
        <v/>
      </c>
      <c r="AT502" s="3" t="str">
        <f t="shared" si="113"/>
        <v/>
      </c>
      <c r="AU502" s="4">
        <f t="shared" si="113"/>
        <v>1</v>
      </c>
      <c r="AV502" s="4" t="str">
        <f t="shared" si="113"/>
        <v/>
      </c>
      <c r="AW502" s="4" t="str">
        <f t="shared" si="113"/>
        <v/>
      </c>
      <c r="AX502" s="4" t="str">
        <f t="shared" si="113"/>
        <v/>
      </c>
      <c r="AY502" s="4" t="str">
        <f t="shared" si="113"/>
        <v/>
      </c>
      <c r="AZ502" s="4" t="str">
        <f t="shared" si="113"/>
        <v/>
      </c>
      <c r="BA502" s="4" t="str">
        <f t="shared" si="113"/>
        <v/>
      </c>
      <c r="BB502" s="4" t="str">
        <f t="shared" si="110"/>
        <v/>
      </c>
      <c r="BC502" s="4" t="str">
        <f t="shared" si="110"/>
        <v/>
      </c>
      <c r="BD502" s="4" t="str">
        <f t="shared" si="110"/>
        <v/>
      </c>
      <c r="BE502" s="4" t="str">
        <f t="shared" si="110"/>
        <v/>
      </c>
      <c r="BF502" s="4" t="str">
        <f t="shared" si="110"/>
        <v/>
      </c>
      <c r="BG502" s="4" t="str">
        <f t="shared" si="110"/>
        <v/>
      </c>
      <c r="BH502" s="4" t="str">
        <f t="shared" si="110"/>
        <v/>
      </c>
      <c r="BI502" s="5" t="str">
        <f t="shared" si="110"/>
        <v/>
      </c>
    </row>
    <row r="503" spans="1:61" x14ac:dyDescent="0.25">
      <c r="A503">
        <v>594459</v>
      </c>
      <c r="B503" t="s">
        <v>14</v>
      </c>
      <c r="C503" t="s">
        <v>16</v>
      </c>
      <c r="D503">
        <v>64679</v>
      </c>
      <c r="E503">
        <v>314</v>
      </c>
      <c r="F503">
        <v>3</v>
      </c>
      <c r="G503">
        <v>20133</v>
      </c>
      <c r="H503" t="s">
        <v>0</v>
      </c>
      <c r="I503">
        <v>40136</v>
      </c>
      <c r="J503">
        <v>1293</v>
      </c>
      <c r="K503">
        <v>21968.9</v>
      </c>
      <c r="L503">
        <v>20814.88</v>
      </c>
      <c r="M503">
        <v>1154.02</v>
      </c>
      <c r="N503" s="3" t="str">
        <f t="shared" si="111"/>
        <v/>
      </c>
      <c r="O503" s="4" t="str">
        <f t="shared" si="111"/>
        <v/>
      </c>
      <c r="P503" s="4" t="str">
        <f t="shared" si="111"/>
        <v/>
      </c>
      <c r="Q503" s="4" t="str">
        <f t="shared" si="111"/>
        <v/>
      </c>
      <c r="R503" s="4" t="str">
        <f t="shared" si="111"/>
        <v/>
      </c>
      <c r="S503" s="4" t="str">
        <f t="shared" si="111"/>
        <v/>
      </c>
      <c r="T503" s="4" t="str">
        <f t="shared" si="111"/>
        <v/>
      </c>
      <c r="U503" s="4" t="str">
        <f t="shared" si="111"/>
        <v/>
      </c>
      <c r="V503" s="4" t="str">
        <f t="shared" si="108"/>
        <v/>
      </c>
      <c r="W503" s="4" t="str">
        <f t="shared" si="108"/>
        <v/>
      </c>
      <c r="X503" s="4" t="str">
        <f t="shared" si="108"/>
        <v/>
      </c>
      <c r="Y503" s="4" t="str">
        <f t="shared" si="108"/>
        <v/>
      </c>
      <c r="Z503" s="4" t="str">
        <f t="shared" si="108"/>
        <v/>
      </c>
      <c r="AA503" s="4" t="str">
        <f t="shared" si="108"/>
        <v/>
      </c>
      <c r="AB503" s="4" t="str">
        <f t="shared" si="108"/>
        <v/>
      </c>
      <c r="AC503" s="5" t="str">
        <f t="shared" si="108"/>
        <v/>
      </c>
      <c r="AD503" s="3" t="str">
        <f t="shared" si="112"/>
        <v/>
      </c>
      <c r="AE503" s="4" t="str">
        <f t="shared" si="112"/>
        <v/>
      </c>
      <c r="AF503" s="4" t="str">
        <f t="shared" si="112"/>
        <v/>
      </c>
      <c r="AG503" s="4" t="str">
        <f t="shared" si="112"/>
        <v/>
      </c>
      <c r="AH503" s="4" t="str">
        <f t="shared" si="112"/>
        <v/>
      </c>
      <c r="AI503" s="4" t="str">
        <f t="shared" si="112"/>
        <v/>
      </c>
      <c r="AJ503" s="4" t="str">
        <f t="shared" si="112"/>
        <v/>
      </c>
      <c r="AK503" s="4" t="str">
        <f t="shared" si="112"/>
        <v/>
      </c>
      <c r="AL503" s="4" t="str">
        <f t="shared" si="109"/>
        <v/>
      </c>
      <c r="AM503" s="4" t="str">
        <f t="shared" si="109"/>
        <v/>
      </c>
      <c r="AN503" s="4" t="str">
        <f t="shared" si="109"/>
        <v/>
      </c>
      <c r="AO503" s="4" t="str">
        <f t="shared" si="109"/>
        <v/>
      </c>
      <c r="AP503" s="4" t="str">
        <f t="shared" si="109"/>
        <v/>
      </c>
      <c r="AQ503" s="4" t="str">
        <f t="shared" si="109"/>
        <v/>
      </c>
      <c r="AR503" s="4" t="str">
        <f t="shared" si="109"/>
        <v/>
      </c>
      <c r="AS503" s="5" t="str">
        <f t="shared" si="109"/>
        <v/>
      </c>
      <c r="AT503" s="3" t="str">
        <f t="shared" si="113"/>
        <v/>
      </c>
      <c r="AU503" s="4" t="str">
        <f t="shared" si="113"/>
        <v/>
      </c>
      <c r="AV503" s="4">
        <f t="shared" si="113"/>
        <v>1</v>
      </c>
      <c r="AW503" s="4" t="str">
        <f t="shared" si="113"/>
        <v/>
      </c>
      <c r="AX503" s="4" t="str">
        <f t="shared" si="113"/>
        <v/>
      </c>
      <c r="AY503" s="4" t="str">
        <f t="shared" si="113"/>
        <v/>
      </c>
      <c r="AZ503" s="4" t="str">
        <f t="shared" si="113"/>
        <v/>
      </c>
      <c r="BA503" s="4" t="str">
        <f t="shared" si="113"/>
        <v/>
      </c>
      <c r="BB503" s="4" t="str">
        <f t="shared" si="110"/>
        <v/>
      </c>
      <c r="BC503" s="4" t="str">
        <f t="shared" si="110"/>
        <v/>
      </c>
      <c r="BD503" s="4" t="str">
        <f t="shared" si="110"/>
        <v/>
      </c>
      <c r="BE503" s="4" t="str">
        <f t="shared" si="110"/>
        <v/>
      </c>
      <c r="BF503" s="4" t="str">
        <f t="shared" si="110"/>
        <v/>
      </c>
      <c r="BG503" s="4" t="str">
        <f t="shared" si="110"/>
        <v/>
      </c>
      <c r="BH503" s="4" t="str">
        <f t="shared" si="110"/>
        <v/>
      </c>
      <c r="BI503" s="5" t="str">
        <f t="shared" si="110"/>
        <v/>
      </c>
    </row>
    <row r="504" spans="1:61" x14ac:dyDescent="0.25">
      <c r="A504">
        <v>594460</v>
      </c>
      <c r="B504" t="s">
        <v>14</v>
      </c>
      <c r="C504" t="s">
        <v>16</v>
      </c>
      <c r="D504">
        <v>64679</v>
      </c>
      <c r="E504">
        <v>314</v>
      </c>
      <c r="F504">
        <v>3</v>
      </c>
      <c r="G504">
        <v>20134</v>
      </c>
      <c r="H504" t="s">
        <v>0</v>
      </c>
      <c r="I504">
        <v>21490</v>
      </c>
      <c r="J504">
        <v>704</v>
      </c>
      <c r="K504">
        <v>16683.95</v>
      </c>
      <c r="L504">
        <v>16319.54</v>
      </c>
      <c r="M504">
        <v>364.41</v>
      </c>
      <c r="N504" s="3" t="str">
        <f t="shared" si="111"/>
        <v/>
      </c>
      <c r="O504" s="4" t="str">
        <f t="shared" si="111"/>
        <v/>
      </c>
      <c r="P504" s="4" t="str">
        <f t="shared" si="111"/>
        <v/>
      </c>
      <c r="Q504" s="4" t="str">
        <f t="shared" si="111"/>
        <v/>
      </c>
      <c r="R504" s="4" t="str">
        <f t="shared" si="111"/>
        <v/>
      </c>
      <c r="S504" s="4" t="str">
        <f t="shared" si="111"/>
        <v/>
      </c>
      <c r="T504" s="4" t="str">
        <f t="shared" si="111"/>
        <v/>
      </c>
      <c r="U504" s="4" t="str">
        <f t="shared" si="111"/>
        <v/>
      </c>
      <c r="V504" s="4" t="str">
        <f t="shared" si="108"/>
        <v/>
      </c>
      <c r="W504" s="4" t="str">
        <f t="shared" si="108"/>
        <v/>
      </c>
      <c r="X504" s="4" t="str">
        <f t="shared" si="108"/>
        <v/>
      </c>
      <c r="Y504" s="4" t="str">
        <f t="shared" si="108"/>
        <v/>
      </c>
      <c r="Z504" s="4" t="str">
        <f t="shared" si="108"/>
        <v/>
      </c>
      <c r="AA504" s="4" t="str">
        <f t="shared" si="108"/>
        <v/>
      </c>
      <c r="AB504" s="4" t="str">
        <f t="shared" si="108"/>
        <v/>
      </c>
      <c r="AC504" s="5" t="str">
        <f t="shared" si="108"/>
        <v/>
      </c>
      <c r="AD504" s="3" t="str">
        <f t="shared" si="112"/>
        <v/>
      </c>
      <c r="AE504" s="4" t="str">
        <f t="shared" si="112"/>
        <v/>
      </c>
      <c r="AF504" s="4" t="str">
        <f t="shared" si="112"/>
        <v/>
      </c>
      <c r="AG504" s="4" t="str">
        <f t="shared" si="112"/>
        <v/>
      </c>
      <c r="AH504" s="4" t="str">
        <f t="shared" si="112"/>
        <v/>
      </c>
      <c r="AI504" s="4" t="str">
        <f t="shared" si="112"/>
        <v/>
      </c>
      <c r="AJ504" s="4" t="str">
        <f t="shared" si="112"/>
        <v/>
      </c>
      <c r="AK504" s="4" t="str">
        <f t="shared" si="112"/>
        <v/>
      </c>
      <c r="AL504" s="4" t="str">
        <f t="shared" si="109"/>
        <v/>
      </c>
      <c r="AM504" s="4" t="str">
        <f t="shared" si="109"/>
        <v/>
      </c>
      <c r="AN504" s="4" t="str">
        <f t="shared" si="109"/>
        <v/>
      </c>
      <c r="AO504" s="4" t="str">
        <f t="shared" si="109"/>
        <v/>
      </c>
      <c r="AP504" s="4" t="str">
        <f t="shared" si="109"/>
        <v/>
      </c>
      <c r="AQ504" s="4" t="str">
        <f t="shared" si="109"/>
        <v/>
      </c>
      <c r="AR504" s="4" t="str">
        <f t="shared" si="109"/>
        <v/>
      </c>
      <c r="AS504" s="5" t="str">
        <f t="shared" si="109"/>
        <v/>
      </c>
      <c r="AT504" s="3" t="str">
        <f t="shared" si="113"/>
        <v/>
      </c>
      <c r="AU504" s="4" t="str">
        <f t="shared" si="113"/>
        <v/>
      </c>
      <c r="AV504" s="4" t="str">
        <f t="shared" si="113"/>
        <v/>
      </c>
      <c r="AW504" s="4">
        <f t="shared" si="113"/>
        <v>1</v>
      </c>
      <c r="AX504" s="4" t="str">
        <f t="shared" si="113"/>
        <v/>
      </c>
      <c r="AY504" s="4" t="str">
        <f t="shared" si="113"/>
        <v/>
      </c>
      <c r="AZ504" s="4" t="str">
        <f t="shared" si="113"/>
        <v/>
      </c>
      <c r="BA504" s="4" t="str">
        <f t="shared" si="113"/>
        <v/>
      </c>
      <c r="BB504" s="4" t="str">
        <f t="shared" si="110"/>
        <v/>
      </c>
      <c r="BC504" s="4" t="str">
        <f t="shared" si="110"/>
        <v/>
      </c>
      <c r="BD504" s="4" t="str">
        <f t="shared" si="110"/>
        <v/>
      </c>
      <c r="BE504" s="4" t="str">
        <f t="shared" si="110"/>
        <v/>
      </c>
      <c r="BF504" s="4" t="str">
        <f t="shared" si="110"/>
        <v/>
      </c>
      <c r="BG504" s="4" t="str">
        <f t="shared" si="110"/>
        <v/>
      </c>
      <c r="BH504" s="4" t="str">
        <f t="shared" si="110"/>
        <v/>
      </c>
      <c r="BI504" s="5" t="str">
        <f t="shared" si="110"/>
        <v/>
      </c>
    </row>
    <row r="505" spans="1:61" x14ac:dyDescent="0.25">
      <c r="A505">
        <v>721235</v>
      </c>
      <c r="B505" t="s">
        <v>15</v>
      </c>
      <c r="C505" t="s">
        <v>16</v>
      </c>
      <c r="D505">
        <v>64679</v>
      </c>
      <c r="E505">
        <v>314</v>
      </c>
      <c r="F505">
        <v>0</v>
      </c>
      <c r="G505">
        <v>20131</v>
      </c>
      <c r="H505" t="s">
        <v>0</v>
      </c>
      <c r="I505">
        <v>480</v>
      </c>
      <c r="J505">
        <v>12</v>
      </c>
      <c r="K505">
        <v>144.87</v>
      </c>
      <c r="L505">
        <v>144.87</v>
      </c>
      <c r="M505">
        <v>0</v>
      </c>
      <c r="N505" s="3" t="str">
        <f t="shared" si="111"/>
        <v/>
      </c>
      <c r="O505" s="4" t="str">
        <f t="shared" si="111"/>
        <v/>
      </c>
      <c r="P505" s="4" t="str">
        <f t="shared" si="111"/>
        <v/>
      </c>
      <c r="Q505" s="4" t="str">
        <f t="shared" si="111"/>
        <v/>
      </c>
      <c r="R505" s="4" t="str">
        <f t="shared" si="111"/>
        <v/>
      </c>
      <c r="S505" s="4" t="str">
        <f t="shared" si="111"/>
        <v/>
      </c>
      <c r="T505" s="4" t="str">
        <f t="shared" si="111"/>
        <v/>
      </c>
      <c r="U505" s="4" t="str">
        <f t="shared" si="111"/>
        <v/>
      </c>
      <c r="V505" s="4" t="str">
        <f t="shared" si="108"/>
        <v/>
      </c>
      <c r="W505" s="4" t="str">
        <f t="shared" si="108"/>
        <v/>
      </c>
      <c r="X505" s="4" t="str">
        <f t="shared" si="108"/>
        <v/>
      </c>
      <c r="Y505" s="4" t="str">
        <f t="shared" si="108"/>
        <v/>
      </c>
      <c r="Z505" s="4" t="str">
        <f t="shared" si="108"/>
        <v/>
      </c>
      <c r="AA505" s="4" t="str">
        <f t="shared" si="108"/>
        <v/>
      </c>
      <c r="AB505" s="4" t="str">
        <f t="shared" si="108"/>
        <v/>
      </c>
      <c r="AC505" s="5" t="str">
        <f t="shared" si="108"/>
        <v/>
      </c>
      <c r="AD505" s="3" t="str">
        <f t="shared" si="112"/>
        <v/>
      </c>
      <c r="AE505" s="4" t="str">
        <f t="shared" si="112"/>
        <v/>
      </c>
      <c r="AF505" s="4" t="str">
        <f t="shared" si="112"/>
        <v/>
      </c>
      <c r="AG505" s="4" t="str">
        <f t="shared" si="112"/>
        <v/>
      </c>
      <c r="AH505" s="4" t="str">
        <f t="shared" si="112"/>
        <v/>
      </c>
      <c r="AI505" s="4" t="str">
        <f t="shared" si="112"/>
        <v/>
      </c>
      <c r="AJ505" s="4" t="str">
        <f t="shared" si="112"/>
        <v/>
      </c>
      <c r="AK505" s="4" t="str">
        <f t="shared" si="112"/>
        <v/>
      </c>
      <c r="AL505" s="4" t="str">
        <f t="shared" si="109"/>
        <v/>
      </c>
      <c r="AM505" s="4" t="str">
        <f t="shared" si="109"/>
        <v/>
      </c>
      <c r="AN505" s="4" t="str">
        <f t="shared" si="109"/>
        <v/>
      </c>
      <c r="AO505" s="4" t="str">
        <f t="shared" si="109"/>
        <v/>
      </c>
      <c r="AP505" s="4" t="str">
        <f t="shared" si="109"/>
        <v/>
      </c>
      <c r="AQ505" s="4" t="str">
        <f t="shared" si="109"/>
        <v/>
      </c>
      <c r="AR505" s="4" t="str">
        <f t="shared" si="109"/>
        <v/>
      </c>
      <c r="AS505" s="5" t="str">
        <f t="shared" si="109"/>
        <v/>
      </c>
      <c r="AT505" s="3" t="str">
        <f t="shared" si="113"/>
        <v/>
      </c>
      <c r="AU505" s="4" t="str">
        <f t="shared" si="113"/>
        <v/>
      </c>
      <c r="AV505" s="4" t="str">
        <f t="shared" si="113"/>
        <v/>
      </c>
      <c r="AW505" s="4" t="str">
        <f t="shared" si="113"/>
        <v/>
      </c>
      <c r="AX505" s="4">
        <f t="shared" si="113"/>
        <v>1</v>
      </c>
      <c r="AY505" s="4" t="str">
        <f t="shared" si="113"/>
        <v/>
      </c>
      <c r="AZ505" s="4" t="str">
        <f t="shared" si="113"/>
        <v/>
      </c>
      <c r="BA505" s="4" t="str">
        <f t="shared" si="113"/>
        <v/>
      </c>
      <c r="BB505" s="4" t="str">
        <f t="shared" si="110"/>
        <v/>
      </c>
      <c r="BC505" s="4" t="str">
        <f t="shared" si="110"/>
        <v/>
      </c>
      <c r="BD505" s="4" t="str">
        <f t="shared" si="110"/>
        <v/>
      </c>
      <c r="BE505" s="4" t="str">
        <f t="shared" si="110"/>
        <v/>
      </c>
      <c r="BF505" s="4" t="str">
        <f t="shared" si="110"/>
        <v/>
      </c>
      <c r="BG505" s="4" t="str">
        <f t="shared" si="110"/>
        <v/>
      </c>
      <c r="BH505" s="4" t="str">
        <f t="shared" si="110"/>
        <v/>
      </c>
      <c r="BI505" s="5" t="str">
        <f t="shared" si="110"/>
        <v/>
      </c>
    </row>
    <row r="506" spans="1:61" x14ac:dyDescent="0.25">
      <c r="A506">
        <v>721236</v>
      </c>
      <c r="B506" t="s">
        <v>15</v>
      </c>
      <c r="C506" t="s">
        <v>16</v>
      </c>
      <c r="D506">
        <v>64679</v>
      </c>
      <c r="E506">
        <v>314</v>
      </c>
      <c r="F506">
        <v>0</v>
      </c>
      <c r="G506">
        <v>20132</v>
      </c>
      <c r="H506" t="s">
        <v>0</v>
      </c>
      <c r="I506">
        <v>780</v>
      </c>
      <c r="J506">
        <v>14</v>
      </c>
      <c r="K506">
        <v>265.33999999999997</v>
      </c>
      <c r="L506">
        <v>265.33999999999997</v>
      </c>
      <c r="M506">
        <v>0</v>
      </c>
      <c r="N506" s="3" t="str">
        <f t="shared" si="111"/>
        <v/>
      </c>
      <c r="O506" s="4" t="str">
        <f t="shared" si="111"/>
        <v/>
      </c>
      <c r="P506" s="4" t="str">
        <f t="shared" si="111"/>
        <v/>
      </c>
      <c r="Q506" s="4" t="str">
        <f t="shared" si="111"/>
        <v/>
      </c>
      <c r="R506" s="4" t="str">
        <f t="shared" si="111"/>
        <v/>
      </c>
      <c r="S506" s="4" t="str">
        <f t="shared" si="111"/>
        <v/>
      </c>
      <c r="T506" s="4" t="str">
        <f t="shared" si="111"/>
        <v/>
      </c>
      <c r="U506" s="4" t="str">
        <f t="shared" si="111"/>
        <v/>
      </c>
      <c r="V506" s="4" t="str">
        <f t="shared" si="108"/>
        <v/>
      </c>
      <c r="W506" s="4" t="str">
        <f t="shared" si="108"/>
        <v/>
      </c>
      <c r="X506" s="4" t="str">
        <f t="shared" si="108"/>
        <v/>
      </c>
      <c r="Y506" s="4" t="str">
        <f t="shared" si="108"/>
        <v/>
      </c>
      <c r="Z506" s="4" t="str">
        <f t="shared" si="108"/>
        <v/>
      </c>
      <c r="AA506" s="4" t="str">
        <f t="shared" si="108"/>
        <v/>
      </c>
      <c r="AB506" s="4" t="str">
        <f t="shared" si="108"/>
        <v/>
      </c>
      <c r="AC506" s="5" t="str">
        <f t="shared" si="108"/>
        <v/>
      </c>
      <c r="AD506" s="3" t="str">
        <f t="shared" si="112"/>
        <v/>
      </c>
      <c r="AE506" s="4" t="str">
        <f t="shared" si="112"/>
        <v/>
      </c>
      <c r="AF506" s="4" t="str">
        <f t="shared" si="112"/>
        <v/>
      </c>
      <c r="AG506" s="4" t="str">
        <f t="shared" si="112"/>
        <v/>
      </c>
      <c r="AH506" s="4" t="str">
        <f t="shared" si="112"/>
        <v/>
      </c>
      <c r="AI506" s="4" t="str">
        <f t="shared" si="112"/>
        <v/>
      </c>
      <c r="AJ506" s="4" t="str">
        <f t="shared" si="112"/>
        <v/>
      </c>
      <c r="AK506" s="4" t="str">
        <f t="shared" si="112"/>
        <v/>
      </c>
      <c r="AL506" s="4" t="str">
        <f t="shared" si="109"/>
        <v/>
      </c>
      <c r="AM506" s="4" t="str">
        <f t="shared" si="109"/>
        <v/>
      </c>
      <c r="AN506" s="4" t="str">
        <f t="shared" si="109"/>
        <v/>
      </c>
      <c r="AO506" s="4" t="str">
        <f t="shared" si="109"/>
        <v/>
      </c>
      <c r="AP506" s="4" t="str">
        <f t="shared" si="109"/>
        <v/>
      </c>
      <c r="AQ506" s="4" t="str">
        <f t="shared" si="109"/>
        <v/>
      </c>
      <c r="AR506" s="4" t="str">
        <f t="shared" si="109"/>
        <v/>
      </c>
      <c r="AS506" s="5" t="str">
        <f t="shared" si="109"/>
        <v/>
      </c>
      <c r="AT506" s="3" t="str">
        <f t="shared" si="113"/>
        <v/>
      </c>
      <c r="AU506" s="4" t="str">
        <f t="shared" si="113"/>
        <v/>
      </c>
      <c r="AV506" s="4" t="str">
        <f t="shared" si="113"/>
        <v/>
      </c>
      <c r="AW506" s="4" t="str">
        <f t="shared" si="113"/>
        <v/>
      </c>
      <c r="AX506" s="4" t="str">
        <f t="shared" si="113"/>
        <v/>
      </c>
      <c r="AY506" s="4">
        <f t="shared" si="113"/>
        <v>1</v>
      </c>
      <c r="AZ506" s="4" t="str">
        <f t="shared" si="113"/>
        <v/>
      </c>
      <c r="BA506" s="4" t="str">
        <f t="shared" si="113"/>
        <v/>
      </c>
      <c r="BB506" s="4" t="str">
        <f t="shared" si="110"/>
        <v/>
      </c>
      <c r="BC506" s="4" t="str">
        <f t="shared" si="110"/>
        <v/>
      </c>
      <c r="BD506" s="4" t="str">
        <f t="shared" si="110"/>
        <v/>
      </c>
      <c r="BE506" s="4" t="str">
        <f t="shared" si="110"/>
        <v/>
      </c>
      <c r="BF506" s="4" t="str">
        <f t="shared" si="110"/>
        <v/>
      </c>
      <c r="BG506" s="4" t="str">
        <f t="shared" si="110"/>
        <v/>
      </c>
      <c r="BH506" s="4" t="str">
        <f t="shared" si="110"/>
        <v/>
      </c>
      <c r="BI506" s="5" t="str">
        <f t="shared" si="110"/>
        <v/>
      </c>
    </row>
    <row r="507" spans="1:61" x14ac:dyDescent="0.25">
      <c r="A507">
        <v>721237</v>
      </c>
      <c r="B507" t="s">
        <v>15</v>
      </c>
      <c r="C507" t="s">
        <v>16</v>
      </c>
      <c r="D507">
        <v>64679</v>
      </c>
      <c r="E507">
        <v>314</v>
      </c>
      <c r="F507">
        <v>0</v>
      </c>
      <c r="G507">
        <v>20133</v>
      </c>
      <c r="H507" t="s">
        <v>0</v>
      </c>
      <c r="I507">
        <v>450</v>
      </c>
      <c r="J507">
        <v>13</v>
      </c>
      <c r="K507">
        <v>192.32</v>
      </c>
      <c r="L507">
        <v>189.32</v>
      </c>
      <c r="M507">
        <v>3</v>
      </c>
      <c r="N507" s="3" t="str">
        <f t="shared" si="111"/>
        <v/>
      </c>
      <c r="O507" s="4" t="str">
        <f t="shared" si="111"/>
        <v/>
      </c>
      <c r="P507" s="4" t="str">
        <f t="shared" si="111"/>
        <v/>
      </c>
      <c r="Q507" s="4" t="str">
        <f t="shared" si="111"/>
        <v/>
      </c>
      <c r="R507" s="4" t="str">
        <f t="shared" si="111"/>
        <v/>
      </c>
      <c r="S507" s="4" t="str">
        <f t="shared" si="111"/>
        <v/>
      </c>
      <c r="T507" s="4" t="str">
        <f t="shared" si="111"/>
        <v/>
      </c>
      <c r="U507" s="4" t="str">
        <f t="shared" si="111"/>
        <v/>
      </c>
      <c r="V507" s="4" t="str">
        <f t="shared" si="108"/>
        <v/>
      </c>
      <c r="W507" s="4" t="str">
        <f t="shared" si="108"/>
        <v/>
      </c>
      <c r="X507" s="4" t="str">
        <f t="shared" si="108"/>
        <v/>
      </c>
      <c r="Y507" s="4" t="str">
        <f t="shared" si="108"/>
        <v/>
      </c>
      <c r="Z507" s="4" t="str">
        <f t="shared" si="108"/>
        <v/>
      </c>
      <c r="AA507" s="4" t="str">
        <f t="shared" si="108"/>
        <v/>
      </c>
      <c r="AB507" s="4" t="str">
        <f t="shared" si="108"/>
        <v/>
      </c>
      <c r="AC507" s="5" t="str">
        <f t="shared" si="108"/>
        <v/>
      </c>
      <c r="AD507" s="3" t="str">
        <f t="shared" si="112"/>
        <v/>
      </c>
      <c r="AE507" s="4" t="str">
        <f t="shared" si="112"/>
        <v/>
      </c>
      <c r="AF507" s="4" t="str">
        <f t="shared" si="112"/>
        <v/>
      </c>
      <c r="AG507" s="4" t="str">
        <f t="shared" si="112"/>
        <v/>
      </c>
      <c r="AH507" s="4" t="str">
        <f t="shared" si="112"/>
        <v/>
      </c>
      <c r="AI507" s="4" t="str">
        <f t="shared" si="112"/>
        <v/>
      </c>
      <c r="AJ507" s="4" t="str">
        <f t="shared" si="112"/>
        <v/>
      </c>
      <c r="AK507" s="4" t="str">
        <f t="shared" si="112"/>
        <v/>
      </c>
      <c r="AL507" s="4" t="str">
        <f t="shared" si="109"/>
        <v/>
      </c>
      <c r="AM507" s="4" t="str">
        <f t="shared" si="109"/>
        <v/>
      </c>
      <c r="AN507" s="4" t="str">
        <f t="shared" si="109"/>
        <v/>
      </c>
      <c r="AO507" s="4" t="str">
        <f t="shared" si="109"/>
        <v/>
      </c>
      <c r="AP507" s="4" t="str">
        <f t="shared" si="109"/>
        <v/>
      </c>
      <c r="AQ507" s="4" t="str">
        <f t="shared" si="109"/>
        <v/>
      </c>
      <c r="AR507" s="4" t="str">
        <f t="shared" si="109"/>
        <v/>
      </c>
      <c r="AS507" s="5" t="str">
        <f t="shared" si="109"/>
        <v/>
      </c>
      <c r="AT507" s="3" t="str">
        <f t="shared" si="113"/>
        <v/>
      </c>
      <c r="AU507" s="4" t="str">
        <f t="shared" si="113"/>
        <v/>
      </c>
      <c r="AV507" s="4" t="str">
        <f t="shared" si="113"/>
        <v/>
      </c>
      <c r="AW507" s="4" t="str">
        <f t="shared" si="113"/>
        <v/>
      </c>
      <c r="AX507" s="4" t="str">
        <f t="shared" si="113"/>
        <v/>
      </c>
      <c r="AY507" s="4" t="str">
        <f t="shared" si="113"/>
        <v/>
      </c>
      <c r="AZ507" s="4">
        <f t="shared" si="113"/>
        <v>1</v>
      </c>
      <c r="BA507" s="4" t="str">
        <f t="shared" si="113"/>
        <v/>
      </c>
      <c r="BB507" s="4" t="str">
        <f t="shared" si="110"/>
        <v/>
      </c>
      <c r="BC507" s="4" t="str">
        <f t="shared" si="110"/>
        <v/>
      </c>
      <c r="BD507" s="4" t="str">
        <f t="shared" si="110"/>
        <v/>
      </c>
      <c r="BE507" s="4" t="str">
        <f t="shared" si="110"/>
        <v/>
      </c>
      <c r="BF507" s="4" t="str">
        <f t="shared" si="110"/>
        <v/>
      </c>
      <c r="BG507" s="4" t="str">
        <f t="shared" si="110"/>
        <v/>
      </c>
      <c r="BH507" s="4" t="str">
        <f t="shared" si="110"/>
        <v/>
      </c>
      <c r="BI507" s="5" t="str">
        <f t="shared" si="110"/>
        <v/>
      </c>
    </row>
    <row r="508" spans="1:61" x14ac:dyDescent="0.25">
      <c r="A508">
        <v>721238</v>
      </c>
      <c r="B508" t="s">
        <v>15</v>
      </c>
      <c r="C508" t="s">
        <v>16</v>
      </c>
      <c r="D508">
        <v>64679</v>
      </c>
      <c r="E508">
        <v>314</v>
      </c>
      <c r="F508">
        <v>0</v>
      </c>
      <c r="G508">
        <v>20134</v>
      </c>
      <c r="H508" t="s">
        <v>0</v>
      </c>
      <c r="I508">
        <v>780</v>
      </c>
      <c r="J508">
        <v>26</v>
      </c>
      <c r="K508">
        <v>303.7</v>
      </c>
      <c r="L508">
        <v>303.7</v>
      </c>
      <c r="M508">
        <v>0</v>
      </c>
      <c r="N508" s="3" t="str">
        <f t="shared" si="111"/>
        <v/>
      </c>
      <c r="O508" s="4" t="str">
        <f t="shared" si="111"/>
        <v/>
      </c>
      <c r="P508" s="4" t="str">
        <f t="shared" si="111"/>
        <v/>
      </c>
      <c r="Q508" s="4" t="str">
        <f t="shared" si="111"/>
        <v/>
      </c>
      <c r="R508" s="4" t="str">
        <f t="shared" si="111"/>
        <v/>
      </c>
      <c r="S508" s="4" t="str">
        <f t="shared" si="111"/>
        <v/>
      </c>
      <c r="T508" s="4" t="str">
        <f t="shared" si="111"/>
        <v/>
      </c>
      <c r="U508" s="4" t="str">
        <f t="shared" si="111"/>
        <v/>
      </c>
      <c r="V508" s="4" t="str">
        <f t="shared" si="108"/>
        <v/>
      </c>
      <c r="W508" s="4" t="str">
        <f t="shared" si="108"/>
        <v/>
      </c>
      <c r="X508" s="4" t="str">
        <f t="shared" si="108"/>
        <v/>
      </c>
      <c r="Y508" s="4" t="str">
        <f t="shared" si="108"/>
        <v/>
      </c>
      <c r="Z508" s="4" t="str">
        <f t="shared" si="108"/>
        <v/>
      </c>
      <c r="AA508" s="4" t="str">
        <f t="shared" si="108"/>
        <v/>
      </c>
      <c r="AB508" s="4" t="str">
        <f t="shared" si="108"/>
        <v/>
      </c>
      <c r="AC508" s="5" t="str">
        <f t="shared" si="108"/>
        <v/>
      </c>
      <c r="AD508" s="3" t="str">
        <f t="shared" si="112"/>
        <v/>
      </c>
      <c r="AE508" s="4" t="str">
        <f t="shared" si="112"/>
        <v/>
      </c>
      <c r="AF508" s="4" t="str">
        <f t="shared" si="112"/>
        <v/>
      </c>
      <c r="AG508" s="4" t="str">
        <f t="shared" si="112"/>
        <v/>
      </c>
      <c r="AH508" s="4" t="str">
        <f t="shared" si="112"/>
        <v/>
      </c>
      <c r="AI508" s="4" t="str">
        <f t="shared" si="112"/>
        <v/>
      </c>
      <c r="AJ508" s="4" t="str">
        <f t="shared" si="112"/>
        <v/>
      </c>
      <c r="AK508" s="4" t="str">
        <f t="shared" si="112"/>
        <v/>
      </c>
      <c r="AL508" s="4" t="str">
        <f t="shared" si="109"/>
        <v/>
      </c>
      <c r="AM508" s="4" t="str">
        <f t="shared" si="109"/>
        <v/>
      </c>
      <c r="AN508" s="4" t="str">
        <f t="shared" si="109"/>
        <v/>
      </c>
      <c r="AO508" s="4" t="str">
        <f t="shared" si="109"/>
        <v/>
      </c>
      <c r="AP508" s="4" t="str">
        <f t="shared" si="109"/>
        <v/>
      </c>
      <c r="AQ508" s="4" t="str">
        <f t="shared" si="109"/>
        <v/>
      </c>
      <c r="AR508" s="4" t="str">
        <f t="shared" si="109"/>
        <v/>
      </c>
      <c r="AS508" s="5" t="str">
        <f t="shared" si="109"/>
        <v/>
      </c>
      <c r="AT508" s="3" t="str">
        <f t="shared" si="113"/>
        <v/>
      </c>
      <c r="AU508" s="4" t="str">
        <f t="shared" si="113"/>
        <v/>
      </c>
      <c r="AV508" s="4" t="str">
        <f t="shared" si="113"/>
        <v/>
      </c>
      <c r="AW508" s="4" t="str">
        <f t="shared" si="113"/>
        <v/>
      </c>
      <c r="AX508" s="4" t="str">
        <f t="shared" si="113"/>
        <v/>
      </c>
      <c r="AY508" s="4" t="str">
        <f t="shared" si="113"/>
        <v/>
      </c>
      <c r="AZ508" s="4" t="str">
        <f t="shared" si="113"/>
        <v/>
      </c>
      <c r="BA508" s="4">
        <f t="shared" si="113"/>
        <v>1</v>
      </c>
      <c r="BB508" s="4" t="str">
        <f t="shared" si="110"/>
        <v/>
      </c>
      <c r="BC508" s="4" t="str">
        <f t="shared" si="110"/>
        <v/>
      </c>
      <c r="BD508" s="4" t="str">
        <f t="shared" si="110"/>
        <v/>
      </c>
      <c r="BE508" s="4" t="str">
        <f t="shared" si="110"/>
        <v/>
      </c>
      <c r="BF508" s="4" t="str">
        <f t="shared" si="110"/>
        <v/>
      </c>
      <c r="BG508" s="4" t="str">
        <f t="shared" si="110"/>
        <v/>
      </c>
      <c r="BH508" s="4" t="str">
        <f t="shared" si="110"/>
        <v/>
      </c>
      <c r="BI508" s="5" t="str">
        <f t="shared" si="110"/>
        <v/>
      </c>
    </row>
    <row r="509" spans="1:61" x14ac:dyDescent="0.25">
      <c r="A509">
        <v>721239</v>
      </c>
      <c r="B509" t="s">
        <v>15</v>
      </c>
      <c r="C509" t="s">
        <v>16</v>
      </c>
      <c r="D509">
        <v>64679</v>
      </c>
      <c r="E509">
        <v>314</v>
      </c>
      <c r="F509">
        <v>1</v>
      </c>
      <c r="G509">
        <v>20131</v>
      </c>
      <c r="H509" t="s">
        <v>0</v>
      </c>
      <c r="I509">
        <v>188905</v>
      </c>
      <c r="J509">
        <v>5972</v>
      </c>
      <c r="K509">
        <v>208606.2</v>
      </c>
      <c r="L509">
        <v>208423.21</v>
      </c>
      <c r="M509">
        <v>182.99</v>
      </c>
      <c r="N509" s="3" t="str">
        <f t="shared" si="111"/>
        <v/>
      </c>
      <c r="O509" s="4" t="str">
        <f t="shared" si="111"/>
        <v/>
      </c>
      <c r="P509" s="4" t="str">
        <f t="shared" si="111"/>
        <v/>
      </c>
      <c r="Q509" s="4" t="str">
        <f t="shared" si="111"/>
        <v/>
      </c>
      <c r="R509" s="4" t="str">
        <f t="shared" si="111"/>
        <v/>
      </c>
      <c r="S509" s="4" t="str">
        <f t="shared" si="111"/>
        <v/>
      </c>
      <c r="T509" s="4" t="str">
        <f t="shared" si="111"/>
        <v/>
      </c>
      <c r="U509" s="4" t="str">
        <f t="shared" si="111"/>
        <v/>
      </c>
      <c r="V509" s="4" t="str">
        <f t="shared" si="108"/>
        <v/>
      </c>
      <c r="W509" s="4" t="str">
        <f t="shared" si="108"/>
        <v/>
      </c>
      <c r="X509" s="4" t="str">
        <f t="shared" si="108"/>
        <v/>
      </c>
      <c r="Y509" s="4" t="str">
        <f t="shared" si="108"/>
        <v/>
      </c>
      <c r="Z509" s="4" t="str">
        <f t="shared" si="108"/>
        <v/>
      </c>
      <c r="AA509" s="4" t="str">
        <f t="shared" si="108"/>
        <v/>
      </c>
      <c r="AB509" s="4" t="str">
        <f t="shared" si="108"/>
        <v/>
      </c>
      <c r="AC509" s="5" t="str">
        <f t="shared" si="108"/>
        <v/>
      </c>
      <c r="AD509" s="3" t="str">
        <f t="shared" si="112"/>
        <v/>
      </c>
      <c r="AE509" s="4" t="str">
        <f t="shared" si="112"/>
        <v/>
      </c>
      <c r="AF509" s="4" t="str">
        <f t="shared" si="112"/>
        <v/>
      </c>
      <c r="AG509" s="4" t="str">
        <f t="shared" si="112"/>
        <v/>
      </c>
      <c r="AH509" s="4" t="str">
        <f t="shared" si="112"/>
        <v/>
      </c>
      <c r="AI509" s="4" t="str">
        <f t="shared" si="112"/>
        <v/>
      </c>
      <c r="AJ509" s="4" t="str">
        <f t="shared" si="112"/>
        <v/>
      </c>
      <c r="AK509" s="4" t="str">
        <f t="shared" si="112"/>
        <v/>
      </c>
      <c r="AL509" s="4" t="str">
        <f t="shared" si="109"/>
        <v/>
      </c>
      <c r="AM509" s="4" t="str">
        <f t="shared" si="109"/>
        <v/>
      </c>
      <c r="AN509" s="4" t="str">
        <f t="shared" si="109"/>
        <v/>
      </c>
      <c r="AO509" s="4" t="str">
        <f t="shared" si="109"/>
        <v/>
      </c>
      <c r="AP509" s="4" t="str">
        <f t="shared" si="109"/>
        <v/>
      </c>
      <c r="AQ509" s="4" t="str">
        <f t="shared" si="109"/>
        <v/>
      </c>
      <c r="AR509" s="4" t="str">
        <f t="shared" si="109"/>
        <v/>
      </c>
      <c r="AS509" s="5" t="str">
        <f t="shared" si="109"/>
        <v/>
      </c>
      <c r="AT509" s="3" t="str">
        <f t="shared" si="113"/>
        <v/>
      </c>
      <c r="AU509" s="4" t="str">
        <f t="shared" si="113"/>
        <v/>
      </c>
      <c r="AV509" s="4" t="str">
        <f t="shared" si="113"/>
        <v/>
      </c>
      <c r="AW509" s="4" t="str">
        <f t="shared" si="113"/>
        <v/>
      </c>
      <c r="AX509" s="4">
        <f t="shared" si="113"/>
        <v>1</v>
      </c>
      <c r="AY509" s="4" t="str">
        <f t="shared" si="113"/>
        <v/>
      </c>
      <c r="AZ509" s="4" t="str">
        <f t="shared" si="113"/>
        <v/>
      </c>
      <c r="BA509" s="4" t="str">
        <f t="shared" si="113"/>
        <v/>
      </c>
      <c r="BB509" s="4" t="str">
        <f t="shared" si="110"/>
        <v/>
      </c>
      <c r="BC509" s="4" t="str">
        <f t="shared" si="110"/>
        <v/>
      </c>
      <c r="BD509" s="4" t="str">
        <f t="shared" si="110"/>
        <v/>
      </c>
      <c r="BE509" s="4" t="str">
        <f t="shared" si="110"/>
        <v/>
      </c>
      <c r="BF509" s="4" t="str">
        <f t="shared" si="110"/>
        <v/>
      </c>
      <c r="BG509" s="4" t="str">
        <f t="shared" si="110"/>
        <v/>
      </c>
      <c r="BH509" s="4" t="str">
        <f t="shared" si="110"/>
        <v/>
      </c>
      <c r="BI509" s="5" t="str">
        <f t="shared" si="110"/>
        <v/>
      </c>
    </row>
    <row r="510" spans="1:61" x14ac:dyDescent="0.25">
      <c r="A510">
        <v>721240</v>
      </c>
      <c r="B510" t="s">
        <v>15</v>
      </c>
      <c r="C510" t="s">
        <v>16</v>
      </c>
      <c r="D510">
        <v>64679</v>
      </c>
      <c r="E510">
        <v>314</v>
      </c>
      <c r="F510">
        <v>1</v>
      </c>
      <c r="G510">
        <v>20132</v>
      </c>
      <c r="H510" t="s">
        <v>0</v>
      </c>
      <c r="I510">
        <v>244694</v>
      </c>
      <c r="J510">
        <v>7996</v>
      </c>
      <c r="K510">
        <v>177706.49</v>
      </c>
      <c r="L510">
        <v>177498.79</v>
      </c>
      <c r="M510">
        <v>207.7</v>
      </c>
      <c r="N510" s="3" t="str">
        <f t="shared" si="111"/>
        <v/>
      </c>
      <c r="O510" s="4" t="str">
        <f t="shared" si="111"/>
        <v/>
      </c>
      <c r="P510" s="4" t="str">
        <f t="shared" si="111"/>
        <v/>
      </c>
      <c r="Q510" s="4" t="str">
        <f t="shared" si="111"/>
        <v/>
      </c>
      <c r="R510" s="4" t="str">
        <f t="shared" si="111"/>
        <v/>
      </c>
      <c r="S510" s="4" t="str">
        <f t="shared" si="111"/>
        <v/>
      </c>
      <c r="T510" s="4" t="str">
        <f t="shared" si="111"/>
        <v/>
      </c>
      <c r="U510" s="4" t="str">
        <f t="shared" si="111"/>
        <v/>
      </c>
      <c r="V510" s="4" t="str">
        <f t="shared" si="108"/>
        <v/>
      </c>
      <c r="W510" s="4" t="str">
        <f t="shared" si="108"/>
        <v/>
      </c>
      <c r="X510" s="4" t="str">
        <f t="shared" si="108"/>
        <v/>
      </c>
      <c r="Y510" s="4" t="str">
        <f t="shared" si="108"/>
        <v/>
      </c>
      <c r="Z510" s="4" t="str">
        <f t="shared" si="108"/>
        <v/>
      </c>
      <c r="AA510" s="4" t="str">
        <f t="shared" si="108"/>
        <v/>
      </c>
      <c r="AB510" s="4" t="str">
        <f t="shared" si="108"/>
        <v/>
      </c>
      <c r="AC510" s="5" t="str">
        <f t="shared" si="108"/>
        <v/>
      </c>
      <c r="AD510" s="3" t="str">
        <f t="shared" si="112"/>
        <v/>
      </c>
      <c r="AE510" s="4" t="str">
        <f t="shared" si="112"/>
        <v/>
      </c>
      <c r="AF510" s="4" t="str">
        <f t="shared" si="112"/>
        <v/>
      </c>
      <c r="AG510" s="4" t="str">
        <f t="shared" si="112"/>
        <v/>
      </c>
      <c r="AH510" s="4" t="str">
        <f t="shared" si="112"/>
        <v/>
      </c>
      <c r="AI510" s="4" t="str">
        <f t="shared" si="112"/>
        <v/>
      </c>
      <c r="AJ510" s="4" t="str">
        <f t="shared" si="112"/>
        <v/>
      </c>
      <c r="AK510" s="4" t="str">
        <f t="shared" si="112"/>
        <v/>
      </c>
      <c r="AL510" s="4" t="str">
        <f t="shared" si="109"/>
        <v/>
      </c>
      <c r="AM510" s="4" t="str">
        <f t="shared" si="109"/>
        <v/>
      </c>
      <c r="AN510" s="4" t="str">
        <f t="shared" si="109"/>
        <v/>
      </c>
      <c r="AO510" s="4" t="str">
        <f t="shared" si="109"/>
        <v/>
      </c>
      <c r="AP510" s="4" t="str">
        <f t="shared" si="109"/>
        <v/>
      </c>
      <c r="AQ510" s="4" t="str">
        <f t="shared" si="109"/>
        <v/>
      </c>
      <c r="AR510" s="4" t="str">
        <f t="shared" si="109"/>
        <v/>
      </c>
      <c r="AS510" s="5" t="str">
        <f t="shared" si="109"/>
        <v/>
      </c>
      <c r="AT510" s="3" t="str">
        <f t="shared" si="113"/>
        <v/>
      </c>
      <c r="AU510" s="4" t="str">
        <f t="shared" si="113"/>
        <v/>
      </c>
      <c r="AV510" s="4" t="str">
        <f t="shared" si="113"/>
        <v/>
      </c>
      <c r="AW510" s="4" t="str">
        <f t="shared" si="113"/>
        <v/>
      </c>
      <c r="AX510" s="4" t="str">
        <f t="shared" si="113"/>
        <v/>
      </c>
      <c r="AY510" s="4">
        <f t="shared" si="113"/>
        <v>1</v>
      </c>
      <c r="AZ510" s="4" t="str">
        <f t="shared" si="113"/>
        <v/>
      </c>
      <c r="BA510" s="4" t="str">
        <f t="shared" si="113"/>
        <v/>
      </c>
      <c r="BB510" s="4" t="str">
        <f t="shared" si="110"/>
        <v/>
      </c>
      <c r="BC510" s="4" t="str">
        <f t="shared" si="110"/>
        <v/>
      </c>
      <c r="BD510" s="4" t="str">
        <f t="shared" si="110"/>
        <v/>
      </c>
      <c r="BE510" s="4" t="str">
        <f t="shared" si="110"/>
        <v/>
      </c>
      <c r="BF510" s="4" t="str">
        <f t="shared" si="110"/>
        <v/>
      </c>
      <c r="BG510" s="4" t="str">
        <f t="shared" si="110"/>
        <v/>
      </c>
      <c r="BH510" s="4" t="str">
        <f t="shared" si="110"/>
        <v/>
      </c>
      <c r="BI510" s="5" t="str">
        <f t="shared" si="110"/>
        <v/>
      </c>
    </row>
    <row r="511" spans="1:61" x14ac:dyDescent="0.25">
      <c r="A511">
        <v>721241</v>
      </c>
      <c r="B511" t="s">
        <v>15</v>
      </c>
      <c r="C511" t="s">
        <v>16</v>
      </c>
      <c r="D511">
        <v>64679</v>
      </c>
      <c r="E511">
        <v>314</v>
      </c>
      <c r="F511">
        <v>1</v>
      </c>
      <c r="G511">
        <v>20133</v>
      </c>
      <c r="H511" t="s">
        <v>0</v>
      </c>
      <c r="I511">
        <v>171201.06</v>
      </c>
      <c r="J511">
        <v>5594</v>
      </c>
      <c r="K511">
        <v>127016.12</v>
      </c>
      <c r="L511">
        <v>126885.64</v>
      </c>
      <c r="M511">
        <v>130.47999999999999</v>
      </c>
      <c r="N511" s="3" t="str">
        <f t="shared" si="111"/>
        <v/>
      </c>
      <c r="O511" s="4" t="str">
        <f t="shared" si="111"/>
        <v/>
      </c>
      <c r="P511" s="4" t="str">
        <f t="shared" si="111"/>
        <v/>
      </c>
      <c r="Q511" s="4" t="str">
        <f t="shared" si="111"/>
        <v/>
      </c>
      <c r="R511" s="4" t="str">
        <f t="shared" si="111"/>
        <v/>
      </c>
      <c r="S511" s="4" t="str">
        <f t="shared" si="111"/>
        <v/>
      </c>
      <c r="T511" s="4" t="str">
        <f t="shared" si="111"/>
        <v/>
      </c>
      <c r="U511" s="4" t="str">
        <f t="shared" si="111"/>
        <v/>
      </c>
      <c r="V511" s="4" t="str">
        <f t="shared" si="108"/>
        <v/>
      </c>
      <c r="W511" s="4" t="str">
        <f t="shared" si="108"/>
        <v/>
      </c>
      <c r="X511" s="4" t="str">
        <f t="shared" si="108"/>
        <v/>
      </c>
      <c r="Y511" s="4" t="str">
        <f t="shared" si="108"/>
        <v/>
      </c>
      <c r="Z511" s="4" t="str">
        <f t="shared" si="108"/>
        <v/>
      </c>
      <c r="AA511" s="4" t="str">
        <f t="shared" si="108"/>
        <v/>
      </c>
      <c r="AB511" s="4" t="str">
        <f t="shared" si="108"/>
        <v/>
      </c>
      <c r="AC511" s="5" t="str">
        <f t="shared" si="108"/>
        <v/>
      </c>
      <c r="AD511" s="3" t="str">
        <f t="shared" si="112"/>
        <v/>
      </c>
      <c r="AE511" s="4" t="str">
        <f t="shared" si="112"/>
        <v/>
      </c>
      <c r="AF511" s="4" t="str">
        <f t="shared" si="112"/>
        <v/>
      </c>
      <c r="AG511" s="4" t="str">
        <f t="shared" si="112"/>
        <v/>
      </c>
      <c r="AH511" s="4" t="str">
        <f t="shared" si="112"/>
        <v/>
      </c>
      <c r="AI511" s="4" t="str">
        <f t="shared" si="112"/>
        <v/>
      </c>
      <c r="AJ511" s="4" t="str">
        <f t="shared" si="112"/>
        <v/>
      </c>
      <c r="AK511" s="4" t="str">
        <f t="shared" si="112"/>
        <v/>
      </c>
      <c r="AL511" s="4" t="str">
        <f t="shared" si="109"/>
        <v/>
      </c>
      <c r="AM511" s="4" t="str">
        <f t="shared" si="109"/>
        <v/>
      </c>
      <c r="AN511" s="4" t="str">
        <f t="shared" si="109"/>
        <v/>
      </c>
      <c r="AO511" s="4" t="str">
        <f t="shared" si="109"/>
        <v/>
      </c>
      <c r="AP511" s="4" t="str">
        <f t="shared" si="109"/>
        <v/>
      </c>
      <c r="AQ511" s="4" t="str">
        <f t="shared" si="109"/>
        <v/>
      </c>
      <c r="AR511" s="4" t="str">
        <f t="shared" si="109"/>
        <v/>
      </c>
      <c r="AS511" s="5" t="str">
        <f t="shared" si="109"/>
        <v/>
      </c>
      <c r="AT511" s="3" t="str">
        <f t="shared" si="113"/>
        <v/>
      </c>
      <c r="AU511" s="4" t="str">
        <f t="shared" si="113"/>
        <v/>
      </c>
      <c r="AV511" s="4" t="str">
        <f t="shared" si="113"/>
        <v/>
      </c>
      <c r="AW511" s="4" t="str">
        <f t="shared" si="113"/>
        <v/>
      </c>
      <c r="AX511" s="4" t="str">
        <f t="shared" si="113"/>
        <v/>
      </c>
      <c r="AY511" s="4" t="str">
        <f t="shared" si="113"/>
        <v/>
      </c>
      <c r="AZ511" s="4">
        <f t="shared" si="113"/>
        <v>1</v>
      </c>
      <c r="BA511" s="4" t="str">
        <f t="shared" si="113"/>
        <v/>
      </c>
      <c r="BB511" s="4" t="str">
        <f t="shared" si="110"/>
        <v/>
      </c>
      <c r="BC511" s="4" t="str">
        <f t="shared" si="110"/>
        <v/>
      </c>
      <c r="BD511" s="4" t="str">
        <f t="shared" si="110"/>
        <v/>
      </c>
      <c r="BE511" s="4" t="str">
        <f t="shared" si="110"/>
        <v/>
      </c>
      <c r="BF511" s="4" t="str">
        <f t="shared" si="110"/>
        <v/>
      </c>
      <c r="BG511" s="4" t="str">
        <f t="shared" si="110"/>
        <v/>
      </c>
      <c r="BH511" s="4" t="str">
        <f t="shared" si="110"/>
        <v/>
      </c>
      <c r="BI511" s="5" t="str">
        <f t="shared" si="110"/>
        <v/>
      </c>
    </row>
    <row r="512" spans="1:61" x14ac:dyDescent="0.25">
      <c r="A512">
        <v>721242</v>
      </c>
      <c r="B512" t="s">
        <v>15</v>
      </c>
      <c r="C512" t="s">
        <v>16</v>
      </c>
      <c r="D512">
        <v>64679</v>
      </c>
      <c r="E512">
        <v>314</v>
      </c>
      <c r="F512">
        <v>1</v>
      </c>
      <c r="G512">
        <v>20134</v>
      </c>
      <c r="H512" t="s">
        <v>0</v>
      </c>
      <c r="I512">
        <v>78052.06</v>
      </c>
      <c r="J512">
        <v>2690</v>
      </c>
      <c r="K512">
        <v>44827.05</v>
      </c>
      <c r="L512">
        <v>44723.55</v>
      </c>
      <c r="M512">
        <v>103.5</v>
      </c>
      <c r="N512" s="3" t="str">
        <f t="shared" si="111"/>
        <v/>
      </c>
      <c r="O512" s="4" t="str">
        <f t="shared" si="111"/>
        <v/>
      </c>
      <c r="P512" s="4" t="str">
        <f t="shared" si="111"/>
        <v/>
      </c>
      <c r="Q512" s="4" t="str">
        <f t="shared" si="111"/>
        <v/>
      </c>
      <c r="R512" s="4" t="str">
        <f t="shared" si="111"/>
        <v/>
      </c>
      <c r="S512" s="4" t="str">
        <f t="shared" si="111"/>
        <v/>
      </c>
      <c r="T512" s="4" t="str">
        <f t="shared" si="111"/>
        <v/>
      </c>
      <c r="U512" s="4" t="str">
        <f t="shared" si="111"/>
        <v/>
      </c>
      <c r="V512" s="4" t="str">
        <f t="shared" si="108"/>
        <v/>
      </c>
      <c r="W512" s="4" t="str">
        <f t="shared" si="108"/>
        <v/>
      </c>
      <c r="X512" s="4" t="str">
        <f t="shared" si="108"/>
        <v/>
      </c>
      <c r="Y512" s="4" t="str">
        <f t="shared" si="108"/>
        <v/>
      </c>
      <c r="Z512" s="4" t="str">
        <f t="shared" si="108"/>
        <v/>
      </c>
      <c r="AA512" s="4" t="str">
        <f t="shared" si="108"/>
        <v/>
      </c>
      <c r="AB512" s="4" t="str">
        <f t="shared" si="108"/>
        <v/>
      </c>
      <c r="AC512" s="5" t="str">
        <f t="shared" si="108"/>
        <v/>
      </c>
      <c r="AD512" s="3" t="str">
        <f t="shared" si="112"/>
        <v/>
      </c>
      <c r="AE512" s="4" t="str">
        <f t="shared" si="112"/>
        <v/>
      </c>
      <c r="AF512" s="4" t="str">
        <f t="shared" si="112"/>
        <v/>
      </c>
      <c r="AG512" s="4" t="str">
        <f t="shared" si="112"/>
        <v/>
      </c>
      <c r="AH512" s="4" t="str">
        <f t="shared" si="112"/>
        <v/>
      </c>
      <c r="AI512" s="4" t="str">
        <f t="shared" si="112"/>
        <v/>
      </c>
      <c r="AJ512" s="4" t="str">
        <f t="shared" si="112"/>
        <v/>
      </c>
      <c r="AK512" s="4" t="str">
        <f t="shared" si="112"/>
        <v/>
      </c>
      <c r="AL512" s="4" t="str">
        <f t="shared" si="109"/>
        <v/>
      </c>
      <c r="AM512" s="4" t="str">
        <f t="shared" si="109"/>
        <v/>
      </c>
      <c r="AN512" s="4" t="str">
        <f t="shared" si="109"/>
        <v/>
      </c>
      <c r="AO512" s="4" t="str">
        <f t="shared" si="109"/>
        <v/>
      </c>
      <c r="AP512" s="4" t="str">
        <f t="shared" si="109"/>
        <v/>
      </c>
      <c r="AQ512" s="4" t="str">
        <f t="shared" si="109"/>
        <v/>
      </c>
      <c r="AR512" s="4" t="str">
        <f t="shared" si="109"/>
        <v/>
      </c>
      <c r="AS512" s="5" t="str">
        <f t="shared" si="109"/>
        <v/>
      </c>
      <c r="AT512" s="3" t="str">
        <f t="shared" si="113"/>
        <v/>
      </c>
      <c r="AU512" s="4" t="str">
        <f t="shared" si="113"/>
        <v/>
      </c>
      <c r="AV512" s="4" t="str">
        <f t="shared" si="113"/>
        <v/>
      </c>
      <c r="AW512" s="4" t="str">
        <f t="shared" si="113"/>
        <v/>
      </c>
      <c r="AX512" s="4" t="str">
        <f t="shared" si="113"/>
        <v/>
      </c>
      <c r="AY512" s="4" t="str">
        <f t="shared" si="113"/>
        <v/>
      </c>
      <c r="AZ512" s="4" t="str">
        <f t="shared" si="113"/>
        <v/>
      </c>
      <c r="BA512" s="4">
        <f t="shared" si="113"/>
        <v>1</v>
      </c>
      <c r="BB512" s="4" t="str">
        <f t="shared" si="110"/>
        <v/>
      </c>
      <c r="BC512" s="4" t="str">
        <f t="shared" si="110"/>
        <v/>
      </c>
      <c r="BD512" s="4" t="str">
        <f t="shared" si="110"/>
        <v/>
      </c>
      <c r="BE512" s="4" t="str">
        <f t="shared" si="110"/>
        <v/>
      </c>
      <c r="BF512" s="4" t="str">
        <f t="shared" si="110"/>
        <v/>
      </c>
      <c r="BG512" s="4" t="str">
        <f t="shared" si="110"/>
        <v/>
      </c>
      <c r="BH512" s="4" t="str">
        <f t="shared" si="110"/>
        <v/>
      </c>
      <c r="BI512" s="5" t="str">
        <f t="shared" si="110"/>
        <v/>
      </c>
    </row>
    <row r="513" spans="1:61" x14ac:dyDescent="0.25">
      <c r="A513">
        <v>721243</v>
      </c>
      <c r="B513" t="s">
        <v>15</v>
      </c>
      <c r="C513" t="s">
        <v>16</v>
      </c>
      <c r="D513">
        <v>64679</v>
      </c>
      <c r="E513">
        <v>314</v>
      </c>
      <c r="F513">
        <v>2</v>
      </c>
      <c r="G513">
        <v>20131</v>
      </c>
      <c r="H513" t="s">
        <v>0</v>
      </c>
      <c r="I513">
        <v>42649.03</v>
      </c>
      <c r="J513">
        <v>1387</v>
      </c>
      <c r="K513">
        <v>46936.21</v>
      </c>
      <c r="L513">
        <v>46785.26</v>
      </c>
      <c r="M513">
        <v>150.94999999999999</v>
      </c>
      <c r="N513" s="3" t="str">
        <f t="shared" si="111"/>
        <v/>
      </c>
      <c r="O513" s="4" t="str">
        <f t="shared" si="111"/>
        <v/>
      </c>
      <c r="P513" s="4" t="str">
        <f t="shared" si="111"/>
        <v/>
      </c>
      <c r="Q513" s="4" t="str">
        <f t="shared" si="111"/>
        <v/>
      </c>
      <c r="R513" s="4" t="str">
        <f t="shared" si="111"/>
        <v/>
      </c>
      <c r="S513" s="4" t="str">
        <f t="shared" si="111"/>
        <v/>
      </c>
      <c r="T513" s="4" t="str">
        <f t="shared" si="111"/>
        <v/>
      </c>
      <c r="U513" s="4" t="str">
        <f t="shared" si="111"/>
        <v/>
      </c>
      <c r="V513" s="4" t="str">
        <f t="shared" si="108"/>
        <v/>
      </c>
      <c r="W513" s="4" t="str">
        <f t="shared" si="108"/>
        <v/>
      </c>
      <c r="X513" s="4" t="str">
        <f t="shared" si="108"/>
        <v/>
      </c>
      <c r="Y513" s="4" t="str">
        <f t="shared" si="108"/>
        <v/>
      </c>
      <c r="Z513" s="4" t="str">
        <f t="shared" si="108"/>
        <v/>
      </c>
      <c r="AA513" s="4" t="str">
        <f t="shared" si="108"/>
        <v/>
      </c>
      <c r="AB513" s="4" t="str">
        <f t="shared" si="108"/>
        <v/>
      </c>
      <c r="AC513" s="5" t="str">
        <f t="shared" si="108"/>
        <v/>
      </c>
      <c r="AD513" s="3" t="str">
        <f t="shared" si="112"/>
        <v/>
      </c>
      <c r="AE513" s="4" t="str">
        <f t="shared" si="112"/>
        <v/>
      </c>
      <c r="AF513" s="4" t="str">
        <f t="shared" si="112"/>
        <v/>
      </c>
      <c r="AG513" s="4" t="str">
        <f t="shared" si="112"/>
        <v/>
      </c>
      <c r="AH513" s="4" t="str">
        <f t="shared" si="112"/>
        <v/>
      </c>
      <c r="AI513" s="4" t="str">
        <f t="shared" si="112"/>
        <v/>
      </c>
      <c r="AJ513" s="4" t="str">
        <f t="shared" si="112"/>
        <v/>
      </c>
      <c r="AK513" s="4" t="str">
        <f t="shared" si="112"/>
        <v/>
      </c>
      <c r="AL513" s="4" t="str">
        <f t="shared" si="109"/>
        <v/>
      </c>
      <c r="AM513" s="4" t="str">
        <f t="shared" si="109"/>
        <v/>
      </c>
      <c r="AN513" s="4" t="str">
        <f t="shared" si="109"/>
        <v/>
      </c>
      <c r="AO513" s="4" t="str">
        <f t="shared" si="109"/>
        <v/>
      </c>
      <c r="AP513" s="4" t="str">
        <f t="shared" si="109"/>
        <v/>
      </c>
      <c r="AQ513" s="4" t="str">
        <f t="shared" si="109"/>
        <v/>
      </c>
      <c r="AR513" s="4" t="str">
        <f t="shared" si="109"/>
        <v/>
      </c>
      <c r="AS513" s="5" t="str">
        <f t="shared" si="109"/>
        <v/>
      </c>
      <c r="AT513" s="3" t="str">
        <f t="shared" si="113"/>
        <v/>
      </c>
      <c r="AU513" s="4" t="str">
        <f t="shared" si="113"/>
        <v/>
      </c>
      <c r="AV513" s="4" t="str">
        <f t="shared" si="113"/>
        <v/>
      </c>
      <c r="AW513" s="4" t="str">
        <f t="shared" si="113"/>
        <v/>
      </c>
      <c r="AX513" s="4">
        <f t="shared" si="113"/>
        <v>1</v>
      </c>
      <c r="AY513" s="4" t="str">
        <f t="shared" si="113"/>
        <v/>
      </c>
      <c r="AZ513" s="4" t="str">
        <f t="shared" si="113"/>
        <v/>
      </c>
      <c r="BA513" s="4" t="str">
        <f t="shared" si="113"/>
        <v/>
      </c>
      <c r="BB513" s="4" t="str">
        <f t="shared" si="110"/>
        <v/>
      </c>
      <c r="BC513" s="4" t="str">
        <f t="shared" si="110"/>
        <v/>
      </c>
      <c r="BD513" s="4" t="str">
        <f t="shared" si="110"/>
        <v/>
      </c>
      <c r="BE513" s="4" t="str">
        <f t="shared" si="110"/>
        <v/>
      </c>
      <c r="BF513" s="4" t="str">
        <f t="shared" si="110"/>
        <v/>
      </c>
      <c r="BG513" s="4" t="str">
        <f t="shared" si="110"/>
        <v/>
      </c>
      <c r="BH513" s="4" t="str">
        <f t="shared" si="110"/>
        <v/>
      </c>
      <c r="BI513" s="5" t="str">
        <f t="shared" si="110"/>
        <v/>
      </c>
    </row>
    <row r="514" spans="1:61" x14ac:dyDescent="0.25">
      <c r="A514">
        <v>721244</v>
      </c>
      <c r="B514" t="s">
        <v>15</v>
      </c>
      <c r="C514" t="s">
        <v>16</v>
      </c>
      <c r="D514">
        <v>64679</v>
      </c>
      <c r="E514">
        <v>314</v>
      </c>
      <c r="F514">
        <v>2</v>
      </c>
      <c r="G514">
        <v>20132</v>
      </c>
      <c r="H514" t="s">
        <v>0</v>
      </c>
      <c r="I514">
        <v>66075</v>
      </c>
      <c r="J514">
        <v>2062</v>
      </c>
      <c r="K514">
        <v>62839.74</v>
      </c>
      <c r="L514">
        <v>62286.25</v>
      </c>
      <c r="M514">
        <v>553.49</v>
      </c>
      <c r="N514" s="3" t="str">
        <f t="shared" si="111"/>
        <v/>
      </c>
      <c r="O514" s="4" t="str">
        <f t="shared" si="111"/>
        <v/>
      </c>
      <c r="P514" s="4" t="str">
        <f t="shared" si="111"/>
        <v/>
      </c>
      <c r="Q514" s="4" t="str">
        <f t="shared" si="111"/>
        <v/>
      </c>
      <c r="R514" s="4" t="str">
        <f t="shared" si="111"/>
        <v/>
      </c>
      <c r="S514" s="4" t="str">
        <f t="shared" si="111"/>
        <v/>
      </c>
      <c r="T514" s="4" t="str">
        <f t="shared" si="111"/>
        <v/>
      </c>
      <c r="U514" s="4" t="str">
        <f t="shared" si="111"/>
        <v/>
      </c>
      <c r="V514" s="4" t="str">
        <f t="shared" si="108"/>
        <v/>
      </c>
      <c r="W514" s="4" t="str">
        <f t="shared" si="108"/>
        <v/>
      </c>
      <c r="X514" s="4" t="str">
        <f t="shared" si="108"/>
        <v/>
      </c>
      <c r="Y514" s="4" t="str">
        <f t="shared" si="108"/>
        <v/>
      </c>
      <c r="Z514" s="4" t="str">
        <f t="shared" si="108"/>
        <v/>
      </c>
      <c r="AA514" s="4" t="str">
        <f t="shared" si="108"/>
        <v/>
      </c>
      <c r="AB514" s="4" t="str">
        <f t="shared" si="108"/>
        <v/>
      </c>
      <c r="AC514" s="5" t="str">
        <f t="shared" si="108"/>
        <v/>
      </c>
      <c r="AD514" s="3" t="str">
        <f t="shared" si="112"/>
        <v/>
      </c>
      <c r="AE514" s="4" t="str">
        <f t="shared" si="112"/>
        <v/>
      </c>
      <c r="AF514" s="4" t="str">
        <f t="shared" si="112"/>
        <v/>
      </c>
      <c r="AG514" s="4" t="str">
        <f t="shared" si="112"/>
        <v/>
      </c>
      <c r="AH514" s="4" t="str">
        <f t="shared" si="112"/>
        <v/>
      </c>
      <c r="AI514" s="4" t="str">
        <f t="shared" si="112"/>
        <v/>
      </c>
      <c r="AJ514" s="4" t="str">
        <f t="shared" si="112"/>
        <v/>
      </c>
      <c r="AK514" s="4" t="str">
        <f t="shared" si="112"/>
        <v/>
      </c>
      <c r="AL514" s="4" t="str">
        <f t="shared" si="109"/>
        <v/>
      </c>
      <c r="AM514" s="4" t="str">
        <f t="shared" si="109"/>
        <v/>
      </c>
      <c r="AN514" s="4" t="str">
        <f t="shared" si="109"/>
        <v/>
      </c>
      <c r="AO514" s="4" t="str">
        <f t="shared" si="109"/>
        <v/>
      </c>
      <c r="AP514" s="4" t="str">
        <f t="shared" si="109"/>
        <v/>
      </c>
      <c r="AQ514" s="4" t="str">
        <f t="shared" si="109"/>
        <v/>
      </c>
      <c r="AR514" s="4" t="str">
        <f t="shared" si="109"/>
        <v/>
      </c>
      <c r="AS514" s="5" t="str">
        <f t="shared" si="109"/>
        <v/>
      </c>
      <c r="AT514" s="3" t="str">
        <f t="shared" si="113"/>
        <v/>
      </c>
      <c r="AU514" s="4" t="str">
        <f t="shared" si="113"/>
        <v/>
      </c>
      <c r="AV514" s="4" t="str">
        <f t="shared" si="113"/>
        <v/>
      </c>
      <c r="AW514" s="4" t="str">
        <f t="shared" si="113"/>
        <v/>
      </c>
      <c r="AX514" s="4" t="str">
        <f t="shared" si="113"/>
        <v/>
      </c>
      <c r="AY514" s="4">
        <f t="shared" si="113"/>
        <v>1</v>
      </c>
      <c r="AZ514" s="4" t="str">
        <f t="shared" si="113"/>
        <v/>
      </c>
      <c r="BA514" s="4" t="str">
        <f t="shared" si="113"/>
        <v/>
      </c>
      <c r="BB514" s="4" t="str">
        <f t="shared" si="110"/>
        <v/>
      </c>
      <c r="BC514" s="4" t="str">
        <f t="shared" si="110"/>
        <v/>
      </c>
      <c r="BD514" s="4" t="str">
        <f t="shared" si="110"/>
        <v/>
      </c>
      <c r="BE514" s="4" t="str">
        <f t="shared" si="110"/>
        <v/>
      </c>
      <c r="BF514" s="4" t="str">
        <f t="shared" si="110"/>
        <v/>
      </c>
      <c r="BG514" s="4" t="str">
        <f t="shared" si="110"/>
        <v/>
      </c>
      <c r="BH514" s="4" t="str">
        <f t="shared" si="110"/>
        <v/>
      </c>
      <c r="BI514" s="5" t="str">
        <f t="shared" si="110"/>
        <v/>
      </c>
    </row>
    <row r="515" spans="1:61" x14ac:dyDescent="0.25">
      <c r="A515">
        <v>721245</v>
      </c>
      <c r="B515" t="s">
        <v>15</v>
      </c>
      <c r="C515" t="s">
        <v>16</v>
      </c>
      <c r="D515">
        <v>64679</v>
      </c>
      <c r="E515">
        <v>314</v>
      </c>
      <c r="F515">
        <v>2</v>
      </c>
      <c r="G515">
        <v>20133</v>
      </c>
      <c r="H515" t="s">
        <v>0</v>
      </c>
      <c r="I515">
        <v>48967</v>
      </c>
      <c r="J515">
        <v>1586</v>
      </c>
      <c r="K515">
        <v>37189.1</v>
      </c>
      <c r="L515">
        <v>37093.1</v>
      </c>
      <c r="M515">
        <v>96</v>
      </c>
      <c r="N515" s="3" t="str">
        <f t="shared" si="111"/>
        <v/>
      </c>
      <c r="O515" s="4" t="str">
        <f t="shared" si="111"/>
        <v/>
      </c>
      <c r="P515" s="4" t="str">
        <f t="shared" si="111"/>
        <v/>
      </c>
      <c r="Q515" s="4" t="str">
        <f t="shared" si="111"/>
        <v/>
      </c>
      <c r="R515" s="4" t="str">
        <f t="shared" si="111"/>
        <v/>
      </c>
      <c r="S515" s="4" t="str">
        <f t="shared" si="111"/>
        <v/>
      </c>
      <c r="T515" s="4" t="str">
        <f t="shared" si="111"/>
        <v/>
      </c>
      <c r="U515" s="4" t="str">
        <f t="shared" si="111"/>
        <v/>
      </c>
      <c r="V515" s="4" t="str">
        <f t="shared" si="108"/>
        <v/>
      </c>
      <c r="W515" s="4" t="str">
        <f t="shared" si="108"/>
        <v/>
      </c>
      <c r="X515" s="4" t="str">
        <f t="shared" si="108"/>
        <v/>
      </c>
      <c r="Y515" s="4" t="str">
        <f t="shared" si="108"/>
        <v/>
      </c>
      <c r="Z515" s="4" t="str">
        <f t="shared" si="108"/>
        <v/>
      </c>
      <c r="AA515" s="4" t="str">
        <f t="shared" si="108"/>
        <v/>
      </c>
      <c r="AB515" s="4" t="str">
        <f t="shared" si="108"/>
        <v/>
      </c>
      <c r="AC515" s="5" t="str">
        <f t="shared" si="108"/>
        <v/>
      </c>
      <c r="AD515" s="3" t="str">
        <f t="shared" si="112"/>
        <v/>
      </c>
      <c r="AE515" s="4" t="str">
        <f t="shared" si="112"/>
        <v/>
      </c>
      <c r="AF515" s="4" t="str">
        <f t="shared" si="112"/>
        <v/>
      </c>
      <c r="AG515" s="4" t="str">
        <f t="shared" si="112"/>
        <v/>
      </c>
      <c r="AH515" s="4" t="str">
        <f t="shared" si="112"/>
        <v/>
      </c>
      <c r="AI515" s="4" t="str">
        <f t="shared" si="112"/>
        <v/>
      </c>
      <c r="AJ515" s="4" t="str">
        <f t="shared" si="112"/>
        <v/>
      </c>
      <c r="AK515" s="4" t="str">
        <f t="shared" si="112"/>
        <v/>
      </c>
      <c r="AL515" s="4" t="str">
        <f t="shared" si="109"/>
        <v/>
      </c>
      <c r="AM515" s="4" t="str">
        <f t="shared" si="109"/>
        <v/>
      </c>
      <c r="AN515" s="4" t="str">
        <f t="shared" si="109"/>
        <v/>
      </c>
      <c r="AO515" s="4" t="str">
        <f t="shared" si="109"/>
        <v/>
      </c>
      <c r="AP515" s="4" t="str">
        <f t="shared" si="109"/>
        <v/>
      </c>
      <c r="AQ515" s="4" t="str">
        <f t="shared" si="109"/>
        <v/>
      </c>
      <c r="AR515" s="4" t="str">
        <f t="shared" si="109"/>
        <v/>
      </c>
      <c r="AS515" s="5" t="str">
        <f t="shared" si="109"/>
        <v/>
      </c>
      <c r="AT515" s="3" t="str">
        <f t="shared" si="113"/>
        <v/>
      </c>
      <c r="AU515" s="4" t="str">
        <f t="shared" si="113"/>
        <v/>
      </c>
      <c r="AV515" s="4" t="str">
        <f t="shared" si="113"/>
        <v/>
      </c>
      <c r="AW515" s="4" t="str">
        <f t="shared" si="113"/>
        <v/>
      </c>
      <c r="AX515" s="4" t="str">
        <f t="shared" si="113"/>
        <v/>
      </c>
      <c r="AY515" s="4" t="str">
        <f t="shared" si="113"/>
        <v/>
      </c>
      <c r="AZ515" s="4">
        <f t="shared" si="113"/>
        <v>1</v>
      </c>
      <c r="BA515" s="4" t="str">
        <f t="shared" si="113"/>
        <v/>
      </c>
      <c r="BB515" s="4" t="str">
        <f t="shared" si="110"/>
        <v/>
      </c>
      <c r="BC515" s="4" t="str">
        <f t="shared" si="110"/>
        <v/>
      </c>
      <c r="BD515" s="4" t="str">
        <f t="shared" si="110"/>
        <v/>
      </c>
      <c r="BE515" s="4" t="str">
        <f t="shared" si="110"/>
        <v/>
      </c>
      <c r="BF515" s="4" t="str">
        <f t="shared" si="110"/>
        <v/>
      </c>
      <c r="BG515" s="4" t="str">
        <f t="shared" si="110"/>
        <v/>
      </c>
      <c r="BH515" s="4" t="str">
        <f t="shared" si="110"/>
        <v/>
      </c>
      <c r="BI515" s="5" t="str">
        <f t="shared" si="110"/>
        <v/>
      </c>
    </row>
    <row r="516" spans="1:61" x14ac:dyDescent="0.25">
      <c r="A516">
        <v>721246</v>
      </c>
      <c r="B516" t="s">
        <v>15</v>
      </c>
      <c r="C516" t="s">
        <v>16</v>
      </c>
      <c r="D516">
        <v>64679</v>
      </c>
      <c r="E516">
        <v>314</v>
      </c>
      <c r="F516">
        <v>2</v>
      </c>
      <c r="G516">
        <v>20134</v>
      </c>
      <c r="H516" t="s">
        <v>0</v>
      </c>
      <c r="I516">
        <v>14697</v>
      </c>
      <c r="J516">
        <v>491</v>
      </c>
      <c r="K516">
        <v>9824.9500000000007</v>
      </c>
      <c r="L516">
        <v>9803.4500000000007</v>
      </c>
      <c r="M516">
        <v>21.5</v>
      </c>
      <c r="N516" s="3" t="str">
        <f t="shared" si="111"/>
        <v/>
      </c>
      <c r="O516" s="4" t="str">
        <f t="shared" si="111"/>
        <v/>
      </c>
      <c r="P516" s="4" t="str">
        <f t="shared" si="111"/>
        <v/>
      </c>
      <c r="Q516" s="4" t="str">
        <f t="shared" si="111"/>
        <v/>
      </c>
      <c r="R516" s="4" t="str">
        <f t="shared" si="111"/>
        <v/>
      </c>
      <c r="S516" s="4" t="str">
        <f t="shared" si="111"/>
        <v/>
      </c>
      <c r="T516" s="4" t="str">
        <f t="shared" si="111"/>
        <v/>
      </c>
      <c r="U516" s="4" t="str">
        <f t="shared" si="111"/>
        <v/>
      </c>
      <c r="V516" s="4" t="str">
        <f t="shared" si="108"/>
        <v/>
      </c>
      <c r="W516" s="4" t="str">
        <f t="shared" si="108"/>
        <v/>
      </c>
      <c r="X516" s="4" t="str">
        <f t="shared" si="108"/>
        <v/>
      </c>
      <c r="Y516" s="4" t="str">
        <f t="shared" si="108"/>
        <v/>
      </c>
      <c r="Z516" s="4" t="str">
        <f t="shared" si="108"/>
        <v/>
      </c>
      <c r="AA516" s="4" t="str">
        <f t="shared" si="108"/>
        <v/>
      </c>
      <c r="AB516" s="4" t="str">
        <f t="shared" si="108"/>
        <v/>
      </c>
      <c r="AC516" s="5" t="str">
        <f t="shared" si="108"/>
        <v/>
      </c>
      <c r="AD516" s="3" t="str">
        <f t="shared" si="112"/>
        <v/>
      </c>
      <c r="AE516" s="4" t="str">
        <f t="shared" si="112"/>
        <v/>
      </c>
      <c r="AF516" s="4" t="str">
        <f t="shared" si="112"/>
        <v/>
      </c>
      <c r="AG516" s="4" t="str">
        <f t="shared" si="112"/>
        <v/>
      </c>
      <c r="AH516" s="4" t="str">
        <f t="shared" si="112"/>
        <v/>
      </c>
      <c r="AI516" s="4" t="str">
        <f t="shared" si="112"/>
        <v/>
      </c>
      <c r="AJ516" s="4" t="str">
        <f t="shared" si="112"/>
        <v/>
      </c>
      <c r="AK516" s="4" t="str">
        <f t="shared" si="112"/>
        <v/>
      </c>
      <c r="AL516" s="4" t="str">
        <f t="shared" si="109"/>
        <v/>
      </c>
      <c r="AM516" s="4" t="str">
        <f t="shared" si="109"/>
        <v/>
      </c>
      <c r="AN516" s="4" t="str">
        <f t="shared" si="109"/>
        <v/>
      </c>
      <c r="AO516" s="4" t="str">
        <f t="shared" si="109"/>
        <v/>
      </c>
      <c r="AP516" s="4" t="str">
        <f t="shared" si="109"/>
        <v/>
      </c>
      <c r="AQ516" s="4" t="str">
        <f t="shared" si="109"/>
        <v/>
      </c>
      <c r="AR516" s="4" t="str">
        <f t="shared" si="109"/>
        <v/>
      </c>
      <c r="AS516" s="5" t="str">
        <f t="shared" si="109"/>
        <v/>
      </c>
      <c r="AT516" s="3" t="str">
        <f t="shared" si="113"/>
        <v/>
      </c>
      <c r="AU516" s="4" t="str">
        <f t="shared" si="113"/>
        <v/>
      </c>
      <c r="AV516" s="4" t="str">
        <f t="shared" si="113"/>
        <v/>
      </c>
      <c r="AW516" s="4" t="str">
        <f t="shared" si="113"/>
        <v/>
      </c>
      <c r="AX516" s="4" t="str">
        <f t="shared" si="113"/>
        <v/>
      </c>
      <c r="AY516" s="4" t="str">
        <f t="shared" si="113"/>
        <v/>
      </c>
      <c r="AZ516" s="4" t="str">
        <f t="shared" si="113"/>
        <v/>
      </c>
      <c r="BA516" s="4">
        <f t="shared" si="113"/>
        <v>1</v>
      </c>
      <c r="BB516" s="4" t="str">
        <f t="shared" si="110"/>
        <v/>
      </c>
      <c r="BC516" s="4" t="str">
        <f t="shared" si="110"/>
        <v/>
      </c>
      <c r="BD516" s="4" t="str">
        <f t="shared" si="110"/>
        <v/>
      </c>
      <c r="BE516" s="4" t="str">
        <f t="shared" si="110"/>
        <v/>
      </c>
      <c r="BF516" s="4" t="str">
        <f t="shared" si="110"/>
        <v/>
      </c>
      <c r="BG516" s="4" t="str">
        <f t="shared" si="110"/>
        <v/>
      </c>
      <c r="BH516" s="4" t="str">
        <f t="shared" si="110"/>
        <v/>
      </c>
      <c r="BI516" s="5" t="str">
        <f t="shared" si="110"/>
        <v/>
      </c>
    </row>
    <row r="517" spans="1:61" x14ac:dyDescent="0.25">
      <c r="A517">
        <v>721247</v>
      </c>
      <c r="B517" t="s">
        <v>15</v>
      </c>
      <c r="C517" t="s">
        <v>16</v>
      </c>
      <c r="D517">
        <v>64679</v>
      </c>
      <c r="E517">
        <v>314</v>
      </c>
      <c r="F517">
        <v>3</v>
      </c>
      <c r="G517">
        <v>20131</v>
      </c>
      <c r="H517" t="s">
        <v>0</v>
      </c>
      <c r="I517">
        <v>420</v>
      </c>
      <c r="J517">
        <v>14</v>
      </c>
      <c r="K517">
        <v>128.69999999999999</v>
      </c>
      <c r="L517">
        <v>128.69999999999999</v>
      </c>
      <c r="M517">
        <v>0</v>
      </c>
      <c r="N517" s="3" t="str">
        <f t="shared" si="111"/>
        <v/>
      </c>
      <c r="O517" s="4" t="str">
        <f t="shared" si="111"/>
        <v/>
      </c>
      <c r="P517" s="4" t="str">
        <f t="shared" si="111"/>
        <v/>
      </c>
      <c r="Q517" s="4" t="str">
        <f t="shared" si="111"/>
        <v/>
      </c>
      <c r="R517" s="4" t="str">
        <f t="shared" si="111"/>
        <v/>
      </c>
      <c r="S517" s="4" t="str">
        <f t="shared" si="111"/>
        <v/>
      </c>
      <c r="T517" s="4" t="str">
        <f t="shared" si="111"/>
        <v/>
      </c>
      <c r="U517" s="4" t="str">
        <f t="shared" si="111"/>
        <v/>
      </c>
      <c r="V517" s="4" t="str">
        <f t="shared" si="108"/>
        <v/>
      </c>
      <c r="W517" s="4" t="str">
        <f t="shared" si="108"/>
        <v/>
      </c>
      <c r="X517" s="4" t="str">
        <f t="shared" si="108"/>
        <v/>
      </c>
      <c r="Y517" s="4" t="str">
        <f t="shared" si="108"/>
        <v/>
      </c>
      <c r="Z517" s="4" t="str">
        <f t="shared" si="108"/>
        <v/>
      </c>
      <c r="AA517" s="4" t="str">
        <f t="shared" si="108"/>
        <v/>
      </c>
      <c r="AB517" s="4" t="str">
        <f t="shared" si="108"/>
        <v/>
      </c>
      <c r="AC517" s="5" t="str">
        <f t="shared" si="108"/>
        <v/>
      </c>
      <c r="AD517" s="3" t="str">
        <f t="shared" si="112"/>
        <v/>
      </c>
      <c r="AE517" s="4" t="str">
        <f t="shared" si="112"/>
        <v/>
      </c>
      <c r="AF517" s="4" t="str">
        <f t="shared" si="112"/>
        <v/>
      </c>
      <c r="AG517" s="4" t="str">
        <f t="shared" si="112"/>
        <v/>
      </c>
      <c r="AH517" s="4" t="str">
        <f t="shared" si="112"/>
        <v/>
      </c>
      <c r="AI517" s="4" t="str">
        <f t="shared" si="112"/>
        <v/>
      </c>
      <c r="AJ517" s="4" t="str">
        <f t="shared" si="112"/>
        <v/>
      </c>
      <c r="AK517" s="4" t="str">
        <f t="shared" si="112"/>
        <v/>
      </c>
      <c r="AL517" s="4" t="str">
        <f t="shared" si="109"/>
        <v/>
      </c>
      <c r="AM517" s="4" t="str">
        <f t="shared" si="109"/>
        <v/>
      </c>
      <c r="AN517" s="4" t="str">
        <f t="shared" si="109"/>
        <v/>
      </c>
      <c r="AO517" s="4" t="str">
        <f t="shared" si="109"/>
        <v/>
      </c>
      <c r="AP517" s="4" t="str">
        <f t="shared" si="109"/>
        <v/>
      </c>
      <c r="AQ517" s="4" t="str">
        <f t="shared" si="109"/>
        <v/>
      </c>
      <c r="AR517" s="4" t="str">
        <f t="shared" si="109"/>
        <v/>
      </c>
      <c r="AS517" s="5" t="str">
        <f t="shared" si="109"/>
        <v/>
      </c>
      <c r="AT517" s="3" t="str">
        <f t="shared" si="113"/>
        <v/>
      </c>
      <c r="AU517" s="4" t="str">
        <f t="shared" si="113"/>
        <v/>
      </c>
      <c r="AV517" s="4" t="str">
        <f t="shared" si="113"/>
        <v/>
      </c>
      <c r="AW517" s="4" t="str">
        <f t="shared" si="113"/>
        <v/>
      </c>
      <c r="AX517" s="4">
        <f t="shared" si="113"/>
        <v>1</v>
      </c>
      <c r="AY517" s="4" t="str">
        <f t="shared" si="113"/>
        <v/>
      </c>
      <c r="AZ517" s="4" t="str">
        <f t="shared" si="113"/>
        <v/>
      </c>
      <c r="BA517" s="4" t="str">
        <f t="shared" si="113"/>
        <v/>
      </c>
      <c r="BB517" s="4" t="str">
        <f t="shared" si="110"/>
        <v/>
      </c>
      <c r="BC517" s="4" t="str">
        <f t="shared" si="110"/>
        <v/>
      </c>
      <c r="BD517" s="4" t="str">
        <f t="shared" si="110"/>
        <v/>
      </c>
      <c r="BE517" s="4" t="str">
        <f t="shared" si="110"/>
        <v/>
      </c>
      <c r="BF517" s="4" t="str">
        <f t="shared" si="110"/>
        <v/>
      </c>
      <c r="BG517" s="4" t="str">
        <f t="shared" si="110"/>
        <v/>
      </c>
      <c r="BH517" s="4" t="str">
        <f t="shared" si="110"/>
        <v/>
      </c>
      <c r="BI517" s="5" t="str">
        <f t="shared" si="110"/>
        <v/>
      </c>
    </row>
    <row r="518" spans="1:61" x14ac:dyDescent="0.25">
      <c r="A518">
        <v>721248</v>
      </c>
      <c r="B518" t="s">
        <v>15</v>
      </c>
      <c r="C518" t="s">
        <v>16</v>
      </c>
      <c r="D518">
        <v>64679</v>
      </c>
      <c r="E518">
        <v>314</v>
      </c>
      <c r="F518">
        <v>3</v>
      </c>
      <c r="G518">
        <v>20132</v>
      </c>
      <c r="H518" t="s">
        <v>0</v>
      </c>
      <c r="I518">
        <v>17922</v>
      </c>
      <c r="J518">
        <v>596</v>
      </c>
      <c r="K518">
        <v>14779.33</v>
      </c>
      <c r="L518">
        <v>14562.79</v>
      </c>
      <c r="M518">
        <v>216.54</v>
      </c>
      <c r="N518" s="3" t="str">
        <f t="shared" si="111"/>
        <v/>
      </c>
      <c r="O518" s="4" t="str">
        <f t="shared" si="111"/>
        <v/>
      </c>
      <c r="P518" s="4" t="str">
        <f t="shared" si="111"/>
        <v/>
      </c>
      <c r="Q518" s="4" t="str">
        <f t="shared" si="111"/>
        <v/>
      </c>
      <c r="R518" s="4" t="str">
        <f t="shared" si="111"/>
        <v/>
      </c>
      <c r="S518" s="4" t="str">
        <f t="shared" si="111"/>
        <v/>
      </c>
      <c r="T518" s="4" t="str">
        <f t="shared" si="111"/>
        <v/>
      </c>
      <c r="U518" s="4" t="str">
        <f t="shared" si="111"/>
        <v/>
      </c>
      <c r="V518" s="4" t="str">
        <f t="shared" si="108"/>
        <v/>
      </c>
      <c r="W518" s="4" t="str">
        <f t="shared" si="108"/>
        <v/>
      </c>
      <c r="X518" s="4" t="str">
        <f t="shared" si="108"/>
        <v/>
      </c>
      <c r="Y518" s="4" t="str">
        <f t="shared" si="108"/>
        <v/>
      </c>
      <c r="Z518" s="4" t="str">
        <f t="shared" si="108"/>
        <v/>
      </c>
      <c r="AA518" s="4" t="str">
        <f t="shared" si="108"/>
        <v/>
      </c>
      <c r="AB518" s="4" t="str">
        <f t="shared" si="108"/>
        <v/>
      </c>
      <c r="AC518" s="5" t="str">
        <f t="shared" si="108"/>
        <v/>
      </c>
      <c r="AD518" s="3" t="str">
        <f t="shared" si="112"/>
        <v/>
      </c>
      <c r="AE518" s="4" t="str">
        <f t="shared" si="112"/>
        <v/>
      </c>
      <c r="AF518" s="4" t="str">
        <f t="shared" si="112"/>
        <v/>
      </c>
      <c r="AG518" s="4" t="str">
        <f t="shared" si="112"/>
        <v/>
      </c>
      <c r="AH518" s="4" t="str">
        <f t="shared" si="112"/>
        <v/>
      </c>
      <c r="AI518" s="4" t="str">
        <f t="shared" si="112"/>
        <v/>
      </c>
      <c r="AJ518" s="4" t="str">
        <f t="shared" si="112"/>
        <v/>
      </c>
      <c r="AK518" s="4" t="str">
        <f t="shared" si="112"/>
        <v/>
      </c>
      <c r="AL518" s="4" t="str">
        <f t="shared" si="109"/>
        <v/>
      </c>
      <c r="AM518" s="4" t="str">
        <f t="shared" si="109"/>
        <v/>
      </c>
      <c r="AN518" s="4" t="str">
        <f t="shared" si="109"/>
        <v/>
      </c>
      <c r="AO518" s="4" t="str">
        <f t="shared" si="109"/>
        <v/>
      </c>
      <c r="AP518" s="4" t="str">
        <f t="shared" si="109"/>
        <v/>
      </c>
      <c r="AQ518" s="4" t="str">
        <f t="shared" si="109"/>
        <v/>
      </c>
      <c r="AR518" s="4" t="str">
        <f t="shared" si="109"/>
        <v/>
      </c>
      <c r="AS518" s="5" t="str">
        <f t="shared" si="109"/>
        <v/>
      </c>
      <c r="AT518" s="3" t="str">
        <f t="shared" si="113"/>
        <v/>
      </c>
      <c r="AU518" s="4" t="str">
        <f t="shared" si="113"/>
        <v/>
      </c>
      <c r="AV518" s="4" t="str">
        <f t="shared" si="113"/>
        <v/>
      </c>
      <c r="AW518" s="4" t="str">
        <f t="shared" si="113"/>
        <v/>
      </c>
      <c r="AX518" s="4" t="str">
        <f t="shared" si="113"/>
        <v/>
      </c>
      <c r="AY518" s="4">
        <f t="shared" si="113"/>
        <v>1</v>
      </c>
      <c r="AZ518" s="4" t="str">
        <f t="shared" si="113"/>
        <v/>
      </c>
      <c r="BA518" s="4" t="str">
        <f t="shared" si="113"/>
        <v/>
      </c>
      <c r="BB518" s="4" t="str">
        <f t="shared" si="110"/>
        <v/>
      </c>
      <c r="BC518" s="4" t="str">
        <f t="shared" si="110"/>
        <v/>
      </c>
      <c r="BD518" s="4" t="str">
        <f t="shared" si="110"/>
        <v/>
      </c>
      <c r="BE518" s="4" t="str">
        <f t="shared" si="110"/>
        <v/>
      </c>
      <c r="BF518" s="4" t="str">
        <f t="shared" si="110"/>
        <v/>
      </c>
      <c r="BG518" s="4" t="str">
        <f t="shared" si="110"/>
        <v/>
      </c>
      <c r="BH518" s="4" t="str">
        <f t="shared" si="110"/>
        <v/>
      </c>
      <c r="BI518" s="5" t="str">
        <f t="shared" si="110"/>
        <v/>
      </c>
    </row>
    <row r="519" spans="1:61" x14ac:dyDescent="0.25">
      <c r="A519">
        <v>721249</v>
      </c>
      <c r="B519" t="s">
        <v>15</v>
      </c>
      <c r="C519" t="s">
        <v>16</v>
      </c>
      <c r="D519">
        <v>64679</v>
      </c>
      <c r="E519">
        <v>314</v>
      </c>
      <c r="F519">
        <v>3</v>
      </c>
      <c r="G519">
        <v>20133</v>
      </c>
      <c r="H519" t="s">
        <v>0</v>
      </c>
      <c r="I519">
        <v>53214</v>
      </c>
      <c r="J519">
        <v>1770</v>
      </c>
      <c r="K519">
        <v>43626.68</v>
      </c>
      <c r="L519">
        <v>43313.68</v>
      </c>
      <c r="M519">
        <v>313</v>
      </c>
      <c r="N519" s="3" t="str">
        <f t="shared" si="111"/>
        <v/>
      </c>
      <c r="O519" s="4" t="str">
        <f t="shared" si="111"/>
        <v/>
      </c>
      <c r="P519" s="4" t="str">
        <f t="shared" si="111"/>
        <v/>
      </c>
      <c r="Q519" s="4" t="str">
        <f t="shared" si="111"/>
        <v/>
      </c>
      <c r="R519" s="4" t="str">
        <f t="shared" si="111"/>
        <v/>
      </c>
      <c r="S519" s="4" t="str">
        <f t="shared" si="111"/>
        <v/>
      </c>
      <c r="T519" s="4" t="str">
        <f t="shared" si="111"/>
        <v/>
      </c>
      <c r="U519" s="4" t="str">
        <f t="shared" si="111"/>
        <v/>
      </c>
      <c r="V519" s="4" t="str">
        <f t="shared" si="108"/>
        <v/>
      </c>
      <c r="W519" s="4" t="str">
        <f t="shared" si="108"/>
        <v/>
      </c>
      <c r="X519" s="4" t="str">
        <f t="shared" si="108"/>
        <v/>
      </c>
      <c r="Y519" s="4" t="str">
        <f t="shared" si="108"/>
        <v/>
      </c>
      <c r="Z519" s="4" t="str">
        <f t="shared" si="108"/>
        <v/>
      </c>
      <c r="AA519" s="4" t="str">
        <f t="shared" si="108"/>
        <v/>
      </c>
      <c r="AB519" s="4" t="str">
        <f t="shared" si="108"/>
        <v/>
      </c>
      <c r="AC519" s="5" t="str">
        <f t="shared" si="108"/>
        <v/>
      </c>
      <c r="AD519" s="3" t="str">
        <f t="shared" si="112"/>
        <v/>
      </c>
      <c r="AE519" s="4" t="str">
        <f t="shared" si="112"/>
        <v/>
      </c>
      <c r="AF519" s="4" t="str">
        <f t="shared" si="112"/>
        <v/>
      </c>
      <c r="AG519" s="4" t="str">
        <f t="shared" si="112"/>
        <v/>
      </c>
      <c r="AH519" s="4" t="str">
        <f t="shared" si="112"/>
        <v/>
      </c>
      <c r="AI519" s="4" t="str">
        <f t="shared" si="112"/>
        <v/>
      </c>
      <c r="AJ519" s="4" t="str">
        <f t="shared" si="112"/>
        <v/>
      </c>
      <c r="AK519" s="4" t="str">
        <f t="shared" si="112"/>
        <v/>
      </c>
      <c r="AL519" s="4" t="str">
        <f t="shared" si="109"/>
        <v/>
      </c>
      <c r="AM519" s="4" t="str">
        <f t="shared" si="109"/>
        <v/>
      </c>
      <c r="AN519" s="4" t="str">
        <f t="shared" si="109"/>
        <v/>
      </c>
      <c r="AO519" s="4" t="str">
        <f t="shared" si="109"/>
        <v/>
      </c>
      <c r="AP519" s="4" t="str">
        <f t="shared" si="109"/>
        <v/>
      </c>
      <c r="AQ519" s="4" t="str">
        <f t="shared" si="109"/>
        <v/>
      </c>
      <c r="AR519" s="4" t="str">
        <f t="shared" si="109"/>
        <v/>
      </c>
      <c r="AS519" s="5" t="str">
        <f t="shared" si="109"/>
        <v/>
      </c>
      <c r="AT519" s="3" t="str">
        <f t="shared" si="113"/>
        <v/>
      </c>
      <c r="AU519" s="4" t="str">
        <f t="shared" si="113"/>
        <v/>
      </c>
      <c r="AV519" s="4" t="str">
        <f t="shared" si="113"/>
        <v/>
      </c>
      <c r="AW519" s="4" t="str">
        <f t="shared" si="113"/>
        <v/>
      </c>
      <c r="AX519" s="4" t="str">
        <f t="shared" si="113"/>
        <v/>
      </c>
      <c r="AY519" s="4" t="str">
        <f t="shared" si="113"/>
        <v/>
      </c>
      <c r="AZ519" s="4">
        <f t="shared" si="113"/>
        <v>1</v>
      </c>
      <c r="BA519" s="4" t="str">
        <f t="shared" si="113"/>
        <v/>
      </c>
      <c r="BB519" s="4" t="str">
        <f t="shared" si="110"/>
        <v/>
      </c>
      <c r="BC519" s="4" t="str">
        <f t="shared" si="110"/>
        <v/>
      </c>
      <c r="BD519" s="4" t="str">
        <f t="shared" si="110"/>
        <v/>
      </c>
      <c r="BE519" s="4" t="str">
        <f t="shared" si="110"/>
        <v/>
      </c>
      <c r="BF519" s="4" t="str">
        <f t="shared" si="110"/>
        <v/>
      </c>
      <c r="BG519" s="4" t="str">
        <f t="shared" si="110"/>
        <v/>
      </c>
      <c r="BH519" s="4" t="str">
        <f t="shared" si="110"/>
        <v/>
      </c>
      <c r="BI519" s="5" t="str">
        <f t="shared" si="110"/>
        <v/>
      </c>
    </row>
    <row r="520" spans="1:61" x14ac:dyDescent="0.25">
      <c r="A520">
        <v>721250</v>
      </c>
      <c r="B520" t="s">
        <v>15</v>
      </c>
      <c r="C520" t="s">
        <v>16</v>
      </c>
      <c r="D520">
        <v>64679</v>
      </c>
      <c r="E520">
        <v>314</v>
      </c>
      <c r="F520">
        <v>3</v>
      </c>
      <c r="G520">
        <v>20134</v>
      </c>
      <c r="H520" t="s">
        <v>0</v>
      </c>
      <c r="I520">
        <v>32386</v>
      </c>
      <c r="J520">
        <v>1072</v>
      </c>
      <c r="K520">
        <v>27120.43</v>
      </c>
      <c r="L520">
        <v>26889.43</v>
      </c>
      <c r="M520">
        <v>231</v>
      </c>
      <c r="N520" s="3" t="str">
        <f t="shared" si="111"/>
        <v/>
      </c>
      <c r="O520" s="4" t="str">
        <f t="shared" si="111"/>
        <v/>
      </c>
      <c r="P520" s="4" t="str">
        <f t="shared" si="111"/>
        <v/>
      </c>
      <c r="Q520" s="4" t="str">
        <f t="shared" si="111"/>
        <v/>
      </c>
      <c r="R520" s="4" t="str">
        <f t="shared" si="111"/>
        <v/>
      </c>
      <c r="S520" s="4" t="str">
        <f t="shared" si="111"/>
        <v/>
      </c>
      <c r="T520" s="4" t="str">
        <f t="shared" si="111"/>
        <v/>
      </c>
      <c r="U520" s="4" t="str">
        <f t="shared" si="111"/>
        <v/>
      </c>
      <c r="V520" s="4" t="str">
        <f t="shared" si="108"/>
        <v/>
      </c>
      <c r="W520" s="4" t="str">
        <f t="shared" si="108"/>
        <v/>
      </c>
      <c r="X520" s="4" t="str">
        <f t="shared" si="108"/>
        <v/>
      </c>
      <c r="Y520" s="4" t="str">
        <f t="shared" si="108"/>
        <v/>
      </c>
      <c r="Z520" s="4" t="str">
        <f t="shared" si="108"/>
        <v/>
      </c>
      <c r="AA520" s="4" t="str">
        <f t="shared" si="108"/>
        <v/>
      </c>
      <c r="AB520" s="4" t="str">
        <f t="shared" si="108"/>
        <v/>
      </c>
      <c r="AC520" s="5" t="str">
        <f t="shared" ref="W520:AC557" si="114">IF(AND($B520=AC$3, $G520=AC$2, LEFT($H520, 6)=AC$1), 1, "")</f>
        <v/>
      </c>
      <c r="AD520" s="3" t="str">
        <f t="shared" si="112"/>
        <v/>
      </c>
      <c r="AE520" s="4" t="str">
        <f t="shared" si="112"/>
        <v/>
      </c>
      <c r="AF520" s="4" t="str">
        <f t="shared" si="112"/>
        <v/>
      </c>
      <c r="AG520" s="4" t="str">
        <f t="shared" si="112"/>
        <v/>
      </c>
      <c r="AH520" s="4" t="str">
        <f t="shared" si="112"/>
        <v/>
      </c>
      <c r="AI520" s="4" t="str">
        <f t="shared" si="112"/>
        <v/>
      </c>
      <c r="AJ520" s="4" t="str">
        <f t="shared" si="112"/>
        <v/>
      </c>
      <c r="AK520" s="4" t="str">
        <f t="shared" si="112"/>
        <v/>
      </c>
      <c r="AL520" s="4" t="str">
        <f t="shared" si="109"/>
        <v/>
      </c>
      <c r="AM520" s="4" t="str">
        <f t="shared" si="109"/>
        <v/>
      </c>
      <c r="AN520" s="4" t="str">
        <f t="shared" si="109"/>
        <v/>
      </c>
      <c r="AO520" s="4" t="str">
        <f t="shared" si="109"/>
        <v/>
      </c>
      <c r="AP520" s="4" t="str">
        <f t="shared" si="109"/>
        <v/>
      </c>
      <c r="AQ520" s="4" t="str">
        <f t="shared" si="109"/>
        <v/>
      </c>
      <c r="AR520" s="4" t="str">
        <f t="shared" si="109"/>
        <v/>
      </c>
      <c r="AS520" s="5" t="str">
        <f t="shared" ref="AM520:AS557" si="115">IF(AND($B520=AS$3, $G520=AS$2, LEFT($H520, 6)=AS$1), 1, "")</f>
        <v/>
      </c>
      <c r="AT520" s="3" t="str">
        <f t="shared" si="113"/>
        <v/>
      </c>
      <c r="AU520" s="4" t="str">
        <f t="shared" si="113"/>
        <v/>
      </c>
      <c r="AV520" s="4" t="str">
        <f t="shared" si="113"/>
        <v/>
      </c>
      <c r="AW520" s="4" t="str">
        <f t="shared" si="113"/>
        <v/>
      </c>
      <c r="AX520" s="4" t="str">
        <f t="shared" si="113"/>
        <v/>
      </c>
      <c r="AY520" s="4" t="str">
        <f t="shared" si="113"/>
        <v/>
      </c>
      <c r="AZ520" s="4" t="str">
        <f t="shared" si="113"/>
        <v/>
      </c>
      <c r="BA520" s="4">
        <f t="shared" si="113"/>
        <v>1</v>
      </c>
      <c r="BB520" s="4" t="str">
        <f t="shared" si="110"/>
        <v/>
      </c>
      <c r="BC520" s="4" t="str">
        <f t="shared" si="110"/>
        <v/>
      </c>
      <c r="BD520" s="4" t="str">
        <f t="shared" si="110"/>
        <v/>
      </c>
      <c r="BE520" s="4" t="str">
        <f t="shared" si="110"/>
        <v/>
      </c>
      <c r="BF520" s="4" t="str">
        <f t="shared" si="110"/>
        <v/>
      </c>
      <c r="BG520" s="4" t="str">
        <f t="shared" si="110"/>
        <v/>
      </c>
      <c r="BH520" s="4" t="str">
        <f t="shared" si="110"/>
        <v/>
      </c>
      <c r="BI520" s="5" t="str">
        <f t="shared" ref="BC520:BI557" si="116">IF(AND($B520=BI$3, $G520=BI$2, LEFT($H520, 6)=BI$1), 1, "")</f>
        <v/>
      </c>
    </row>
    <row r="521" spans="1:61" x14ac:dyDescent="0.25">
      <c r="A521">
        <v>594461</v>
      </c>
      <c r="B521" t="s">
        <v>14</v>
      </c>
      <c r="C521" t="s">
        <v>16</v>
      </c>
      <c r="D521">
        <v>64679</v>
      </c>
      <c r="E521">
        <v>315</v>
      </c>
      <c r="F521">
        <v>1</v>
      </c>
      <c r="G521">
        <v>20131</v>
      </c>
      <c r="H521" t="s">
        <v>22</v>
      </c>
      <c r="I521">
        <v>1</v>
      </c>
      <c r="J521">
        <v>1</v>
      </c>
      <c r="K521">
        <v>25.09</v>
      </c>
      <c r="L521">
        <v>25.09</v>
      </c>
      <c r="M521">
        <v>0</v>
      </c>
      <c r="N521" s="3" t="str">
        <f t="shared" si="111"/>
        <v/>
      </c>
      <c r="O521" s="4" t="str">
        <f t="shared" si="111"/>
        <v/>
      </c>
      <c r="P521" s="4" t="str">
        <f t="shared" si="111"/>
        <v/>
      </c>
      <c r="Q521" s="4" t="str">
        <f t="shared" si="111"/>
        <v/>
      </c>
      <c r="R521" s="4" t="str">
        <f t="shared" si="111"/>
        <v/>
      </c>
      <c r="S521" s="4" t="str">
        <f t="shared" si="111"/>
        <v/>
      </c>
      <c r="T521" s="4" t="str">
        <f t="shared" si="111"/>
        <v/>
      </c>
      <c r="U521" s="4" t="str">
        <f t="shared" si="111"/>
        <v/>
      </c>
      <c r="V521" s="4" t="str">
        <f t="shared" ref="V521:V584" si="117">IF(AND($B521=V$3, $G521=V$2, LEFT($H521, 6)=V$1), 1, "")</f>
        <v/>
      </c>
      <c r="W521" s="4" t="str">
        <f t="shared" si="114"/>
        <v/>
      </c>
      <c r="X521" s="4" t="str">
        <f t="shared" si="114"/>
        <v/>
      </c>
      <c r="Y521" s="4" t="str">
        <f t="shared" si="114"/>
        <v/>
      </c>
      <c r="Z521" s="4" t="str">
        <f t="shared" si="114"/>
        <v/>
      </c>
      <c r="AA521" s="4" t="str">
        <f t="shared" si="114"/>
        <v/>
      </c>
      <c r="AB521" s="4" t="str">
        <f t="shared" si="114"/>
        <v/>
      </c>
      <c r="AC521" s="5" t="str">
        <f t="shared" si="114"/>
        <v/>
      </c>
      <c r="AD521" s="3" t="str">
        <f t="shared" si="112"/>
        <v/>
      </c>
      <c r="AE521" s="4" t="str">
        <f t="shared" si="112"/>
        <v/>
      </c>
      <c r="AF521" s="4" t="str">
        <f t="shared" si="112"/>
        <v/>
      </c>
      <c r="AG521" s="4" t="str">
        <f t="shared" si="112"/>
        <v/>
      </c>
      <c r="AH521" s="4" t="str">
        <f t="shared" si="112"/>
        <v/>
      </c>
      <c r="AI521" s="4" t="str">
        <f t="shared" si="112"/>
        <v/>
      </c>
      <c r="AJ521" s="4" t="str">
        <f t="shared" si="112"/>
        <v/>
      </c>
      <c r="AK521" s="4" t="str">
        <f t="shared" si="112"/>
        <v/>
      </c>
      <c r="AL521" s="4" t="str">
        <f t="shared" ref="AL521:AL584" si="118">IF(AND($B521=AL$3, $G521=AL$2, LEFT($H521, 6)=AL$1), 1, "")</f>
        <v/>
      </c>
      <c r="AM521" s="4" t="str">
        <f t="shared" si="115"/>
        <v/>
      </c>
      <c r="AN521" s="4" t="str">
        <f t="shared" si="115"/>
        <v/>
      </c>
      <c r="AO521" s="4" t="str">
        <f t="shared" si="115"/>
        <v/>
      </c>
      <c r="AP521" s="4" t="str">
        <f t="shared" si="115"/>
        <v/>
      </c>
      <c r="AQ521" s="4" t="str">
        <f t="shared" si="115"/>
        <v/>
      </c>
      <c r="AR521" s="4" t="str">
        <f t="shared" si="115"/>
        <v/>
      </c>
      <c r="AS521" s="5" t="str">
        <f t="shared" si="115"/>
        <v/>
      </c>
      <c r="AT521" s="3">
        <f t="shared" si="113"/>
        <v>1</v>
      </c>
      <c r="AU521" s="4" t="str">
        <f t="shared" si="113"/>
        <v/>
      </c>
      <c r="AV521" s="4" t="str">
        <f t="shared" si="113"/>
        <v/>
      </c>
      <c r="AW521" s="4" t="str">
        <f t="shared" si="113"/>
        <v/>
      </c>
      <c r="AX521" s="4" t="str">
        <f t="shared" si="113"/>
        <v/>
      </c>
      <c r="AY521" s="4" t="str">
        <f t="shared" si="113"/>
        <v/>
      </c>
      <c r="AZ521" s="4" t="str">
        <f t="shared" si="113"/>
        <v/>
      </c>
      <c r="BA521" s="4" t="str">
        <f t="shared" si="113"/>
        <v/>
      </c>
      <c r="BB521" s="4" t="str">
        <f t="shared" ref="BB521:BB584" si="119">IF(AND($B521=BB$3, $G521=BB$2, LEFT($H521, 6)=BB$1), 1, "")</f>
        <v/>
      </c>
      <c r="BC521" s="4" t="str">
        <f t="shared" si="116"/>
        <v/>
      </c>
      <c r="BD521" s="4" t="str">
        <f t="shared" si="116"/>
        <v/>
      </c>
      <c r="BE521" s="4" t="str">
        <f t="shared" si="116"/>
        <v/>
      </c>
      <c r="BF521" s="4" t="str">
        <f t="shared" si="116"/>
        <v/>
      </c>
      <c r="BG521" s="4" t="str">
        <f t="shared" si="116"/>
        <v/>
      </c>
      <c r="BH521" s="4" t="str">
        <f t="shared" si="116"/>
        <v/>
      </c>
      <c r="BI521" s="5" t="str">
        <f t="shared" si="116"/>
        <v/>
      </c>
    </row>
    <row r="522" spans="1:61" x14ac:dyDescent="0.25">
      <c r="A522">
        <v>721251</v>
      </c>
      <c r="B522" t="s">
        <v>15</v>
      </c>
      <c r="C522" t="s">
        <v>16</v>
      </c>
      <c r="D522">
        <v>64679</v>
      </c>
      <c r="E522">
        <v>315</v>
      </c>
      <c r="F522">
        <v>1</v>
      </c>
      <c r="G522">
        <v>20133</v>
      </c>
      <c r="H522" t="s">
        <v>0</v>
      </c>
      <c r="I522">
        <v>30</v>
      </c>
      <c r="J522">
        <v>1</v>
      </c>
      <c r="K522">
        <v>627.45000000000005</v>
      </c>
      <c r="L522">
        <v>627.45000000000005</v>
      </c>
      <c r="M522">
        <v>0</v>
      </c>
      <c r="N522" s="3" t="str">
        <f t="shared" si="111"/>
        <v/>
      </c>
      <c r="O522" s="4" t="str">
        <f t="shared" si="111"/>
        <v/>
      </c>
      <c r="P522" s="4" t="str">
        <f t="shared" si="111"/>
        <v/>
      </c>
      <c r="Q522" s="4" t="str">
        <f t="shared" si="111"/>
        <v/>
      </c>
      <c r="R522" s="4" t="str">
        <f t="shared" si="111"/>
        <v/>
      </c>
      <c r="S522" s="4" t="str">
        <f t="shared" si="111"/>
        <v/>
      </c>
      <c r="T522" s="4" t="str">
        <f t="shared" si="111"/>
        <v/>
      </c>
      <c r="U522" s="4" t="str">
        <f t="shared" si="111"/>
        <v/>
      </c>
      <c r="V522" s="4" t="str">
        <f t="shared" si="117"/>
        <v/>
      </c>
      <c r="W522" s="4" t="str">
        <f t="shared" si="114"/>
        <v/>
      </c>
      <c r="X522" s="4" t="str">
        <f t="shared" si="114"/>
        <v/>
      </c>
      <c r="Y522" s="4" t="str">
        <f t="shared" si="114"/>
        <v/>
      </c>
      <c r="Z522" s="4" t="str">
        <f t="shared" si="114"/>
        <v/>
      </c>
      <c r="AA522" s="4" t="str">
        <f t="shared" si="114"/>
        <v/>
      </c>
      <c r="AB522" s="4" t="str">
        <f t="shared" si="114"/>
        <v/>
      </c>
      <c r="AC522" s="5" t="str">
        <f t="shared" si="114"/>
        <v/>
      </c>
      <c r="AD522" s="3" t="str">
        <f t="shared" si="112"/>
        <v/>
      </c>
      <c r="AE522" s="4" t="str">
        <f t="shared" si="112"/>
        <v/>
      </c>
      <c r="AF522" s="4" t="str">
        <f t="shared" si="112"/>
        <v/>
      </c>
      <c r="AG522" s="4" t="str">
        <f t="shared" si="112"/>
        <v/>
      </c>
      <c r="AH522" s="4" t="str">
        <f t="shared" si="112"/>
        <v/>
      </c>
      <c r="AI522" s="4" t="str">
        <f t="shared" si="112"/>
        <v/>
      </c>
      <c r="AJ522" s="4" t="str">
        <f t="shared" si="112"/>
        <v/>
      </c>
      <c r="AK522" s="4" t="str">
        <f t="shared" si="112"/>
        <v/>
      </c>
      <c r="AL522" s="4" t="str">
        <f t="shared" si="118"/>
        <v/>
      </c>
      <c r="AM522" s="4" t="str">
        <f t="shared" si="115"/>
        <v/>
      </c>
      <c r="AN522" s="4" t="str">
        <f t="shared" si="115"/>
        <v/>
      </c>
      <c r="AO522" s="4" t="str">
        <f t="shared" si="115"/>
        <v/>
      </c>
      <c r="AP522" s="4" t="str">
        <f t="shared" si="115"/>
        <v/>
      </c>
      <c r="AQ522" s="4" t="str">
        <f t="shared" si="115"/>
        <v/>
      </c>
      <c r="AR522" s="4" t="str">
        <f t="shared" si="115"/>
        <v/>
      </c>
      <c r="AS522" s="5" t="str">
        <f t="shared" si="115"/>
        <v/>
      </c>
      <c r="AT522" s="3" t="str">
        <f t="shared" si="113"/>
        <v/>
      </c>
      <c r="AU522" s="4" t="str">
        <f t="shared" si="113"/>
        <v/>
      </c>
      <c r="AV522" s="4" t="str">
        <f t="shared" si="113"/>
        <v/>
      </c>
      <c r="AW522" s="4" t="str">
        <f t="shared" si="113"/>
        <v/>
      </c>
      <c r="AX522" s="4" t="str">
        <f t="shared" si="113"/>
        <v/>
      </c>
      <c r="AY522" s="4" t="str">
        <f t="shared" si="113"/>
        <v/>
      </c>
      <c r="AZ522" s="4">
        <f t="shared" si="113"/>
        <v>1</v>
      </c>
      <c r="BA522" s="4" t="str">
        <f t="shared" si="113"/>
        <v/>
      </c>
      <c r="BB522" s="4" t="str">
        <f t="shared" si="119"/>
        <v/>
      </c>
      <c r="BC522" s="4" t="str">
        <f t="shared" si="116"/>
        <v/>
      </c>
      <c r="BD522" s="4" t="str">
        <f t="shared" si="116"/>
        <v/>
      </c>
      <c r="BE522" s="4" t="str">
        <f t="shared" si="116"/>
        <v/>
      </c>
      <c r="BF522" s="4" t="str">
        <f t="shared" si="116"/>
        <v/>
      </c>
      <c r="BG522" s="4" t="str">
        <f t="shared" si="116"/>
        <v/>
      </c>
      <c r="BH522" s="4" t="str">
        <f t="shared" si="116"/>
        <v/>
      </c>
      <c r="BI522" s="5" t="str">
        <f t="shared" si="116"/>
        <v/>
      </c>
    </row>
    <row r="523" spans="1:61" x14ac:dyDescent="0.25">
      <c r="A523">
        <v>351864</v>
      </c>
      <c r="B523" t="s">
        <v>14</v>
      </c>
      <c r="C523" t="s">
        <v>16</v>
      </c>
      <c r="D523">
        <v>65862</v>
      </c>
      <c r="E523">
        <v>357</v>
      </c>
      <c r="F523">
        <v>5</v>
      </c>
      <c r="G523">
        <v>20122</v>
      </c>
      <c r="H523" t="s">
        <v>0</v>
      </c>
      <c r="I523">
        <v>34610</v>
      </c>
      <c r="J523">
        <v>1098</v>
      </c>
      <c r="K523">
        <v>45616.08</v>
      </c>
      <c r="L523">
        <v>43878.96</v>
      </c>
      <c r="M523">
        <v>1737.12</v>
      </c>
      <c r="N523" s="3" t="str">
        <f t="shared" si="111"/>
        <v/>
      </c>
      <c r="O523" s="4" t="str">
        <f t="shared" si="111"/>
        <v/>
      </c>
      <c r="P523" s="4" t="str">
        <f t="shared" si="111"/>
        <v/>
      </c>
      <c r="Q523" s="4" t="str">
        <f t="shared" si="111"/>
        <v/>
      </c>
      <c r="R523" s="4" t="str">
        <f t="shared" si="111"/>
        <v/>
      </c>
      <c r="S523" s="4" t="str">
        <f t="shared" si="111"/>
        <v/>
      </c>
      <c r="T523" s="4" t="str">
        <f t="shared" si="111"/>
        <v/>
      </c>
      <c r="U523" s="4" t="str">
        <f t="shared" si="111"/>
        <v/>
      </c>
      <c r="V523" s="4" t="str">
        <f t="shared" si="117"/>
        <v/>
      </c>
      <c r="W523" s="4" t="str">
        <f t="shared" si="114"/>
        <v/>
      </c>
      <c r="X523" s="4" t="str">
        <f t="shared" si="114"/>
        <v/>
      </c>
      <c r="Y523" s="4" t="str">
        <f t="shared" si="114"/>
        <v/>
      </c>
      <c r="Z523" s="4" t="str">
        <f t="shared" si="114"/>
        <v/>
      </c>
      <c r="AA523" s="4" t="str">
        <f t="shared" si="114"/>
        <v/>
      </c>
      <c r="AB523" s="4" t="str">
        <f t="shared" si="114"/>
        <v/>
      </c>
      <c r="AC523" s="5" t="str">
        <f t="shared" si="114"/>
        <v/>
      </c>
      <c r="AD523" s="3" t="str">
        <f t="shared" si="112"/>
        <v/>
      </c>
      <c r="AE523" s="4">
        <f t="shared" si="112"/>
        <v>1</v>
      </c>
      <c r="AF523" s="4" t="str">
        <f t="shared" si="112"/>
        <v/>
      </c>
      <c r="AG523" s="4" t="str">
        <f t="shared" si="112"/>
        <v/>
      </c>
      <c r="AH523" s="4" t="str">
        <f t="shared" si="112"/>
        <v/>
      </c>
      <c r="AI523" s="4" t="str">
        <f t="shared" si="112"/>
        <v/>
      </c>
      <c r="AJ523" s="4" t="str">
        <f t="shared" si="112"/>
        <v/>
      </c>
      <c r="AK523" s="4" t="str">
        <f t="shared" si="112"/>
        <v/>
      </c>
      <c r="AL523" s="4" t="str">
        <f t="shared" si="118"/>
        <v/>
      </c>
      <c r="AM523" s="4" t="str">
        <f t="shared" si="115"/>
        <v/>
      </c>
      <c r="AN523" s="4" t="str">
        <f t="shared" si="115"/>
        <v/>
      </c>
      <c r="AO523" s="4" t="str">
        <f t="shared" si="115"/>
        <v/>
      </c>
      <c r="AP523" s="4" t="str">
        <f t="shared" si="115"/>
        <v/>
      </c>
      <c r="AQ523" s="4" t="str">
        <f t="shared" si="115"/>
        <v/>
      </c>
      <c r="AR523" s="4" t="str">
        <f t="shared" si="115"/>
        <v/>
      </c>
      <c r="AS523" s="5" t="str">
        <f t="shared" si="115"/>
        <v/>
      </c>
      <c r="AT523" s="3" t="str">
        <f t="shared" si="113"/>
        <v/>
      </c>
      <c r="AU523" s="4" t="str">
        <f t="shared" si="113"/>
        <v/>
      </c>
      <c r="AV523" s="4" t="str">
        <f t="shared" si="113"/>
        <v/>
      </c>
      <c r="AW523" s="4" t="str">
        <f t="shared" si="113"/>
        <v/>
      </c>
      <c r="AX523" s="4" t="str">
        <f t="shared" si="113"/>
        <v/>
      </c>
      <c r="AY523" s="4" t="str">
        <f t="shared" si="113"/>
        <v/>
      </c>
      <c r="AZ523" s="4" t="str">
        <f t="shared" si="113"/>
        <v/>
      </c>
      <c r="BA523" s="4" t="str">
        <f t="shared" si="113"/>
        <v/>
      </c>
      <c r="BB523" s="4" t="str">
        <f t="shared" si="119"/>
        <v/>
      </c>
      <c r="BC523" s="4" t="str">
        <f t="shared" si="116"/>
        <v/>
      </c>
      <c r="BD523" s="4" t="str">
        <f t="shared" si="116"/>
        <v/>
      </c>
      <c r="BE523" s="4" t="str">
        <f t="shared" si="116"/>
        <v/>
      </c>
      <c r="BF523" s="4" t="str">
        <f t="shared" si="116"/>
        <v/>
      </c>
      <c r="BG523" s="4" t="str">
        <f t="shared" si="116"/>
        <v/>
      </c>
      <c r="BH523" s="4" t="str">
        <f t="shared" si="116"/>
        <v/>
      </c>
      <c r="BI523" s="5" t="str">
        <f t="shared" si="116"/>
        <v/>
      </c>
    </row>
    <row r="524" spans="1:61" x14ac:dyDescent="0.25">
      <c r="A524">
        <v>351865</v>
      </c>
      <c r="B524" t="s">
        <v>14</v>
      </c>
      <c r="C524" t="s">
        <v>16</v>
      </c>
      <c r="D524">
        <v>65862</v>
      </c>
      <c r="E524">
        <v>357</v>
      </c>
      <c r="F524">
        <v>5</v>
      </c>
      <c r="G524">
        <v>20123</v>
      </c>
      <c r="H524" t="s">
        <v>0</v>
      </c>
      <c r="I524">
        <v>216745.93299999999</v>
      </c>
      <c r="J524">
        <v>6957</v>
      </c>
      <c r="K524">
        <v>237976.85</v>
      </c>
      <c r="L524">
        <v>231045.09</v>
      </c>
      <c r="M524">
        <v>6931.76</v>
      </c>
      <c r="N524" s="3" t="str">
        <f t="shared" si="111"/>
        <v/>
      </c>
      <c r="O524" s="4" t="str">
        <f t="shared" si="111"/>
        <v/>
      </c>
      <c r="P524" s="4" t="str">
        <f t="shared" si="111"/>
        <v/>
      </c>
      <c r="Q524" s="4" t="str">
        <f t="shared" si="111"/>
        <v/>
      </c>
      <c r="R524" s="4" t="str">
        <f t="shared" si="111"/>
        <v/>
      </c>
      <c r="S524" s="4" t="str">
        <f t="shared" si="111"/>
        <v/>
      </c>
      <c r="T524" s="4" t="str">
        <f t="shared" si="111"/>
        <v/>
      </c>
      <c r="U524" s="4" t="str">
        <f t="shared" si="111"/>
        <v/>
      </c>
      <c r="V524" s="4" t="str">
        <f t="shared" si="117"/>
        <v/>
      </c>
      <c r="W524" s="4" t="str">
        <f t="shared" si="114"/>
        <v/>
      </c>
      <c r="X524" s="4" t="str">
        <f t="shared" si="114"/>
        <v/>
      </c>
      <c r="Y524" s="4" t="str">
        <f t="shared" si="114"/>
        <v/>
      </c>
      <c r="Z524" s="4" t="str">
        <f t="shared" si="114"/>
        <v/>
      </c>
      <c r="AA524" s="4" t="str">
        <f t="shared" si="114"/>
        <v/>
      </c>
      <c r="AB524" s="4" t="str">
        <f t="shared" si="114"/>
        <v/>
      </c>
      <c r="AC524" s="5" t="str">
        <f t="shared" si="114"/>
        <v/>
      </c>
      <c r="AD524" s="3" t="str">
        <f t="shared" si="112"/>
        <v/>
      </c>
      <c r="AE524" s="4" t="str">
        <f t="shared" si="112"/>
        <v/>
      </c>
      <c r="AF524" s="4">
        <f t="shared" si="112"/>
        <v>1</v>
      </c>
      <c r="AG524" s="4" t="str">
        <f t="shared" si="112"/>
        <v/>
      </c>
      <c r="AH524" s="4" t="str">
        <f t="shared" si="112"/>
        <v/>
      </c>
      <c r="AI524" s="4" t="str">
        <f t="shared" si="112"/>
        <v/>
      </c>
      <c r="AJ524" s="4" t="str">
        <f t="shared" si="112"/>
        <v/>
      </c>
      <c r="AK524" s="4" t="str">
        <f t="shared" si="112"/>
        <v/>
      </c>
      <c r="AL524" s="4" t="str">
        <f t="shared" si="118"/>
        <v/>
      </c>
      <c r="AM524" s="4" t="str">
        <f t="shared" si="115"/>
        <v/>
      </c>
      <c r="AN524" s="4" t="str">
        <f t="shared" si="115"/>
        <v/>
      </c>
      <c r="AO524" s="4" t="str">
        <f t="shared" si="115"/>
        <v/>
      </c>
      <c r="AP524" s="4" t="str">
        <f t="shared" si="115"/>
        <v/>
      </c>
      <c r="AQ524" s="4" t="str">
        <f t="shared" si="115"/>
        <v/>
      </c>
      <c r="AR524" s="4" t="str">
        <f t="shared" si="115"/>
        <v/>
      </c>
      <c r="AS524" s="5" t="str">
        <f t="shared" si="115"/>
        <v/>
      </c>
      <c r="AT524" s="3" t="str">
        <f t="shared" si="113"/>
        <v/>
      </c>
      <c r="AU524" s="4" t="str">
        <f t="shared" si="113"/>
        <v/>
      </c>
      <c r="AV524" s="4" t="str">
        <f t="shared" si="113"/>
        <v/>
      </c>
      <c r="AW524" s="4" t="str">
        <f t="shared" si="113"/>
        <v/>
      </c>
      <c r="AX524" s="4" t="str">
        <f t="shared" si="113"/>
        <v/>
      </c>
      <c r="AY524" s="4" t="str">
        <f t="shared" si="113"/>
        <v/>
      </c>
      <c r="AZ524" s="4" t="str">
        <f t="shared" si="113"/>
        <v/>
      </c>
      <c r="BA524" s="4" t="str">
        <f t="shared" si="113"/>
        <v/>
      </c>
      <c r="BB524" s="4" t="str">
        <f t="shared" si="119"/>
        <v/>
      </c>
      <c r="BC524" s="4" t="str">
        <f t="shared" si="116"/>
        <v/>
      </c>
      <c r="BD524" s="4" t="str">
        <f t="shared" si="116"/>
        <v/>
      </c>
      <c r="BE524" s="4" t="str">
        <f t="shared" si="116"/>
        <v/>
      </c>
      <c r="BF524" s="4" t="str">
        <f t="shared" si="116"/>
        <v/>
      </c>
      <c r="BG524" s="4" t="str">
        <f t="shared" si="116"/>
        <v/>
      </c>
      <c r="BH524" s="4" t="str">
        <f t="shared" si="116"/>
        <v/>
      </c>
      <c r="BI524" s="5" t="str">
        <f t="shared" si="116"/>
        <v/>
      </c>
    </row>
    <row r="525" spans="1:61" x14ac:dyDescent="0.25">
      <c r="A525">
        <v>351866</v>
      </c>
      <c r="B525" t="s">
        <v>14</v>
      </c>
      <c r="C525" t="s">
        <v>16</v>
      </c>
      <c r="D525">
        <v>65862</v>
      </c>
      <c r="E525">
        <v>357</v>
      </c>
      <c r="F525">
        <v>5</v>
      </c>
      <c r="G525">
        <v>20124</v>
      </c>
      <c r="H525" t="s">
        <v>0</v>
      </c>
      <c r="I525">
        <v>254668</v>
      </c>
      <c r="J525">
        <v>8212</v>
      </c>
      <c r="K525">
        <v>137961.67000000001</v>
      </c>
      <c r="L525">
        <v>131157.17000000001</v>
      </c>
      <c r="M525">
        <v>6804.5</v>
      </c>
      <c r="N525" s="3" t="str">
        <f t="shared" si="111"/>
        <v/>
      </c>
      <c r="O525" s="4" t="str">
        <f t="shared" si="111"/>
        <v/>
      </c>
      <c r="P525" s="4" t="str">
        <f t="shared" si="111"/>
        <v/>
      </c>
      <c r="Q525" s="4" t="str">
        <f t="shared" si="111"/>
        <v/>
      </c>
      <c r="R525" s="4" t="str">
        <f t="shared" si="111"/>
        <v/>
      </c>
      <c r="S525" s="4" t="str">
        <f t="shared" si="111"/>
        <v/>
      </c>
      <c r="T525" s="4" t="str">
        <f t="shared" si="111"/>
        <v/>
      </c>
      <c r="U525" s="4" t="str">
        <f t="shared" si="111"/>
        <v/>
      </c>
      <c r="V525" s="4" t="str">
        <f t="shared" si="117"/>
        <v/>
      </c>
      <c r="W525" s="4" t="str">
        <f t="shared" si="114"/>
        <v/>
      </c>
      <c r="X525" s="4" t="str">
        <f t="shared" si="114"/>
        <v/>
      </c>
      <c r="Y525" s="4" t="str">
        <f t="shared" si="114"/>
        <v/>
      </c>
      <c r="Z525" s="4" t="str">
        <f t="shared" si="114"/>
        <v/>
      </c>
      <c r="AA525" s="4" t="str">
        <f t="shared" si="114"/>
        <v/>
      </c>
      <c r="AB525" s="4" t="str">
        <f t="shared" si="114"/>
        <v/>
      </c>
      <c r="AC525" s="5" t="str">
        <f t="shared" si="114"/>
        <v/>
      </c>
      <c r="AD525" s="3" t="str">
        <f t="shared" si="112"/>
        <v/>
      </c>
      <c r="AE525" s="4" t="str">
        <f t="shared" si="112"/>
        <v/>
      </c>
      <c r="AF525" s="4" t="str">
        <f t="shared" si="112"/>
        <v/>
      </c>
      <c r="AG525" s="4">
        <f t="shared" si="112"/>
        <v>1</v>
      </c>
      <c r="AH525" s="4" t="str">
        <f t="shared" si="112"/>
        <v/>
      </c>
      <c r="AI525" s="4" t="str">
        <f t="shared" si="112"/>
        <v/>
      </c>
      <c r="AJ525" s="4" t="str">
        <f t="shared" si="112"/>
        <v/>
      </c>
      <c r="AK525" s="4" t="str">
        <f t="shared" si="112"/>
        <v/>
      </c>
      <c r="AL525" s="4" t="str">
        <f t="shared" si="118"/>
        <v/>
      </c>
      <c r="AM525" s="4" t="str">
        <f t="shared" si="115"/>
        <v/>
      </c>
      <c r="AN525" s="4" t="str">
        <f t="shared" si="115"/>
        <v/>
      </c>
      <c r="AO525" s="4" t="str">
        <f t="shared" si="115"/>
        <v/>
      </c>
      <c r="AP525" s="4" t="str">
        <f t="shared" si="115"/>
        <v/>
      </c>
      <c r="AQ525" s="4" t="str">
        <f t="shared" si="115"/>
        <v/>
      </c>
      <c r="AR525" s="4" t="str">
        <f t="shared" si="115"/>
        <v/>
      </c>
      <c r="AS525" s="5" t="str">
        <f t="shared" si="115"/>
        <v/>
      </c>
      <c r="AT525" s="3" t="str">
        <f t="shared" si="113"/>
        <v/>
      </c>
      <c r="AU525" s="4" t="str">
        <f t="shared" si="113"/>
        <v/>
      </c>
      <c r="AV525" s="4" t="str">
        <f t="shared" si="113"/>
        <v/>
      </c>
      <c r="AW525" s="4" t="str">
        <f t="shared" si="113"/>
        <v/>
      </c>
      <c r="AX525" s="4" t="str">
        <f t="shared" si="113"/>
        <v/>
      </c>
      <c r="AY525" s="4" t="str">
        <f t="shared" si="113"/>
        <v/>
      </c>
      <c r="AZ525" s="4" t="str">
        <f t="shared" si="113"/>
        <v/>
      </c>
      <c r="BA525" s="4" t="str">
        <f t="shared" si="113"/>
        <v/>
      </c>
      <c r="BB525" s="4" t="str">
        <f t="shared" si="119"/>
        <v/>
      </c>
      <c r="BC525" s="4" t="str">
        <f t="shared" si="116"/>
        <v/>
      </c>
      <c r="BD525" s="4" t="str">
        <f t="shared" si="116"/>
        <v/>
      </c>
      <c r="BE525" s="4" t="str">
        <f t="shared" si="116"/>
        <v/>
      </c>
      <c r="BF525" s="4" t="str">
        <f t="shared" si="116"/>
        <v/>
      </c>
      <c r="BG525" s="4" t="str">
        <f t="shared" si="116"/>
        <v/>
      </c>
      <c r="BH525" s="4" t="str">
        <f t="shared" si="116"/>
        <v/>
      </c>
      <c r="BI525" s="5" t="str">
        <f t="shared" si="116"/>
        <v/>
      </c>
    </row>
    <row r="526" spans="1:61" x14ac:dyDescent="0.25">
      <c r="A526">
        <v>351867</v>
      </c>
      <c r="B526" t="s">
        <v>14</v>
      </c>
      <c r="C526" t="s">
        <v>16</v>
      </c>
      <c r="D526">
        <v>65862</v>
      </c>
      <c r="E526">
        <v>357</v>
      </c>
      <c r="F526">
        <v>30</v>
      </c>
      <c r="G526">
        <v>20122</v>
      </c>
      <c r="H526" t="s">
        <v>0</v>
      </c>
      <c r="I526">
        <v>24652</v>
      </c>
      <c r="J526">
        <v>803</v>
      </c>
      <c r="K526">
        <v>34430.550000000003</v>
      </c>
      <c r="L526">
        <v>34177.99</v>
      </c>
      <c r="M526">
        <v>252.56</v>
      </c>
      <c r="N526" s="3" t="str">
        <f t="shared" si="111"/>
        <v/>
      </c>
      <c r="O526" s="4" t="str">
        <f t="shared" si="111"/>
        <v/>
      </c>
      <c r="P526" s="4" t="str">
        <f t="shared" si="111"/>
        <v/>
      </c>
      <c r="Q526" s="4" t="str">
        <f t="shared" si="111"/>
        <v/>
      </c>
      <c r="R526" s="4" t="str">
        <f t="shared" si="111"/>
        <v/>
      </c>
      <c r="S526" s="4" t="str">
        <f t="shared" si="111"/>
        <v/>
      </c>
      <c r="T526" s="4" t="str">
        <f t="shared" si="111"/>
        <v/>
      </c>
      <c r="U526" s="4" t="str">
        <f t="shared" si="111"/>
        <v/>
      </c>
      <c r="V526" s="4" t="str">
        <f t="shared" si="117"/>
        <v/>
      </c>
      <c r="W526" s="4" t="str">
        <f t="shared" si="114"/>
        <v/>
      </c>
      <c r="X526" s="4" t="str">
        <f t="shared" si="114"/>
        <v/>
      </c>
      <c r="Y526" s="4" t="str">
        <f t="shared" si="114"/>
        <v/>
      </c>
      <c r="Z526" s="4" t="str">
        <f t="shared" si="114"/>
        <v/>
      </c>
      <c r="AA526" s="4" t="str">
        <f t="shared" si="114"/>
        <v/>
      </c>
      <c r="AB526" s="4" t="str">
        <f t="shared" si="114"/>
        <v/>
      </c>
      <c r="AC526" s="5" t="str">
        <f t="shared" si="114"/>
        <v/>
      </c>
      <c r="AD526" s="3" t="str">
        <f t="shared" si="112"/>
        <v/>
      </c>
      <c r="AE526" s="4">
        <f t="shared" si="112"/>
        <v>1</v>
      </c>
      <c r="AF526" s="4" t="str">
        <f t="shared" si="112"/>
        <v/>
      </c>
      <c r="AG526" s="4" t="str">
        <f t="shared" si="112"/>
        <v/>
      </c>
      <c r="AH526" s="4" t="str">
        <f t="shared" si="112"/>
        <v/>
      </c>
      <c r="AI526" s="4" t="str">
        <f t="shared" si="112"/>
        <v/>
      </c>
      <c r="AJ526" s="4" t="str">
        <f t="shared" si="112"/>
        <v/>
      </c>
      <c r="AK526" s="4" t="str">
        <f t="shared" si="112"/>
        <v/>
      </c>
      <c r="AL526" s="4" t="str">
        <f t="shared" si="118"/>
        <v/>
      </c>
      <c r="AM526" s="4" t="str">
        <f t="shared" si="115"/>
        <v/>
      </c>
      <c r="AN526" s="4" t="str">
        <f t="shared" si="115"/>
        <v/>
      </c>
      <c r="AO526" s="4" t="str">
        <f t="shared" si="115"/>
        <v/>
      </c>
      <c r="AP526" s="4" t="str">
        <f t="shared" si="115"/>
        <v/>
      </c>
      <c r="AQ526" s="4" t="str">
        <f t="shared" si="115"/>
        <v/>
      </c>
      <c r="AR526" s="4" t="str">
        <f t="shared" si="115"/>
        <v/>
      </c>
      <c r="AS526" s="5" t="str">
        <f t="shared" si="115"/>
        <v/>
      </c>
      <c r="AT526" s="3" t="str">
        <f t="shared" si="113"/>
        <v/>
      </c>
      <c r="AU526" s="4" t="str">
        <f t="shared" si="113"/>
        <v/>
      </c>
      <c r="AV526" s="4" t="str">
        <f t="shared" si="113"/>
        <v/>
      </c>
      <c r="AW526" s="4" t="str">
        <f t="shared" si="113"/>
        <v/>
      </c>
      <c r="AX526" s="4" t="str">
        <f t="shared" si="113"/>
        <v/>
      </c>
      <c r="AY526" s="4" t="str">
        <f t="shared" si="113"/>
        <v/>
      </c>
      <c r="AZ526" s="4" t="str">
        <f t="shared" si="113"/>
        <v/>
      </c>
      <c r="BA526" s="4" t="str">
        <f t="shared" si="113"/>
        <v/>
      </c>
      <c r="BB526" s="4" t="str">
        <f t="shared" si="119"/>
        <v/>
      </c>
      <c r="BC526" s="4" t="str">
        <f t="shared" si="116"/>
        <v/>
      </c>
      <c r="BD526" s="4" t="str">
        <f t="shared" si="116"/>
        <v/>
      </c>
      <c r="BE526" s="4" t="str">
        <f t="shared" si="116"/>
        <v/>
      </c>
      <c r="BF526" s="4" t="str">
        <f t="shared" si="116"/>
        <v/>
      </c>
      <c r="BG526" s="4" t="str">
        <f t="shared" si="116"/>
        <v/>
      </c>
      <c r="BH526" s="4" t="str">
        <f t="shared" si="116"/>
        <v/>
      </c>
      <c r="BI526" s="5" t="str">
        <f t="shared" si="116"/>
        <v/>
      </c>
    </row>
    <row r="527" spans="1:61" x14ac:dyDescent="0.25">
      <c r="A527">
        <v>351868</v>
      </c>
      <c r="B527" t="s">
        <v>14</v>
      </c>
      <c r="C527" t="s">
        <v>16</v>
      </c>
      <c r="D527">
        <v>65862</v>
      </c>
      <c r="E527">
        <v>357</v>
      </c>
      <c r="F527">
        <v>30</v>
      </c>
      <c r="G527">
        <v>20123</v>
      </c>
      <c r="H527" t="s">
        <v>0</v>
      </c>
      <c r="I527">
        <v>136662</v>
      </c>
      <c r="J527">
        <v>4470</v>
      </c>
      <c r="K527">
        <v>157006.10999999999</v>
      </c>
      <c r="L527">
        <v>155367.76999999999</v>
      </c>
      <c r="M527">
        <v>1638.34</v>
      </c>
      <c r="N527" s="3" t="str">
        <f t="shared" si="111"/>
        <v/>
      </c>
      <c r="O527" s="4" t="str">
        <f t="shared" si="111"/>
        <v/>
      </c>
      <c r="P527" s="4" t="str">
        <f t="shared" si="111"/>
        <v/>
      </c>
      <c r="Q527" s="4" t="str">
        <f t="shared" si="111"/>
        <v/>
      </c>
      <c r="R527" s="4" t="str">
        <f t="shared" si="111"/>
        <v/>
      </c>
      <c r="S527" s="4" t="str">
        <f t="shared" si="111"/>
        <v/>
      </c>
      <c r="T527" s="4" t="str">
        <f t="shared" si="111"/>
        <v/>
      </c>
      <c r="U527" s="4" t="str">
        <f t="shared" si="111"/>
        <v/>
      </c>
      <c r="V527" s="4" t="str">
        <f t="shared" si="117"/>
        <v/>
      </c>
      <c r="W527" s="4" t="str">
        <f t="shared" si="114"/>
        <v/>
      </c>
      <c r="X527" s="4" t="str">
        <f t="shared" si="114"/>
        <v/>
      </c>
      <c r="Y527" s="4" t="str">
        <f t="shared" si="114"/>
        <v/>
      </c>
      <c r="Z527" s="4" t="str">
        <f t="shared" si="114"/>
        <v/>
      </c>
      <c r="AA527" s="4" t="str">
        <f t="shared" si="114"/>
        <v/>
      </c>
      <c r="AB527" s="4" t="str">
        <f t="shared" si="114"/>
        <v/>
      </c>
      <c r="AC527" s="5" t="str">
        <f t="shared" si="114"/>
        <v/>
      </c>
      <c r="AD527" s="3" t="str">
        <f t="shared" si="112"/>
        <v/>
      </c>
      <c r="AE527" s="4" t="str">
        <f t="shared" si="112"/>
        <v/>
      </c>
      <c r="AF527" s="4">
        <f t="shared" si="112"/>
        <v>1</v>
      </c>
      <c r="AG527" s="4" t="str">
        <f t="shared" si="112"/>
        <v/>
      </c>
      <c r="AH527" s="4" t="str">
        <f t="shared" si="112"/>
        <v/>
      </c>
      <c r="AI527" s="4" t="str">
        <f t="shared" si="112"/>
        <v/>
      </c>
      <c r="AJ527" s="4" t="str">
        <f t="shared" si="112"/>
        <v/>
      </c>
      <c r="AK527" s="4" t="str">
        <f t="shared" si="112"/>
        <v/>
      </c>
      <c r="AL527" s="4" t="str">
        <f t="shared" si="118"/>
        <v/>
      </c>
      <c r="AM527" s="4" t="str">
        <f t="shared" si="115"/>
        <v/>
      </c>
      <c r="AN527" s="4" t="str">
        <f t="shared" si="115"/>
        <v/>
      </c>
      <c r="AO527" s="4" t="str">
        <f t="shared" si="115"/>
        <v/>
      </c>
      <c r="AP527" s="4" t="str">
        <f t="shared" si="115"/>
        <v/>
      </c>
      <c r="AQ527" s="4" t="str">
        <f t="shared" si="115"/>
        <v/>
      </c>
      <c r="AR527" s="4" t="str">
        <f t="shared" si="115"/>
        <v/>
      </c>
      <c r="AS527" s="5" t="str">
        <f t="shared" si="115"/>
        <v/>
      </c>
      <c r="AT527" s="3" t="str">
        <f t="shared" si="113"/>
        <v/>
      </c>
      <c r="AU527" s="4" t="str">
        <f t="shared" si="113"/>
        <v/>
      </c>
      <c r="AV527" s="4" t="str">
        <f t="shared" si="113"/>
        <v/>
      </c>
      <c r="AW527" s="4" t="str">
        <f t="shared" si="113"/>
        <v/>
      </c>
      <c r="AX527" s="4" t="str">
        <f t="shared" si="113"/>
        <v/>
      </c>
      <c r="AY527" s="4" t="str">
        <f t="shared" si="113"/>
        <v/>
      </c>
      <c r="AZ527" s="4" t="str">
        <f t="shared" si="113"/>
        <v/>
      </c>
      <c r="BA527" s="4" t="str">
        <f t="shared" si="113"/>
        <v/>
      </c>
      <c r="BB527" s="4" t="str">
        <f t="shared" si="119"/>
        <v/>
      </c>
      <c r="BC527" s="4" t="str">
        <f t="shared" si="116"/>
        <v/>
      </c>
      <c r="BD527" s="4" t="str">
        <f t="shared" si="116"/>
        <v/>
      </c>
      <c r="BE527" s="4" t="str">
        <f t="shared" si="116"/>
        <v/>
      </c>
      <c r="BF527" s="4" t="str">
        <f t="shared" si="116"/>
        <v/>
      </c>
      <c r="BG527" s="4" t="str">
        <f t="shared" si="116"/>
        <v/>
      </c>
      <c r="BH527" s="4" t="str">
        <f t="shared" si="116"/>
        <v/>
      </c>
      <c r="BI527" s="5" t="str">
        <f t="shared" si="116"/>
        <v/>
      </c>
    </row>
    <row r="528" spans="1:61" x14ac:dyDescent="0.25">
      <c r="A528">
        <v>351869</v>
      </c>
      <c r="B528" t="s">
        <v>14</v>
      </c>
      <c r="C528" t="s">
        <v>16</v>
      </c>
      <c r="D528">
        <v>65862</v>
      </c>
      <c r="E528">
        <v>357</v>
      </c>
      <c r="F528">
        <v>30</v>
      </c>
      <c r="G528">
        <v>20124</v>
      </c>
      <c r="H528" t="s">
        <v>0</v>
      </c>
      <c r="I528">
        <v>113087</v>
      </c>
      <c r="J528">
        <v>3690</v>
      </c>
      <c r="K528">
        <v>56581.96</v>
      </c>
      <c r="L528">
        <v>54529.68</v>
      </c>
      <c r="M528">
        <v>2052.2800000000002</v>
      </c>
      <c r="N528" s="3" t="str">
        <f t="shared" si="111"/>
        <v/>
      </c>
      <c r="O528" s="4" t="str">
        <f t="shared" si="111"/>
        <v/>
      </c>
      <c r="P528" s="4" t="str">
        <f t="shared" si="111"/>
        <v/>
      </c>
      <c r="Q528" s="4" t="str">
        <f t="shared" si="111"/>
        <v/>
      </c>
      <c r="R528" s="4" t="str">
        <f t="shared" si="111"/>
        <v/>
      </c>
      <c r="S528" s="4" t="str">
        <f t="shared" si="111"/>
        <v/>
      </c>
      <c r="T528" s="4" t="str">
        <f t="shared" si="111"/>
        <v/>
      </c>
      <c r="U528" s="4" t="str">
        <f t="shared" si="111"/>
        <v/>
      </c>
      <c r="V528" s="4" t="str">
        <f t="shared" si="117"/>
        <v/>
      </c>
      <c r="W528" s="4" t="str">
        <f t="shared" si="114"/>
        <v/>
      </c>
      <c r="X528" s="4" t="str">
        <f t="shared" si="114"/>
        <v/>
      </c>
      <c r="Y528" s="4" t="str">
        <f t="shared" si="114"/>
        <v/>
      </c>
      <c r="Z528" s="4" t="str">
        <f t="shared" si="114"/>
        <v/>
      </c>
      <c r="AA528" s="4" t="str">
        <f t="shared" si="114"/>
        <v/>
      </c>
      <c r="AB528" s="4" t="str">
        <f t="shared" si="114"/>
        <v/>
      </c>
      <c r="AC528" s="5" t="str">
        <f t="shared" si="114"/>
        <v/>
      </c>
      <c r="AD528" s="3" t="str">
        <f t="shared" si="112"/>
        <v/>
      </c>
      <c r="AE528" s="4" t="str">
        <f t="shared" si="112"/>
        <v/>
      </c>
      <c r="AF528" s="4" t="str">
        <f t="shared" si="112"/>
        <v/>
      </c>
      <c r="AG528" s="4">
        <f t="shared" si="112"/>
        <v>1</v>
      </c>
      <c r="AH528" s="4" t="str">
        <f t="shared" si="112"/>
        <v/>
      </c>
      <c r="AI528" s="4" t="str">
        <f t="shared" si="112"/>
        <v/>
      </c>
      <c r="AJ528" s="4" t="str">
        <f t="shared" si="112"/>
        <v/>
      </c>
      <c r="AK528" s="4" t="str">
        <f t="shared" si="112"/>
        <v/>
      </c>
      <c r="AL528" s="4" t="str">
        <f t="shared" si="118"/>
        <v/>
      </c>
      <c r="AM528" s="4" t="str">
        <f t="shared" si="115"/>
        <v/>
      </c>
      <c r="AN528" s="4" t="str">
        <f t="shared" si="115"/>
        <v/>
      </c>
      <c r="AO528" s="4" t="str">
        <f t="shared" si="115"/>
        <v/>
      </c>
      <c r="AP528" s="4" t="str">
        <f t="shared" si="115"/>
        <v/>
      </c>
      <c r="AQ528" s="4" t="str">
        <f t="shared" si="115"/>
        <v/>
      </c>
      <c r="AR528" s="4" t="str">
        <f t="shared" si="115"/>
        <v/>
      </c>
      <c r="AS528" s="5" t="str">
        <f t="shared" si="115"/>
        <v/>
      </c>
      <c r="AT528" s="3" t="str">
        <f t="shared" si="113"/>
        <v/>
      </c>
      <c r="AU528" s="4" t="str">
        <f t="shared" si="113"/>
        <v/>
      </c>
      <c r="AV528" s="4" t="str">
        <f t="shared" si="113"/>
        <v/>
      </c>
      <c r="AW528" s="4" t="str">
        <f t="shared" si="113"/>
        <v/>
      </c>
      <c r="AX528" s="4" t="str">
        <f t="shared" si="113"/>
        <v/>
      </c>
      <c r="AY528" s="4" t="str">
        <f t="shared" si="113"/>
        <v/>
      </c>
      <c r="AZ528" s="4" t="str">
        <f t="shared" si="113"/>
        <v/>
      </c>
      <c r="BA528" s="4" t="str">
        <f t="shared" si="113"/>
        <v/>
      </c>
      <c r="BB528" s="4" t="str">
        <f t="shared" si="119"/>
        <v/>
      </c>
      <c r="BC528" s="4" t="str">
        <f t="shared" si="116"/>
        <v/>
      </c>
      <c r="BD528" s="4" t="str">
        <f t="shared" si="116"/>
        <v/>
      </c>
      <c r="BE528" s="4" t="str">
        <f t="shared" si="116"/>
        <v/>
      </c>
      <c r="BF528" s="4" t="str">
        <f t="shared" si="116"/>
        <v/>
      </c>
      <c r="BG528" s="4" t="str">
        <f t="shared" si="116"/>
        <v/>
      </c>
      <c r="BH528" s="4" t="str">
        <f t="shared" si="116"/>
        <v/>
      </c>
      <c r="BI528" s="5" t="str">
        <f t="shared" si="116"/>
        <v/>
      </c>
    </row>
    <row r="529" spans="1:61" x14ac:dyDescent="0.25">
      <c r="A529">
        <v>351870</v>
      </c>
      <c r="B529" t="s">
        <v>14</v>
      </c>
      <c r="C529" t="s">
        <v>16</v>
      </c>
      <c r="D529">
        <v>65862</v>
      </c>
      <c r="E529">
        <v>357</v>
      </c>
      <c r="F529">
        <v>90</v>
      </c>
      <c r="G529">
        <v>20122</v>
      </c>
      <c r="H529" t="s">
        <v>0</v>
      </c>
      <c r="I529">
        <v>21446</v>
      </c>
      <c r="J529">
        <v>668</v>
      </c>
      <c r="K529">
        <v>41235.949999999997</v>
      </c>
      <c r="L529">
        <v>39967.040000000001</v>
      </c>
      <c r="M529">
        <v>1268.9100000000001</v>
      </c>
      <c r="N529" s="3" t="str">
        <f t="shared" si="111"/>
        <v/>
      </c>
      <c r="O529" s="4" t="str">
        <f t="shared" si="111"/>
        <v/>
      </c>
      <c r="P529" s="4" t="str">
        <f t="shared" si="111"/>
        <v/>
      </c>
      <c r="Q529" s="4" t="str">
        <f t="shared" si="111"/>
        <v/>
      </c>
      <c r="R529" s="4" t="str">
        <f t="shared" si="111"/>
        <v/>
      </c>
      <c r="S529" s="4" t="str">
        <f t="shared" si="111"/>
        <v/>
      </c>
      <c r="T529" s="4" t="str">
        <f t="shared" si="111"/>
        <v/>
      </c>
      <c r="U529" s="4" t="str">
        <f t="shared" si="111"/>
        <v/>
      </c>
      <c r="V529" s="4" t="str">
        <f t="shared" si="117"/>
        <v/>
      </c>
      <c r="W529" s="4" t="str">
        <f t="shared" si="114"/>
        <v/>
      </c>
      <c r="X529" s="4" t="str">
        <f t="shared" si="114"/>
        <v/>
      </c>
      <c r="Y529" s="4" t="str">
        <f t="shared" si="114"/>
        <v/>
      </c>
      <c r="Z529" s="4" t="str">
        <f t="shared" si="114"/>
        <v/>
      </c>
      <c r="AA529" s="4" t="str">
        <f t="shared" si="114"/>
        <v/>
      </c>
      <c r="AB529" s="4" t="str">
        <f t="shared" si="114"/>
        <v/>
      </c>
      <c r="AC529" s="5" t="str">
        <f t="shared" si="114"/>
        <v/>
      </c>
      <c r="AD529" s="3" t="str">
        <f t="shared" si="112"/>
        <v/>
      </c>
      <c r="AE529" s="4">
        <f t="shared" si="112"/>
        <v>1</v>
      </c>
      <c r="AF529" s="4" t="str">
        <f t="shared" si="112"/>
        <v/>
      </c>
      <c r="AG529" s="4" t="str">
        <f t="shared" si="112"/>
        <v/>
      </c>
      <c r="AH529" s="4" t="str">
        <f t="shared" si="112"/>
        <v/>
      </c>
      <c r="AI529" s="4" t="str">
        <f t="shared" si="112"/>
        <v/>
      </c>
      <c r="AJ529" s="4" t="str">
        <f t="shared" si="112"/>
        <v/>
      </c>
      <c r="AK529" s="4" t="str">
        <f t="shared" si="112"/>
        <v/>
      </c>
      <c r="AL529" s="4" t="str">
        <f t="shared" si="118"/>
        <v/>
      </c>
      <c r="AM529" s="4" t="str">
        <f t="shared" si="115"/>
        <v/>
      </c>
      <c r="AN529" s="4" t="str">
        <f t="shared" si="115"/>
        <v/>
      </c>
      <c r="AO529" s="4" t="str">
        <f t="shared" si="115"/>
        <v/>
      </c>
      <c r="AP529" s="4" t="str">
        <f t="shared" si="115"/>
        <v/>
      </c>
      <c r="AQ529" s="4" t="str">
        <f t="shared" si="115"/>
        <v/>
      </c>
      <c r="AR529" s="4" t="str">
        <f t="shared" si="115"/>
        <v/>
      </c>
      <c r="AS529" s="5" t="str">
        <f t="shared" si="115"/>
        <v/>
      </c>
      <c r="AT529" s="3" t="str">
        <f t="shared" si="113"/>
        <v/>
      </c>
      <c r="AU529" s="4" t="str">
        <f t="shared" si="113"/>
        <v/>
      </c>
      <c r="AV529" s="4" t="str">
        <f t="shared" si="113"/>
        <v/>
      </c>
      <c r="AW529" s="4" t="str">
        <f t="shared" si="113"/>
        <v/>
      </c>
      <c r="AX529" s="4" t="str">
        <f t="shared" si="113"/>
        <v/>
      </c>
      <c r="AY529" s="4" t="str">
        <f t="shared" si="113"/>
        <v/>
      </c>
      <c r="AZ529" s="4" t="str">
        <f t="shared" si="113"/>
        <v/>
      </c>
      <c r="BA529" s="4" t="str">
        <f t="shared" si="113"/>
        <v/>
      </c>
      <c r="BB529" s="4" t="str">
        <f t="shared" si="119"/>
        <v/>
      </c>
      <c r="BC529" s="4" t="str">
        <f t="shared" si="116"/>
        <v/>
      </c>
      <c r="BD529" s="4" t="str">
        <f t="shared" si="116"/>
        <v/>
      </c>
      <c r="BE529" s="4" t="str">
        <f t="shared" si="116"/>
        <v/>
      </c>
      <c r="BF529" s="4" t="str">
        <f t="shared" si="116"/>
        <v/>
      </c>
      <c r="BG529" s="4" t="str">
        <f t="shared" si="116"/>
        <v/>
      </c>
      <c r="BH529" s="4" t="str">
        <f t="shared" si="116"/>
        <v/>
      </c>
      <c r="BI529" s="5" t="str">
        <f t="shared" si="116"/>
        <v/>
      </c>
    </row>
    <row r="530" spans="1:61" x14ac:dyDescent="0.25">
      <c r="A530">
        <v>351871</v>
      </c>
      <c r="B530" t="s">
        <v>14</v>
      </c>
      <c r="C530" t="s">
        <v>16</v>
      </c>
      <c r="D530">
        <v>65862</v>
      </c>
      <c r="E530">
        <v>357</v>
      </c>
      <c r="F530">
        <v>90</v>
      </c>
      <c r="G530">
        <v>20123</v>
      </c>
      <c r="H530" t="s">
        <v>0</v>
      </c>
      <c r="I530">
        <v>140407</v>
      </c>
      <c r="J530">
        <v>4327</v>
      </c>
      <c r="K530">
        <v>158201.57999999999</v>
      </c>
      <c r="L530">
        <v>153560.82999999999</v>
      </c>
      <c r="M530">
        <v>4640.75</v>
      </c>
      <c r="N530" s="3" t="str">
        <f t="shared" ref="N530:U561" si="120">IF(AND($B530=N$3, $G530=N$2, $H530=N$1), 1, "")</f>
        <v/>
      </c>
      <c r="O530" s="4" t="str">
        <f t="shared" si="120"/>
        <v/>
      </c>
      <c r="P530" s="4" t="str">
        <f t="shared" si="120"/>
        <v/>
      </c>
      <c r="Q530" s="4" t="str">
        <f t="shared" si="120"/>
        <v/>
      </c>
      <c r="R530" s="4" t="str">
        <f t="shared" si="120"/>
        <v/>
      </c>
      <c r="S530" s="4" t="str">
        <f t="shared" si="120"/>
        <v/>
      </c>
      <c r="T530" s="4" t="str">
        <f t="shared" si="120"/>
        <v/>
      </c>
      <c r="U530" s="4" t="str">
        <f t="shared" si="120"/>
        <v/>
      </c>
      <c r="V530" s="4" t="str">
        <f t="shared" si="117"/>
        <v/>
      </c>
      <c r="W530" s="4" t="str">
        <f t="shared" si="114"/>
        <v/>
      </c>
      <c r="X530" s="4" t="str">
        <f t="shared" si="114"/>
        <v/>
      </c>
      <c r="Y530" s="4" t="str">
        <f t="shared" si="114"/>
        <v/>
      </c>
      <c r="Z530" s="4" t="str">
        <f t="shared" si="114"/>
        <v/>
      </c>
      <c r="AA530" s="4" t="str">
        <f t="shared" si="114"/>
        <v/>
      </c>
      <c r="AB530" s="4" t="str">
        <f t="shared" si="114"/>
        <v/>
      </c>
      <c r="AC530" s="5" t="str">
        <f t="shared" si="114"/>
        <v/>
      </c>
      <c r="AD530" s="3" t="str">
        <f t="shared" ref="AD530:AK561" si="121">IF(AND($B530=AD$3, $G530=AD$2, $H530=AD$1), 1, "")</f>
        <v/>
      </c>
      <c r="AE530" s="4" t="str">
        <f t="shared" si="121"/>
        <v/>
      </c>
      <c r="AF530" s="4">
        <f t="shared" si="121"/>
        <v>1</v>
      </c>
      <c r="AG530" s="4" t="str">
        <f t="shared" si="121"/>
        <v/>
      </c>
      <c r="AH530" s="4" t="str">
        <f t="shared" si="121"/>
        <v/>
      </c>
      <c r="AI530" s="4" t="str">
        <f t="shared" si="121"/>
        <v/>
      </c>
      <c r="AJ530" s="4" t="str">
        <f t="shared" si="121"/>
        <v/>
      </c>
      <c r="AK530" s="4" t="str">
        <f t="shared" si="121"/>
        <v/>
      </c>
      <c r="AL530" s="4" t="str">
        <f t="shared" si="118"/>
        <v/>
      </c>
      <c r="AM530" s="4" t="str">
        <f t="shared" si="115"/>
        <v/>
      </c>
      <c r="AN530" s="4" t="str">
        <f t="shared" si="115"/>
        <v/>
      </c>
      <c r="AO530" s="4" t="str">
        <f t="shared" si="115"/>
        <v/>
      </c>
      <c r="AP530" s="4" t="str">
        <f t="shared" si="115"/>
        <v/>
      </c>
      <c r="AQ530" s="4" t="str">
        <f t="shared" si="115"/>
        <v/>
      </c>
      <c r="AR530" s="4" t="str">
        <f t="shared" si="115"/>
        <v/>
      </c>
      <c r="AS530" s="5" t="str">
        <f t="shared" si="115"/>
        <v/>
      </c>
      <c r="AT530" s="3" t="str">
        <f t="shared" ref="AT530:BA561" si="122">IF(AND($B530=AT$3, $G530=AT$2, $H530=AT$1), 1, "")</f>
        <v/>
      </c>
      <c r="AU530" s="4" t="str">
        <f t="shared" si="122"/>
        <v/>
      </c>
      <c r="AV530" s="4" t="str">
        <f t="shared" si="122"/>
        <v/>
      </c>
      <c r="AW530" s="4" t="str">
        <f t="shared" si="122"/>
        <v/>
      </c>
      <c r="AX530" s="4" t="str">
        <f t="shared" si="122"/>
        <v/>
      </c>
      <c r="AY530" s="4" t="str">
        <f t="shared" si="122"/>
        <v/>
      </c>
      <c r="AZ530" s="4" t="str">
        <f t="shared" si="122"/>
        <v/>
      </c>
      <c r="BA530" s="4" t="str">
        <f t="shared" si="122"/>
        <v/>
      </c>
      <c r="BB530" s="4" t="str">
        <f t="shared" si="119"/>
        <v/>
      </c>
      <c r="BC530" s="4" t="str">
        <f t="shared" si="116"/>
        <v/>
      </c>
      <c r="BD530" s="4" t="str">
        <f t="shared" si="116"/>
        <v/>
      </c>
      <c r="BE530" s="4" t="str">
        <f t="shared" si="116"/>
        <v/>
      </c>
      <c r="BF530" s="4" t="str">
        <f t="shared" si="116"/>
        <v/>
      </c>
      <c r="BG530" s="4" t="str">
        <f t="shared" si="116"/>
        <v/>
      </c>
      <c r="BH530" s="4" t="str">
        <f t="shared" si="116"/>
        <v/>
      </c>
      <c r="BI530" s="5" t="str">
        <f t="shared" si="116"/>
        <v/>
      </c>
    </row>
    <row r="531" spans="1:61" x14ac:dyDescent="0.25">
      <c r="A531">
        <v>351872</v>
      </c>
      <c r="B531" t="s">
        <v>14</v>
      </c>
      <c r="C531" t="s">
        <v>16</v>
      </c>
      <c r="D531">
        <v>65862</v>
      </c>
      <c r="E531">
        <v>357</v>
      </c>
      <c r="F531">
        <v>90</v>
      </c>
      <c r="G531">
        <v>20124</v>
      </c>
      <c r="H531" t="s">
        <v>0</v>
      </c>
      <c r="I531">
        <v>146681</v>
      </c>
      <c r="J531">
        <v>4569</v>
      </c>
      <c r="K531">
        <v>75429.440000000002</v>
      </c>
      <c r="L531">
        <v>70378.81</v>
      </c>
      <c r="M531">
        <v>5050.63</v>
      </c>
      <c r="N531" s="3" t="str">
        <f t="shared" si="120"/>
        <v/>
      </c>
      <c r="O531" s="4" t="str">
        <f t="shared" si="120"/>
        <v/>
      </c>
      <c r="P531" s="4" t="str">
        <f t="shared" si="120"/>
        <v/>
      </c>
      <c r="Q531" s="4" t="str">
        <f t="shared" si="120"/>
        <v/>
      </c>
      <c r="R531" s="4" t="str">
        <f t="shared" si="120"/>
        <v/>
      </c>
      <c r="S531" s="4" t="str">
        <f t="shared" si="120"/>
        <v/>
      </c>
      <c r="T531" s="4" t="str">
        <f t="shared" si="120"/>
        <v/>
      </c>
      <c r="U531" s="4" t="str">
        <f t="shared" si="120"/>
        <v/>
      </c>
      <c r="V531" s="4" t="str">
        <f t="shared" si="117"/>
        <v/>
      </c>
      <c r="W531" s="4" t="str">
        <f t="shared" si="114"/>
        <v/>
      </c>
      <c r="X531" s="4" t="str">
        <f t="shared" si="114"/>
        <v/>
      </c>
      <c r="Y531" s="4" t="str">
        <f t="shared" si="114"/>
        <v/>
      </c>
      <c r="Z531" s="4" t="str">
        <f t="shared" si="114"/>
        <v/>
      </c>
      <c r="AA531" s="4" t="str">
        <f t="shared" si="114"/>
        <v/>
      </c>
      <c r="AB531" s="4" t="str">
        <f t="shared" si="114"/>
        <v/>
      </c>
      <c r="AC531" s="5" t="str">
        <f t="shared" si="114"/>
        <v/>
      </c>
      <c r="AD531" s="3" t="str">
        <f t="shared" si="121"/>
        <v/>
      </c>
      <c r="AE531" s="4" t="str">
        <f t="shared" si="121"/>
        <v/>
      </c>
      <c r="AF531" s="4" t="str">
        <f t="shared" si="121"/>
        <v/>
      </c>
      <c r="AG531" s="4">
        <f t="shared" si="121"/>
        <v>1</v>
      </c>
      <c r="AH531" s="4" t="str">
        <f t="shared" si="121"/>
        <v/>
      </c>
      <c r="AI531" s="4" t="str">
        <f t="shared" si="121"/>
        <v/>
      </c>
      <c r="AJ531" s="4" t="str">
        <f t="shared" si="121"/>
        <v/>
      </c>
      <c r="AK531" s="4" t="str">
        <f t="shared" si="121"/>
        <v/>
      </c>
      <c r="AL531" s="4" t="str">
        <f t="shared" si="118"/>
        <v/>
      </c>
      <c r="AM531" s="4" t="str">
        <f t="shared" si="115"/>
        <v/>
      </c>
      <c r="AN531" s="4" t="str">
        <f t="shared" si="115"/>
        <v/>
      </c>
      <c r="AO531" s="4" t="str">
        <f t="shared" si="115"/>
        <v/>
      </c>
      <c r="AP531" s="4" t="str">
        <f t="shared" si="115"/>
        <v/>
      </c>
      <c r="AQ531" s="4" t="str">
        <f t="shared" si="115"/>
        <v/>
      </c>
      <c r="AR531" s="4" t="str">
        <f t="shared" si="115"/>
        <v/>
      </c>
      <c r="AS531" s="5" t="str">
        <f t="shared" si="115"/>
        <v/>
      </c>
      <c r="AT531" s="3" t="str">
        <f t="shared" si="122"/>
        <v/>
      </c>
      <c r="AU531" s="4" t="str">
        <f t="shared" si="122"/>
        <v/>
      </c>
      <c r="AV531" s="4" t="str">
        <f t="shared" si="122"/>
        <v/>
      </c>
      <c r="AW531" s="4" t="str">
        <f t="shared" si="122"/>
        <v/>
      </c>
      <c r="AX531" s="4" t="str">
        <f t="shared" si="122"/>
        <v/>
      </c>
      <c r="AY531" s="4" t="str">
        <f t="shared" si="122"/>
        <v/>
      </c>
      <c r="AZ531" s="4" t="str">
        <f t="shared" si="122"/>
        <v/>
      </c>
      <c r="BA531" s="4" t="str">
        <f t="shared" si="122"/>
        <v/>
      </c>
      <c r="BB531" s="4" t="str">
        <f t="shared" si="119"/>
        <v/>
      </c>
      <c r="BC531" s="4" t="str">
        <f t="shared" si="116"/>
        <v/>
      </c>
      <c r="BD531" s="4" t="str">
        <f t="shared" si="116"/>
        <v/>
      </c>
      <c r="BE531" s="4" t="str">
        <f t="shared" si="116"/>
        <v/>
      </c>
      <c r="BF531" s="4" t="str">
        <f t="shared" si="116"/>
        <v/>
      </c>
      <c r="BG531" s="4" t="str">
        <f t="shared" si="116"/>
        <v/>
      </c>
      <c r="BH531" s="4" t="str">
        <f t="shared" si="116"/>
        <v/>
      </c>
      <c r="BI531" s="5" t="str">
        <f t="shared" si="116"/>
        <v/>
      </c>
    </row>
    <row r="532" spans="1:61" x14ac:dyDescent="0.25">
      <c r="A532">
        <v>472830</v>
      </c>
      <c r="B532" t="s">
        <v>15</v>
      </c>
      <c r="C532" t="s">
        <v>16</v>
      </c>
      <c r="D532">
        <v>65862</v>
      </c>
      <c r="E532">
        <v>357</v>
      </c>
      <c r="F532">
        <v>5</v>
      </c>
      <c r="G532">
        <v>20122</v>
      </c>
      <c r="H532" t="s">
        <v>0</v>
      </c>
      <c r="I532">
        <v>37139</v>
      </c>
      <c r="J532">
        <v>1238</v>
      </c>
      <c r="K532">
        <v>80632.53</v>
      </c>
      <c r="L532">
        <v>79476.12</v>
      </c>
      <c r="M532">
        <v>1156.4100000000001</v>
      </c>
      <c r="N532" s="3" t="str">
        <f t="shared" si="120"/>
        <v/>
      </c>
      <c r="O532" s="4" t="str">
        <f t="shared" si="120"/>
        <v/>
      </c>
      <c r="P532" s="4" t="str">
        <f t="shared" si="120"/>
        <v/>
      </c>
      <c r="Q532" s="4" t="str">
        <f t="shared" si="120"/>
        <v/>
      </c>
      <c r="R532" s="4" t="str">
        <f t="shared" si="120"/>
        <v/>
      </c>
      <c r="S532" s="4" t="str">
        <f t="shared" si="120"/>
        <v/>
      </c>
      <c r="T532" s="4" t="str">
        <f t="shared" si="120"/>
        <v/>
      </c>
      <c r="U532" s="4" t="str">
        <f t="shared" si="120"/>
        <v/>
      </c>
      <c r="V532" s="4" t="str">
        <f t="shared" si="117"/>
        <v/>
      </c>
      <c r="W532" s="4" t="str">
        <f t="shared" si="114"/>
        <v/>
      </c>
      <c r="X532" s="4" t="str">
        <f t="shared" si="114"/>
        <v/>
      </c>
      <c r="Y532" s="4" t="str">
        <f t="shared" si="114"/>
        <v/>
      </c>
      <c r="Z532" s="4" t="str">
        <f t="shared" si="114"/>
        <v/>
      </c>
      <c r="AA532" s="4" t="str">
        <f t="shared" si="114"/>
        <v/>
      </c>
      <c r="AB532" s="4" t="str">
        <f t="shared" si="114"/>
        <v/>
      </c>
      <c r="AC532" s="5" t="str">
        <f t="shared" si="114"/>
        <v/>
      </c>
      <c r="AD532" s="3" t="str">
        <f t="shared" si="121"/>
        <v/>
      </c>
      <c r="AE532" s="4" t="str">
        <f t="shared" si="121"/>
        <v/>
      </c>
      <c r="AF532" s="4" t="str">
        <f t="shared" si="121"/>
        <v/>
      </c>
      <c r="AG532" s="4" t="str">
        <f t="shared" si="121"/>
        <v/>
      </c>
      <c r="AH532" s="4" t="str">
        <f t="shared" si="121"/>
        <v/>
      </c>
      <c r="AI532" s="4">
        <f t="shared" si="121"/>
        <v>1</v>
      </c>
      <c r="AJ532" s="4" t="str">
        <f t="shared" si="121"/>
        <v/>
      </c>
      <c r="AK532" s="4" t="str">
        <f t="shared" si="121"/>
        <v/>
      </c>
      <c r="AL532" s="4" t="str">
        <f t="shared" si="118"/>
        <v/>
      </c>
      <c r="AM532" s="4" t="str">
        <f t="shared" si="115"/>
        <v/>
      </c>
      <c r="AN532" s="4" t="str">
        <f t="shared" si="115"/>
        <v/>
      </c>
      <c r="AO532" s="4" t="str">
        <f t="shared" si="115"/>
        <v/>
      </c>
      <c r="AP532" s="4" t="str">
        <f t="shared" si="115"/>
        <v/>
      </c>
      <c r="AQ532" s="4" t="str">
        <f t="shared" si="115"/>
        <v/>
      </c>
      <c r="AR532" s="4" t="str">
        <f t="shared" si="115"/>
        <v/>
      </c>
      <c r="AS532" s="5" t="str">
        <f t="shared" si="115"/>
        <v/>
      </c>
      <c r="AT532" s="3" t="str">
        <f t="shared" si="122"/>
        <v/>
      </c>
      <c r="AU532" s="4" t="str">
        <f t="shared" si="122"/>
        <v/>
      </c>
      <c r="AV532" s="4" t="str">
        <f t="shared" si="122"/>
        <v/>
      </c>
      <c r="AW532" s="4" t="str">
        <f t="shared" si="122"/>
        <v/>
      </c>
      <c r="AX532" s="4" t="str">
        <f t="shared" si="122"/>
        <v/>
      </c>
      <c r="AY532" s="4" t="str">
        <f t="shared" si="122"/>
        <v/>
      </c>
      <c r="AZ532" s="4" t="str">
        <f t="shared" si="122"/>
        <v/>
      </c>
      <c r="BA532" s="4" t="str">
        <f t="shared" si="122"/>
        <v/>
      </c>
      <c r="BB532" s="4" t="str">
        <f t="shared" si="119"/>
        <v/>
      </c>
      <c r="BC532" s="4" t="str">
        <f t="shared" si="116"/>
        <v/>
      </c>
      <c r="BD532" s="4" t="str">
        <f t="shared" si="116"/>
        <v/>
      </c>
      <c r="BE532" s="4" t="str">
        <f t="shared" si="116"/>
        <v/>
      </c>
      <c r="BF532" s="4" t="str">
        <f t="shared" si="116"/>
        <v/>
      </c>
      <c r="BG532" s="4" t="str">
        <f t="shared" si="116"/>
        <v/>
      </c>
      <c r="BH532" s="4" t="str">
        <f t="shared" si="116"/>
        <v/>
      </c>
      <c r="BI532" s="5" t="str">
        <f t="shared" si="116"/>
        <v/>
      </c>
    </row>
    <row r="533" spans="1:61" x14ac:dyDescent="0.25">
      <c r="A533">
        <v>472831</v>
      </c>
      <c r="B533" t="s">
        <v>15</v>
      </c>
      <c r="C533" t="s">
        <v>16</v>
      </c>
      <c r="D533">
        <v>65862</v>
      </c>
      <c r="E533">
        <v>357</v>
      </c>
      <c r="F533">
        <v>5</v>
      </c>
      <c r="G533">
        <v>20123</v>
      </c>
      <c r="H533" t="s">
        <v>0</v>
      </c>
      <c r="I533">
        <v>184505</v>
      </c>
      <c r="J533">
        <v>6169</v>
      </c>
      <c r="K533">
        <v>262858.83</v>
      </c>
      <c r="L533">
        <v>261759.24</v>
      </c>
      <c r="M533">
        <v>1099.5899999999999</v>
      </c>
      <c r="N533" s="3" t="str">
        <f t="shared" si="120"/>
        <v/>
      </c>
      <c r="O533" s="4" t="str">
        <f t="shared" si="120"/>
        <v/>
      </c>
      <c r="P533" s="4" t="str">
        <f t="shared" si="120"/>
        <v/>
      </c>
      <c r="Q533" s="4" t="str">
        <f t="shared" si="120"/>
        <v/>
      </c>
      <c r="R533" s="4" t="str">
        <f t="shared" si="120"/>
        <v/>
      </c>
      <c r="S533" s="4" t="str">
        <f t="shared" si="120"/>
        <v/>
      </c>
      <c r="T533" s="4" t="str">
        <f t="shared" si="120"/>
        <v/>
      </c>
      <c r="U533" s="4" t="str">
        <f t="shared" si="120"/>
        <v/>
      </c>
      <c r="V533" s="4" t="str">
        <f t="shared" si="117"/>
        <v/>
      </c>
      <c r="W533" s="4" t="str">
        <f t="shared" si="114"/>
        <v/>
      </c>
      <c r="X533" s="4" t="str">
        <f t="shared" si="114"/>
        <v/>
      </c>
      <c r="Y533" s="4" t="str">
        <f t="shared" si="114"/>
        <v/>
      </c>
      <c r="Z533" s="4" t="str">
        <f t="shared" si="114"/>
        <v/>
      </c>
      <c r="AA533" s="4" t="str">
        <f t="shared" si="114"/>
        <v/>
      </c>
      <c r="AB533" s="4" t="str">
        <f t="shared" si="114"/>
        <v/>
      </c>
      <c r="AC533" s="5" t="str">
        <f t="shared" si="114"/>
        <v/>
      </c>
      <c r="AD533" s="3" t="str">
        <f t="shared" si="121"/>
        <v/>
      </c>
      <c r="AE533" s="4" t="str">
        <f t="shared" si="121"/>
        <v/>
      </c>
      <c r="AF533" s="4" t="str">
        <f t="shared" si="121"/>
        <v/>
      </c>
      <c r="AG533" s="4" t="str">
        <f t="shared" si="121"/>
        <v/>
      </c>
      <c r="AH533" s="4" t="str">
        <f t="shared" si="121"/>
        <v/>
      </c>
      <c r="AI533" s="4" t="str">
        <f t="shared" si="121"/>
        <v/>
      </c>
      <c r="AJ533" s="4">
        <f t="shared" si="121"/>
        <v>1</v>
      </c>
      <c r="AK533" s="4" t="str">
        <f t="shared" si="121"/>
        <v/>
      </c>
      <c r="AL533" s="4" t="str">
        <f t="shared" si="118"/>
        <v/>
      </c>
      <c r="AM533" s="4" t="str">
        <f t="shared" si="115"/>
        <v/>
      </c>
      <c r="AN533" s="4" t="str">
        <f t="shared" si="115"/>
        <v/>
      </c>
      <c r="AO533" s="4" t="str">
        <f t="shared" si="115"/>
        <v/>
      </c>
      <c r="AP533" s="4" t="str">
        <f t="shared" si="115"/>
        <v/>
      </c>
      <c r="AQ533" s="4" t="str">
        <f t="shared" si="115"/>
        <v/>
      </c>
      <c r="AR533" s="4" t="str">
        <f t="shared" si="115"/>
        <v/>
      </c>
      <c r="AS533" s="5" t="str">
        <f t="shared" si="115"/>
        <v/>
      </c>
      <c r="AT533" s="3" t="str">
        <f t="shared" si="122"/>
        <v/>
      </c>
      <c r="AU533" s="4" t="str">
        <f t="shared" si="122"/>
        <v/>
      </c>
      <c r="AV533" s="4" t="str">
        <f t="shared" si="122"/>
        <v/>
      </c>
      <c r="AW533" s="4" t="str">
        <f t="shared" si="122"/>
        <v/>
      </c>
      <c r="AX533" s="4" t="str">
        <f t="shared" si="122"/>
        <v/>
      </c>
      <c r="AY533" s="4" t="str">
        <f t="shared" si="122"/>
        <v/>
      </c>
      <c r="AZ533" s="4" t="str">
        <f t="shared" si="122"/>
        <v/>
      </c>
      <c r="BA533" s="4" t="str">
        <f t="shared" si="122"/>
        <v/>
      </c>
      <c r="BB533" s="4" t="str">
        <f t="shared" si="119"/>
        <v/>
      </c>
      <c r="BC533" s="4" t="str">
        <f t="shared" si="116"/>
        <v/>
      </c>
      <c r="BD533" s="4" t="str">
        <f t="shared" si="116"/>
        <v/>
      </c>
      <c r="BE533" s="4" t="str">
        <f t="shared" si="116"/>
        <v/>
      </c>
      <c r="BF533" s="4" t="str">
        <f t="shared" si="116"/>
        <v/>
      </c>
      <c r="BG533" s="4" t="str">
        <f t="shared" si="116"/>
        <v/>
      </c>
      <c r="BH533" s="4" t="str">
        <f t="shared" si="116"/>
        <v/>
      </c>
      <c r="BI533" s="5" t="str">
        <f t="shared" si="116"/>
        <v/>
      </c>
    </row>
    <row r="534" spans="1:61" x14ac:dyDescent="0.25">
      <c r="A534">
        <v>472832</v>
      </c>
      <c r="B534" t="s">
        <v>15</v>
      </c>
      <c r="C534" t="s">
        <v>16</v>
      </c>
      <c r="D534">
        <v>65862</v>
      </c>
      <c r="E534">
        <v>357</v>
      </c>
      <c r="F534">
        <v>5</v>
      </c>
      <c r="G534">
        <v>20124</v>
      </c>
      <c r="H534" t="s">
        <v>0</v>
      </c>
      <c r="I534">
        <v>263529</v>
      </c>
      <c r="J534">
        <v>8820</v>
      </c>
      <c r="K534">
        <v>348209.29</v>
      </c>
      <c r="L534">
        <v>346978.94</v>
      </c>
      <c r="M534">
        <v>1230.3499999999999</v>
      </c>
      <c r="N534" s="3" t="str">
        <f t="shared" si="120"/>
        <v/>
      </c>
      <c r="O534" s="4" t="str">
        <f t="shared" si="120"/>
        <v/>
      </c>
      <c r="P534" s="4" t="str">
        <f t="shared" si="120"/>
        <v/>
      </c>
      <c r="Q534" s="4" t="str">
        <f t="shared" si="120"/>
        <v/>
      </c>
      <c r="R534" s="4" t="str">
        <f t="shared" si="120"/>
        <v/>
      </c>
      <c r="S534" s="4" t="str">
        <f t="shared" si="120"/>
        <v/>
      </c>
      <c r="T534" s="4" t="str">
        <f t="shared" si="120"/>
        <v/>
      </c>
      <c r="U534" s="4" t="str">
        <f t="shared" si="120"/>
        <v/>
      </c>
      <c r="V534" s="4" t="str">
        <f t="shared" si="117"/>
        <v/>
      </c>
      <c r="W534" s="4" t="str">
        <f t="shared" si="114"/>
        <v/>
      </c>
      <c r="X534" s="4" t="str">
        <f t="shared" si="114"/>
        <v/>
      </c>
      <c r="Y534" s="4" t="str">
        <f t="shared" si="114"/>
        <v/>
      </c>
      <c r="Z534" s="4" t="str">
        <f t="shared" si="114"/>
        <v/>
      </c>
      <c r="AA534" s="4" t="str">
        <f t="shared" si="114"/>
        <v/>
      </c>
      <c r="AB534" s="4" t="str">
        <f t="shared" si="114"/>
        <v/>
      </c>
      <c r="AC534" s="5" t="str">
        <f t="shared" si="114"/>
        <v/>
      </c>
      <c r="AD534" s="3" t="str">
        <f t="shared" si="121"/>
        <v/>
      </c>
      <c r="AE534" s="4" t="str">
        <f t="shared" si="121"/>
        <v/>
      </c>
      <c r="AF534" s="4" t="str">
        <f t="shared" si="121"/>
        <v/>
      </c>
      <c r="AG534" s="4" t="str">
        <f t="shared" si="121"/>
        <v/>
      </c>
      <c r="AH534" s="4" t="str">
        <f t="shared" si="121"/>
        <v/>
      </c>
      <c r="AI534" s="4" t="str">
        <f t="shared" si="121"/>
        <v/>
      </c>
      <c r="AJ534" s="4" t="str">
        <f t="shared" si="121"/>
        <v/>
      </c>
      <c r="AK534" s="4">
        <f t="shared" si="121"/>
        <v>1</v>
      </c>
      <c r="AL534" s="4" t="str">
        <f t="shared" si="118"/>
        <v/>
      </c>
      <c r="AM534" s="4" t="str">
        <f t="shared" si="115"/>
        <v/>
      </c>
      <c r="AN534" s="4" t="str">
        <f t="shared" si="115"/>
        <v/>
      </c>
      <c r="AO534" s="4" t="str">
        <f t="shared" si="115"/>
        <v/>
      </c>
      <c r="AP534" s="4" t="str">
        <f t="shared" si="115"/>
        <v/>
      </c>
      <c r="AQ534" s="4" t="str">
        <f t="shared" si="115"/>
        <v/>
      </c>
      <c r="AR534" s="4" t="str">
        <f t="shared" si="115"/>
        <v/>
      </c>
      <c r="AS534" s="5" t="str">
        <f t="shared" si="115"/>
        <v/>
      </c>
      <c r="AT534" s="3" t="str">
        <f t="shared" si="122"/>
        <v/>
      </c>
      <c r="AU534" s="4" t="str">
        <f t="shared" si="122"/>
        <v/>
      </c>
      <c r="AV534" s="4" t="str">
        <f t="shared" si="122"/>
        <v/>
      </c>
      <c r="AW534" s="4" t="str">
        <f t="shared" si="122"/>
        <v/>
      </c>
      <c r="AX534" s="4" t="str">
        <f t="shared" si="122"/>
        <v/>
      </c>
      <c r="AY534" s="4" t="str">
        <f t="shared" si="122"/>
        <v/>
      </c>
      <c r="AZ534" s="4" t="str">
        <f t="shared" si="122"/>
        <v/>
      </c>
      <c r="BA534" s="4" t="str">
        <f t="shared" si="122"/>
        <v/>
      </c>
      <c r="BB534" s="4" t="str">
        <f t="shared" si="119"/>
        <v/>
      </c>
      <c r="BC534" s="4" t="str">
        <f t="shared" si="116"/>
        <v/>
      </c>
      <c r="BD534" s="4" t="str">
        <f t="shared" si="116"/>
        <v/>
      </c>
      <c r="BE534" s="4" t="str">
        <f t="shared" si="116"/>
        <v/>
      </c>
      <c r="BF534" s="4" t="str">
        <f t="shared" si="116"/>
        <v/>
      </c>
      <c r="BG534" s="4" t="str">
        <f t="shared" si="116"/>
        <v/>
      </c>
      <c r="BH534" s="4" t="str">
        <f t="shared" si="116"/>
        <v/>
      </c>
      <c r="BI534" s="5" t="str">
        <f t="shared" si="116"/>
        <v/>
      </c>
    </row>
    <row r="535" spans="1:61" x14ac:dyDescent="0.25">
      <c r="A535">
        <v>472833</v>
      </c>
      <c r="B535" t="s">
        <v>15</v>
      </c>
      <c r="C535" t="s">
        <v>16</v>
      </c>
      <c r="D535">
        <v>65862</v>
      </c>
      <c r="E535">
        <v>357</v>
      </c>
      <c r="F535">
        <v>30</v>
      </c>
      <c r="G535">
        <v>20122</v>
      </c>
      <c r="H535" t="s">
        <v>0</v>
      </c>
      <c r="I535">
        <v>35936</v>
      </c>
      <c r="J535">
        <v>1200</v>
      </c>
      <c r="K535">
        <v>92147.65</v>
      </c>
      <c r="L535">
        <v>91329.71</v>
      </c>
      <c r="M535">
        <v>817.94</v>
      </c>
      <c r="N535" s="3" t="str">
        <f t="shared" si="120"/>
        <v/>
      </c>
      <c r="O535" s="4" t="str">
        <f t="shared" si="120"/>
        <v/>
      </c>
      <c r="P535" s="4" t="str">
        <f t="shared" si="120"/>
        <v/>
      </c>
      <c r="Q535" s="4" t="str">
        <f t="shared" si="120"/>
        <v/>
      </c>
      <c r="R535" s="4" t="str">
        <f t="shared" si="120"/>
        <v/>
      </c>
      <c r="S535" s="4" t="str">
        <f t="shared" si="120"/>
        <v/>
      </c>
      <c r="T535" s="4" t="str">
        <f t="shared" si="120"/>
        <v/>
      </c>
      <c r="U535" s="4" t="str">
        <f t="shared" si="120"/>
        <v/>
      </c>
      <c r="V535" s="4" t="str">
        <f t="shared" si="117"/>
        <v/>
      </c>
      <c r="W535" s="4" t="str">
        <f t="shared" si="114"/>
        <v/>
      </c>
      <c r="X535" s="4" t="str">
        <f t="shared" si="114"/>
        <v/>
      </c>
      <c r="Y535" s="4" t="str">
        <f t="shared" si="114"/>
        <v/>
      </c>
      <c r="Z535" s="4" t="str">
        <f t="shared" si="114"/>
        <v/>
      </c>
      <c r="AA535" s="4" t="str">
        <f t="shared" si="114"/>
        <v/>
      </c>
      <c r="AB535" s="4" t="str">
        <f t="shared" si="114"/>
        <v/>
      </c>
      <c r="AC535" s="5" t="str">
        <f t="shared" si="114"/>
        <v/>
      </c>
      <c r="AD535" s="3" t="str">
        <f t="shared" si="121"/>
        <v/>
      </c>
      <c r="AE535" s="4" t="str">
        <f t="shared" si="121"/>
        <v/>
      </c>
      <c r="AF535" s="4" t="str">
        <f t="shared" si="121"/>
        <v/>
      </c>
      <c r="AG535" s="4" t="str">
        <f t="shared" si="121"/>
        <v/>
      </c>
      <c r="AH535" s="4" t="str">
        <f t="shared" si="121"/>
        <v/>
      </c>
      <c r="AI535" s="4">
        <f t="shared" si="121"/>
        <v>1</v>
      </c>
      <c r="AJ535" s="4" t="str">
        <f t="shared" si="121"/>
        <v/>
      </c>
      <c r="AK535" s="4" t="str">
        <f t="shared" si="121"/>
        <v/>
      </c>
      <c r="AL535" s="4" t="str">
        <f t="shared" si="118"/>
        <v/>
      </c>
      <c r="AM535" s="4" t="str">
        <f t="shared" si="115"/>
        <v/>
      </c>
      <c r="AN535" s="4" t="str">
        <f t="shared" si="115"/>
        <v/>
      </c>
      <c r="AO535" s="4" t="str">
        <f t="shared" si="115"/>
        <v/>
      </c>
      <c r="AP535" s="4" t="str">
        <f t="shared" si="115"/>
        <v/>
      </c>
      <c r="AQ535" s="4" t="str">
        <f t="shared" si="115"/>
        <v/>
      </c>
      <c r="AR535" s="4" t="str">
        <f t="shared" si="115"/>
        <v/>
      </c>
      <c r="AS535" s="5" t="str">
        <f t="shared" si="115"/>
        <v/>
      </c>
      <c r="AT535" s="3" t="str">
        <f t="shared" si="122"/>
        <v/>
      </c>
      <c r="AU535" s="4" t="str">
        <f t="shared" si="122"/>
        <v/>
      </c>
      <c r="AV535" s="4" t="str">
        <f t="shared" si="122"/>
        <v/>
      </c>
      <c r="AW535" s="4" t="str">
        <f t="shared" si="122"/>
        <v/>
      </c>
      <c r="AX535" s="4" t="str">
        <f t="shared" si="122"/>
        <v/>
      </c>
      <c r="AY535" s="4" t="str">
        <f t="shared" si="122"/>
        <v/>
      </c>
      <c r="AZ535" s="4" t="str">
        <f t="shared" si="122"/>
        <v/>
      </c>
      <c r="BA535" s="4" t="str">
        <f t="shared" si="122"/>
        <v/>
      </c>
      <c r="BB535" s="4" t="str">
        <f t="shared" si="119"/>
        <v/>
      </c>
      <c r="BC535" s="4" t="str">
        <f t="shared" si="116"/>
        <v/>
      </c>
      <c r="BD535" s="4" t="str">
        <f t="shared" si="116"/>
        <v/>
      </c>
      <c r="BE535" s="4" t="str">
        <f t="shared" si="116"/>
        <v/>
      </c>
      <c r="BF535" s="4" t="str">
        <f t="shared" si="116"/>
        <v/>
      </c>
      <c r="BG535" s="4" t="str">
        <f t="shared" si="116"/>
        <v/>
      </c>
      <c r="BH535" s="4" t="str">
        <f t="shared" si="116"/>
        <v/>
      </c>
      <c r="BI535" s="5" t="str">
        <f t="shared" si="116"/>
        <v/>
      </c>
    </row>
    <row r="536" spans="1:61" x14ac:dyDescent="0.25">
      <c r="A536">
        <v>472834</v>
      </c>
      <c r="B536" t="s">
        <v>15</v>
      </c>
      <c r="C536" t="s">
        <v>16</v>
      </c>
      <c r="D536">
        <v>65862</v>
      </c>
      <c r="E536">
        <v>357</v>
      </c>
      <c r="F536">
        <v>30</v>
      </c>
      <c r="G536">
        <v>20123</v>
      </c>
      <c r="H536" t="s">
        <v>0</v>
      </c>
      <c r="I536">
        <v>156533</v>
      </c>
      <c r="J536">
        <v>5253</v>
      </c>
      <c r="K536">
        <v>252572.63</v>
      </c>
      <c r="L536">
        <v>251901.48</v>
      </c>
      <c r="M536">
        <v>671.15</v>
      </c>
      <c r="N536" s="3" t="str">
        <f t="shared" si="120"/>
        <v/>
      </c>
      <c r="O536" s="4" t="str">
        <f t="shared" si="120"/>
        <v/>
      </c>
      <c r="P536" s="4" t="str">
        <f t="shared" si="120"/>
        <v/>
      </c>
      <c r="Q536" s="4" t="str">
        <f t="shared" si="120"/>
        <v/>
      </c>
      <c r="R536" s="4" t="str">
        <f t="shared" si="120"/>
        <v/>
      </c>
      <c r="S536" s="4" t="str">
        <f t="shared" si="120"/>
        <v/>
      </c>
      <c r="T536" s="4" t="str">
        <f t="shared" si="120"/>
        <v/>
      </c>
      <c r="U536" s="4" t="str">
        <f t="shared" si="120"/>
        <v/>
      </c>
      <c r="V536" s="4" t="str">
        <f t="shared" si="117"/>
        <v/>
      </c>
      <c r="W536" s="4" t="str">
        <f t="shared" si="114"/>
        <v/>
      </c>
      <c r="X536" s="4" t="str">
        <f t="shared" si="114"/>
        <v/>
      </c>
      <c r="Y536" s="4" t="str">
        <f t="shared" si="114"/>
        <v/>
      </c>
      <c r="Z536" s="4" t="str">
        <f t="shared" si="114"/>
        <v/>
      </c>
      <c r="AA536" s="4" t="str">
        <f t="shared" si="114"/>
        <v/>
      </c>
      <c r="AB536" s="4" t="str">
        <f t="shared" si="114"/>
        <v/>
      </c>
      <c r="AC536" s="5" t="str">
        <f t="shared" si="114"/>
        <v/>
      </c>
      <c r="AD536" s="3" t="str">
        <f t="shared" si="121"/>
        <v/>
      </c>
      <c r="AE536" s="4" t="str">
        <f t="shared" si="121"/>
        <v/>
      </c>
      <c r="AF536" s="4" t="str">
        <f t="shared" si="121"/>
        <v/>
      </c>
      <c r="AG536" s="4" t="str">
        <f t="shared" si="121"/>
        <v/>
      </c>
      <c r="AH536" s="4" t="str">
        <f t="shared" si="121"/>
        <v/>
      </c>
      <c r="AI536" s="4" t="str">
        <f t="shared" si="121"/>
        <v/>
      </c>
      <c r="AJ536" s="4">
        <f t="shared" si="121"/>
        <v>1</v>
      </c>
      <c r="AK536" s="4" t="str">
        <f t="shared" si="121"/>
        <v/>
      </c>
      <c r="AL536" s="4" t="str">
        <f t="shared" si="118"/>
        <v/>
      </c>
      <c r="AM536" s="4" t="str">
        <f t="shared" si="115"/>
        <v/>
      </c>
      <c r="AN536" s="4" t="str">
        <f t="shared" si="115"/>
        <v/>
      </c>
      <c r="AO536" s="4" t="str">
        <f t="shared" si="115"/>
        <v/>
      </c>
      <c r="AP536" s="4" t="str">
        <f t="shared" si="115"/>
        <v/>
      </c>
      <c r="AQ536" s="4" t="str">
        <f t="shared" si="115"/>
        <v/>
      </c>
      <c r="AR536" s="4" t="str">
        <f t="shared" si="115"/>
        <v/>
      </c>
      <c r="AS536" s="5" t="str">
        <f t="shared" si="115"/>
        <v/>
      </c>
      <c r="AT536" s="3" t="str">
        <f t="shared" si="122"/>
        <v/>
      </c>
      <c r="AU536" s="4" t="str">
        <f t="shared" si="122"/>
        <v/>
      </c>
      <c r="AV536" s="4" t="str">
        <f t="shared" si="122"/>
        <v/>
      </c>
      <c r="AW536" s="4" t="str">
        <f t="shared" si="122"/>
        <v/>
      </c>
      <c r="AX536" s="4" t="str">
        <f t="shared" si="122"/>
        <v/>
      </c>
      <c r="AY536" s="4" t="str">
        <f t="shared" si="122"/>
        <v/>
      </c>
      <c r="AZ536" s="4" t="str">
        <f t="shared" si="122"/>
        <v/>
      </c>
      <c r="BA536" s="4" t="str">
        <f t="shared" si="122"/>
        <v/>
      </c>
      <c r="BB536" s="4" t="str">
        <f t="shared" si="119"/>
        <v/>
      </c>
      <c r="BC536" s="4" t="str">
        <f t="shared" si="116"/>
        <v/>
      </c>
      <c r="BD536" s="4" t="str">
        <f t="shared" si="116"/>
        <v/>
      </c>
      <c r="BE536" s="4" t="str">
        <f t="shared" si="116"/>
        <v/>
      </c>
      <c r="BF536" s="4" t="str">
        <f t="shared" si="116"/>
        <v/>
      </c>
      <c r="BG536" s="4" t="str">
        <f t="shared" si="116"/>
        <v/>
      </c>
      <c r="BH536" s="4" t="str">
        <f t="shared" si="116"/>
        <v/>
      </c>
      <c r="BI536" s="5" t="str">
        <f t="shared" si="116"/>
        <v/>
      </c>
    </row>
    <row r="537" spans="1:61" x14ac:dyDescent="0.25">
      <c r="A537">
        <v>472835</v>
      </c>
      <c r="B537" t="s">
        <v>15</v>
      </c>
      <c r="C537" t="s">
        <v>16</v>
      </c>
      <c r="D537">
        <v>65862</v>
      </c>
      <c r="E537">
        <v>357</v>
      </c>
      <c r="F537">
        <v>30</v>
      </c>
      <c r="G537">
        <v>20124</v>
      </c>
      <c r="H537" t="s">
        <v>0</v>
      </c>
      <c r="I537">
        <v>155861</v>
      </c>
      <c r="J537">
        <v>5204</v>
      </c>
      <c r="K537">
        <v>224449.69</v>
      </c>
      <c r="L537">
        <v>224032.26</v>
      </c>
      <c r="M537">
        <v>417.43</v>
      </c>
      <c r="N537" s="3" t="str">
        <f t="shared" si="120"/>
        <v/>
      </c>
      <c r="O537" s="4" t="str">
        <f t="shared" si="120"/>
        <v/>
      </c>
      <c r="P537" s="4" t="str">
        <f t="shared" si="120"/>
        <v/>
      </c>
      <c r="Q537" s="4" t="str">
        <f t="shared" si="120"/>
        <v/>
      </c>
      <c r="R537" s="4" t="str">
        <f t="shared" si="120"/>
        <v/>
      </c>
      <c r="S537" s="4" t="str">
        <f t="shared" si="120"/>
        <v/>
      </c>
      <c r="T537" s="4" t="str">
        <f t="shared" si="120"/>
        <v/>
      </c>
      <c r="U537" s="4" t="str">
        <f t="shared" si="120"/>
        <v/>
      </c>
      <c r="V537" s="4" t="str">
        <f t="shared" si="117"/>
        <v/>
      </c>
      <c r="W537" s="4" t="str">
        <f t="shared" si="114"/>
        <v/>
      </c>
      <c r="X537" s="4" t="str">
        <f t="shared" si="114"/>
        <v/>
      </c>
      <c r="Y537" s="4" t="str">
        <f t="shared" si="114"/>
        <v/>
      </c>
      <c r="Z537" s="4" t="str">
        <f t="shared" si="114"/>
        <v/>
      </c>
      <c r="AA537" s="4" t="str">
        <f t="shared" si="114"/>
        <v/>
      </c>
      <c r="AB537" s="4" t="str">
        <f t="shared" si="114"/>
        <v/>
      </c>
      <c r="AC537" s="5" t="str">
        <f t="shared" si="114"/>
        <v/>
      </c>
      <c r="AD537" s="3" t="str">
        <f t="shared" si="121"/>
        <v/>
      </c>
      <c r="AE537" s="4" t="str">
        <f t="shared" si="121"/>
        <v/>
      </c>
      <c r="AF537" s="4" t="str">
        <f t="shared" si="121"/>
        <v/>
      </c>
      <c r="AG537" s="4" t="str">
        <f t="shared" si="121"/>
        <v/>
      </c>
      <c r="AH537" s="4" t="str">
        <f t="shared" si="121"/>
        <v/>
      </c>
      <c r="AI537" s="4" t="str">
        <f t="shared" si="121"/>
        <v/>
      </c>
      <c r="AJ537" s="4" t="str">
        <f t="shared" si="121"/>
        <v/>
      </c>
      <c r="AK537" s="4">
        <f t="shared" si="121"/>
        <v>1</v>
      </c>
      <c r="AL537" s="4" t="str">
        <f t="shared" si="118"/>
        <v/>
      </c>
      <c r="AM537" s="4" t="str">
        <f t="shared" si="115"/>
        <v/>
      </c>
      <c r="AN537" s="4" t="str">
        <f t="shared" si="115"/>
        <v/>
      </c>
      <c r="AO537" s="4" t="str">
        <f t="shared" si="115"/>
        <v/>
      </c>
      <c r="AP537" s="4" t="str">
        <f t="shared" si="115"/>
        <v/>
      </c>
      <c r="AQ537" s="4" t="str">
        <f t="shared" si="115"/>
        <v/>
      </c>
      <c r="AR537" s="4" t="str">
        <f t="shared" si="115"/>
        <v/>
      </c>
      <c r="AS537" s="5" t="str">
        <f t="shared" si="115"/>
        <v/>
      </c>
      <c r="AT537" s="3" t="str">
        <f t="shared" si="122"/>
        <v/>
      </c>
      <c r="AU537" s="4" t="str">
        <f t="shared" si="122"/>
        <v/>
      </c>
      <c r="AV537" s="4" t="str">
        <f t="shared" si="122"/>
        <v/>
      </c>
      <c r="AW537" s="4" t="str">
        <f t="shared" si="122"/>
        <v/>
      </c>
      <c r="AX537" s="4" t="str">
        <f t="shared" si="122"/>
        <v/>
      </c>
      <c r="AY537" s="4" t="str">
        <f t="shared" si="122"/>
        <v/>
      </c>
      <c r="AZ537" s="4" t="str">
        <f t="shared" si="122"/>
        <v/>
      </c>
      <c r="BA537" s="4" t="str">
        <f t="shared" si="122"/>
        <v/>
      </c>
      <c r="BB537" s="4" t="str">
        <f t="shared" si="119"/>
        <v/>
      </c>
      <c r="BC537" s="4" t="str">
        <f t="shared" si="116"/>
        <v/>
      </c>
      <c r="BD537" s="4" t="str">
        <f t="shared" si="116"/>
        <v/>
      </c>
      <c r="BE537" s="4" t="str">
        <f t="shared" si="116"/>
        <v/>
      </c>
      <c r="BF537" s="4" t="str">
        <f t="shared" si="116"/>
        <v/>
      </c>
      <c r="BG537" s="4" t="str">
        <f t="shared" si="116"/>
        <v/>
      </c>
      <c r="BH537" s="4" t="str">
        <f t="shared" si="116"/>
        <v/>
      </c>
      <c r="BI537" s="5" t="str">
        <f t="shared" si="116"/>
        <v/>
      </c>
    </row>
    <row r="538" spans="1:61" x14ac:dyDescent="0.25">
      <c r="A538">
        <v>472836</v>
      </c>
      <c r="B538" t="s">
        <v>15</v>
      </c>
      <c r="C538" t="s">
        <v>16</v>
      </c>
      <c r="D538">
        <v>65862</v>
      </c>
      <c r="E538">
        <v>357</v>
      </c>
      <c r="F538">
        <v>90</v>
      </c>
      <c r="G538">
        <v>20122</v>
      </c>
      <c r="H538" t="s">
        <v>0</v>
      </c>
      <c r="I538">
        <v>42595</v>
      </c>
      <c r="J538">
        <v>1405</v>
      </c>
      <c r="K538">
        <v>85371.23</v>
      </c>
      <c r="L538">
        <v>83941.09</v>
      </c>
      <c r="M538">
        <v>1430.14</v>
      </c>
      <c r="N538" s="3" t="str">
        <f t="shared" si="120"/>
        <v/>
      </c>
      <c r="O538" s="4" t="str">
        <f t="shared" si="120"/>
        <v/>
      </c>
      <c r="P538" s="4" t="str">
        <f t="shared" si="120"/>
        <v/>
      </c>
      <c r="Q538" s="4" t="str">
        <f t="shared" si="120"/>
        <v/>
      </c>
      <c r="R538" s="4" t="str">
        <f t="shared" si="120"/>
        <v/>
      </c>
      <c r="S538" s="4" t="str">
        <f t="shared" si="120"/>
        <v/>
      </c>
      <c r="T538" s="4" t="str">
        <f t="shared" si="120"/>
        <v/>
      </c>
      <c r="U538" s="4" t="str">
        <f t="shared" si="120"/>
        <v/>
      </c>
      <c r="V538" s="4" t="str">
        <f t="shared" si="117"/>
        <v/>
      </c>
      <c r="W538" s="4" t="str">
        <f t="shared" si="114"/>
        <v/>
      </c>
      <c r="X538" s="4" t="str">
        <f t="shared" si="114"/>
        <v/>
      </c>
      <c r="Y538" s="4" t="str">
        <f t="shared" si="114"/>
        <v/>
      </c>
      <c r="Z538" s="4" t="str">
        <f t="shared" si="114"/>
        <v/>
      </c>
      <c r="AA538" s="4" t="str">
        <f t="shared" si="114"/>
        <v/>
      </c>
      <c r="AB538" s="4" t="str">
        <f t="shared" si="114"/>
        <v/>
      </c>
      <c r="AC538" s="5" t="str">
        <f t="shared" si="114"/>
        <v/>
      </c>
      <c r="AD538" s="3" t="str">
        <f t="shared" si="121"/>
        <v/>
      </c>
      <c r="AE538" s="4" t="str">
        <f t="shared" si="121"/>
        <v/>
      </c>
      <c r="AF538" s="4" t="str">
        <f t="shared" si="121"/>
        <v/>
      </c>
      <c r="AG538" s="4" t="str">
        <f t="shared" si="121"/>
        <v/>
      </c>
      <c r="AH538" s="4" t="str">
        <f t="shared" si="121"/>
        <v/>
      </c>
      <c r="AI538" s="4">
        <f t="shared" si="121"/>
        <v>1</v>
      </c>
      <c r="AJ538" s="4" t="str">
        <f t="shared" si="121"/>
        <v/>
      </c>
      <c r="AK538" s="4" t="str">
        <f t="shared" si="121"/>
        <v/>
      </c>
      <c r="AL538" s="4" t="str">
        <f t="shared" si="118"/>
        <v/>
      </c>
      <c r="AM538" s="4" t="str">
        <f t="shared" si="115"/>
        <v/>
      </c>
      <c r="AN538" s="4" t="str">
        <f t="shared" si="115"/>
        <v/>
      </c>
      <c r="AO538" s="4" t="str">
        <f t="shared" si="115"/>
        <v/>
      </c>
      <c r="AP538" s="4" t="str">
        <f t="shared" si="115"/>
        <v/>
      </c>
      <c r="AQ538" s="4" t="str">
        <f t="shared" si="115"/>
        <v/>
      </c>
      <c r="AR538" s="4" t="str">
        <f t="shared" si="115"/>
        <v/>
      </c>
      <c r="AS538" s="5" t="str">
        <f t="shared" si="115"/>
        <v/>
      </c>
      <c r="AT538" s="3" t="str">
        <f t="shared" si="122"/>
        <v/>
      </c>
      <c r="AU538" s="4" t="str">
        <f t="shared" si="122"/>
        <v/>
      </c>
      <c r="AV538" s="4" t="str">
        <f t="shared" si="122"/>
        <v/>
      </c>
      <c r="AW538" s="4" t="str">
        <f t="shared" si="122"/>
        <v/>
      </c>
      <c r="AX538" s="4" t="str">
        <f t="shared" si="122"/>
        <v/>
      </c>
      <c r="AY538" s="4" t="str">
        <f t="shared" si="122"/>
        <v/>
      </c>
      <c r="AZ538" s="4" t="str">
        <f t="shared" si="122"/>
        <v/>
      </c>
      <c r="BA538" s="4" t="str">
        <f t="shared" si="122"/>
        <v/>
      </c>
      <c r="BB538" s="4" t="str">
        <f t="shared" si="119"/>
        <v/>
      </c>
      <c r="BC538" s="4" t="str">
        <f t="shared" si="116"/>
        <v/>
      </c>
      <c r="BD538" s="4" t="str">
        <f t="shared" si="116"/>
        <v/>
      </c>
      <c r="BE538" s="4" t="str">
        <f t="shared" si="116"/>
        <v/>
      </c>
      <c r="BF538" s="4" t="str">
        <f t="shared" si="116"/>
        <v/>
      </c>
      <c r="BG538" s="4" t="str">
        <f t="shared" si="116"/>
        <v/>
      </c>
      <c r="BH538" s="4" t="str">
        <f t="shared" si="116"/>
        <v/>
      </c>
      <c r="BI538" s="5" t="str">
        <f t="shared" si="116"/>
        <v/>
      </c>
    </row>
    <row r="539" spans="1:61" x14ac:dyDescent="0.25">
      <c r="A539">
        <v>472837</v>
      </c>
      <c r="B539" t="s">
        <v>15</v>
      </c>
      <c r="C539" t="s">
        <v>16</v>
      </c>
      <c r="D539">
        <v>65862</v>
      </c>
      <c r="E539">
        <v>357</v>
      </c>
      <c r="F539">
        <v>90</v>
      </c>
      <c r="G539">
        <v>20123</v>
      </c>
      <c r="H539" t="s">
        <v>0</v>
      </c>
      <c r="I539">
        <v>168331.00200000001</v>
      </c>
      <c r="J539">
        <v>5580</v>
      </c>
      <c r="K539">
        <v>218789.64</v>
      </c>
      <c r="L539">
        <v>217663.01</v>
      </c>
      <c r="M539">
        <v>1126.6300000000001</v>
      </c>
      <c r="N539" s="3" t="str">
        <f t="shared" si="120"/>
        <v/>
      </c>
      <c r="O539" s="4" t="str">
        <f t="shared" si="120"/>
        <v/>
      </c>
      <c r="P539" s="4" t="str">
        <f t="shared" si="120"/>
        <v/>
      </c>
      <c r="Q539" s="4" t="str">
        <f t="shared" si="120"/>
        <v/>
      </c>
      <c r="R539" s="4" t="str">
        <f t="shared" si="120"/>
        <v/>
      </c>
      <c r="S539" s="4" t="str">
        <f t="shared" si="120"/>
        <v/>
      </c>
      <c r="T539" s="4" t="str">
        <f t="shared" si="120"/>
        <v/>
      </c>
      <c r="U539" s="4" t="str">
        <f t="shared" si="120"/>
        <v/>
      </c>
      <c r="V539" s="4" t="str">
        <f t="shared" si="117"/>
        <v/>
      </c>
      <c r="W539" s="4" t="str">
        <f t="shared" si="114"/>
        <v/>
      </c>
      <c r="X539" s="4" t="str">
        <f t="shared" si="114"/>
        <v/>
      </c>
      <c r="Y539" s="4" t="str">
        <f t="shared" si="114"/>
        <v/>
      </c>
      <c r="Z539" s="4" t="str">
        <f t="shared" si="114"/>
        <v/>
      </c>
      <c r="AA539" s="4" t="str">
        <f t="shared" si="114"/>
        <v/>
      </c>
      <c r="AB539" s="4" t="str">
        <f t="shared" si="114"/>
        <v/>
      </c>
      <c r="AC539" s="5" t="str">
        <f t="shared" si="114"/>
        <v/>
      </c>
      <c r="AD539" s="3" t="str">
        <f t="shared" si="121"/>
        <v/>
      </c>
      <c r="AE539" s="4" t="str">
        <f t="shared" si="121"/>
        <v/>
      </c>
      <c r="AF539" s="4" t="str">
        <f t="shared" si="121"/>
        <v/>
      </c>
      <c r="AG539" s="4" t="str">
        <f t="shared" si="121"/>
        <v/>
      </c>
      <c r="AH539" s="4" t="str">
        <f t="shared" si="121"/>
        <v/>
      </c>
      <c r="AI539" s="4" t="str">
        <f t="shared" si="121"/>
        <v/>
      </c>
      <c r="AJ539" s="4">
        <f t="shared" si="121"/>
        <v>1</v>
      </c>
      <c r="AK539" s="4" t="str">
        <f t="shared" si="121"/>
        <v/>
      </c>
      <c r="AL539" s="4" t="str">
        <f t="shared" si="118"/>
        <v/>
      </c>
      <c r="AM539" s="4" t="str">
        <f t="shared" si="115"/>
        <v/>
      </c>
      <c r="AN539" s="4" t="str">
        <f t="shared" si="115"/>
        <v/>
      </c>
      <c r="AO539" s="4" t="str">
        <f t="shared" si="115"/>
        <v/>
      </c>
      <c r="AP539" s="4" t="str">
        <f t="shared" si="115"/>
        <v/>
      </c>
      <c r="AQ539" s="4" t="str">
        <f t="shared" si="115"/>
        <v/>
      </c>
      <c r="AR539" s="4" t="str">
        <f t="shared" si="115"/>
        <v/>
      </c>
      <c r="AS539" s="5" t="str">
        <f t="shared" si="115"/>
        <v/>
      </c>
      <c r="AT539" s="3" t="str">
        <f t="shared" si="122"/>
        <v/>
      </c>
      <c r="AU539" s="4" t="str">
        <f t="shared" si="122"/>
        <v/>
      </c>
      <c r="AV539" s="4" t="str">
        <f t="shared" si="122"/>
        <v/>
      </c>
      <c r="AW539" s="4" t="str">
        <f t="shared" si="122"/>
        <v/>
      </c>
      <c r="AX539" s="4" t="str">
        <f t="shared" si="122"/>
        <v/>
      </c>
      <c r="AY539" s="4" t="str">
        <f t="shared" si="122"/>
        <v/>
      </c>
      <c r="AZ539" s="4" t="str">
        <f t="shared" si="122"/>
        <v/>
      </c>
      <c r="BA539" s="4" t="str">
        <f t="shared" si="122"/>
        <v/>
      </c>
      <c r="BB539" s="4" t="str">
        <f t="shared" si="119"/>
        <v/>
      </c>
      <c r="BC539" s="4" t="str">
        <f t="shared" si="116"/>
        <v/>
      </c>
      <c r="BD539" s="4" t="str">
        <f t="shared" si="116"/>
        <v/>
      </c>
      <c r="BE539" s="4" t="str">
        <f t="shared" si="116"/>
        <v/>
      </c>
      <c r="BF539" s="4" t="str">
        <f t="shared" si="116"/>
        <v/>
      </c>
      <c r="BG539" s="4" t="str">
        <f t="shared" si="116"/>
        <v/>
      </c>
      <c r="BH539" s="4" t="str">
        <f t="shared" si="116"/>
        <v/>
      </c>
      <c r="BI539" s="5" t="str">
        <f t="shared" si="116"/>
        <v/>
      </c>
    </row>
    <row r="540" spans="1:61" x14ac:dyDescent="0.25">
      <c r="A540">
        <v>472838</v>
      </c>
      <c r="B540" t="s">
        <v>15</v>
      </c>
      <c r="C540" t="s">
        <v>16</v>
      </c>
      <c r="D540">
        <v>65862</v>
      </c>
      <c r="E540">
        <v>357</v>
      </c>
      <c r="F540">
        <v>90</v>
      </c>
      <c r="G540">
        <v>20124</v>
      </c>
      <c r="H540" t="s">
        <v>0</v>
      </c>
      <c r="I540">
        <v>164796</v>
      </c>
      <c r="J540">
        <v>5418</v>
      </c>
      <c r="K540">
        <v>204067.46</v>
      </c>
      <c r="L540">
        <v>202998.78</v>
      </c>
      <c r="M540">
        <v>1068.68</v>
      </c>
      <c r="N540" s="3" t="str">
        <f t="shared" si="120"/>
        <v/>
      </c>
      <c r="O540" s="4" t="str">
        <f t="shared" si="120"/>
        <v/>
      </c>
      <c r="P540" s="4" t="str">
        <f t="shared" si="120"/>
        <v/>
      </c>
      <c r="Q540" s="4" t="str">
        <f t="shared" si="120"/>
        <v/>
      </c>
      <c r="R540" s="4" t="str">
        <f t="shared" si="120"/>
        <v/>
      </c>
      <c r="S540" s="4" t="str">
        <f t="shared" si="120"/>
        <v/>
      </c>
      <c r="T540" s="4" t="str">
        <f t="shared" si="120"/>
        <v/>
      </c>
      <c r="U540" s="4" t="str">
        <f t="shared" si="120"/>
        <v/>
      </c>
      <c r="V540" s="4" t="str">
        <f t="shared" si="117"/>
        <v/>
      </c>
      <c r="W540" s="4" t="str">
        <f t="shared" si="114"/>
        <v/>
      </c>
      <c r="X540" s="4" t="str">
        <f t="shared" si="114"/>
        <v/>
      </c>
      <c r="Y540" s="4" t="str">
        <f t="shared" si="114"/>
        <v/>
      </c>
      <c r="Z540" s="4" t="str">
        <f t="shared" si="114"/>
        <v/>
      </c>
      <c r="AA540" s="4" t="str">
        <f t="shared" si="114"/>
        <v/>
      </c>
      <c r="AB540" s="4" t="str">
        <f t="shared" si="114"/>
        <v/>
      </c>
      <c r="AC540" s="5" t="str">
        <f t="shared" si="114"/>
        <v/>
      </c>
      <c r="AD540" s="3" t="str">
        <f t="shared" si="121"/>
        <v/>
      </c>
      <c r="AE540" s="4" t="str">
        <f t="shared" si="121"/>
        <v/>
      </c>
      <c r="AF540" s="4" t="str">
        <f t="shared" si="121"/>
        <v/>
      </c>
      <c r="AG540" s="4" t="str">
        <f t="shared" si="121"/>
        <v/>
      </c>
      <c r="AH540" s="4" t="str">
        <f t="shared" si="121"/>
        <v/>
      </c>
      <c r="AI540" s="4" t="str">
        <f t="shared" si="121"/>
        <v/>
      </c>
      <c r="AJ540" s="4" t="str">
        <f t="shared" si="121"/>
        <v/>
      </c>
      <c r="AK540" s="4">
        <f t="shared" si="121"/>
        <v>1</v>
      </c>
      <c r="AL540" s="4" t="str">
        <f t="shared" si="118"/>
        <v/>
      </c>
      <c r="AM540" s="4" t="str">
        <f t="shared" si="115"/>
        <v/>
      </c>
      <c r="AN540" s="4" t="str">
        <f t="shared" si="115"/>
        <v/>
      </c>
      <c r="AO540" s="4" t="str">
        <f t="shared" si="115"/>
        <v/>
      </c>
      <c r="AP540" s="4" t="str">
        <f t="shared" si="115"/>
        <v/>
      </c>
      <c r="AQ540" s="4" t="str">
        <f t="shared" si="115"/>
        <v/>
      </c>
      <c r="AR540" s="4" t="str">
        <f t="shared" si="115"/>
        <v/>
      </c>
      <c r="AS540" s="5" t="str">
        <f t="shared" si="115"/>
        <v/>
      </c>
      <c r="AT540" s="3" t="str">
        <f t="shared" si="122"/>
        <v/>
      </c>
      <c r="AU540" s="4" t="str">
        <f t="shared" si="122"/>
        <v/>
      </c>
      <c r="AV540" s="4" t="str">
        <f t="shared" si="122"/>
        <v/>
      </c>
      <c r="AW540" s="4" t="str">
        <f t="shared" si="122"/>
        <v/>
      </c>
      <c r="AX540" s="4" t="str">
        <f t="shared" si="122"/>
        <v/>
      </c>
      <c r="AY540" s="4" t="str">
        <f t="shared" si="122"/>
        <v/>
      </c>
      <c r="AZ540" s="4" t="str">
        <f t="shared" si="122"/>
        <v/>
      </c>
      <c r="BA540" s="4" t="str">
        <f t="shared" si="122"/>
        <v/>
      </c>
      <c r="BB540" s="4" t="str">
        <f t="shared" si="119"/>
        <v/>
      </c>
      <c r="BC540" s="4" t="str">
        <f t="shared" si="116"/>
        <v/>
      </c>
      <c r="BD540" s="4" t="str">
        <f t="shared" si="116"/>
        <v/>
      </c>
      <c r="BE540" s="4" t="str">
        <f t="shared" si="116"/>
        <v/>
      </c>
      <c r="BF540" s="4" t="str">
        <f t="shared" si="116"/>
        <v/>
      </c>
      <c r="BG540" s="4" t="str">
        <f t="shared" si="116"/>
        <v/>
      </c>
      <c r="BH540" s="4" t="str">
        <f t="shared" si="116"/>
        <v/>
      </c>
      <c r="BI540" s="5" t="str">
        <f t="shared" si="116"/>
        <v/>
      </c>
    </row>
    <row r="541" spans="1:61" x14ac:dyDescent="0.25">
      <c r="A541">
        <v>598245</v>
      </c>
      <c r="B541" t="s">
        <v>14</v>
      </c>
      <c r="C541" t="s">
        <v>16</v>
      </c>
      <c r="D541">
        <v>65862</v>
      </c>
      <c r="E541">
        <v>357</v>
      </c>
      <c r="F541">
        <v>5</v>
      </c>
      <c r="G541">
        <v>20131</v>
      </c>
      <c r="H541" t="s">
        <v>0</v>
      </c>
      <c r="I541">
        <v>287672</v>
      </c>
      <c r="J541">
        <v>9366</v>
      </c>
      <c r="K541">
        <v>164085.26</v>
      </c>
      <c r="L541">
        <v>156035.34</v>
      </c>
      <c r="M541">
        <v>8049.92</v>
      </c>
      <c r="N541" s="3" t="str">
        <f t="shared" si="120"/>
        <v/>
      </c>
      <c r="O541" s="4" t="str">
        <f t="shared" si="120"/>
        <v/>
      </c>
      <c r="P541" s="4" t="str">
        <f t="shared" si="120"/>
        <v/>
      </c>
      <c r="Q541" s="4" t="str">
        <f t="shared" si="120"/>
        <v/>
      </c>
      <c r="R541" s="4" t="str">
        <f t="shared" si="120"/>
        <v/>
      </c>
      <c r="S541" s="4" t="str">
        <f t="shared" si="120"/>
        <v/>
      </c>
      <c r="T541" s="4" t="str">
        <f t="shared" si="120"/>
        <v/>
      </c>
      <c r="U541" s="4" t="str">
        <f t="shared" si="120"/>
        <v/>
      </c>
      <c r="V541" s="4" t="str">
        <f t="shared" si="117"/>
        <v/>
      </c>
      <c r="W541" s="4" t="str">
        <f t="shared" si="114"/>
        <v/>
      </c>
      <c r="X541" s="4" t="str">
        <f t="shared" si="114"/>
        <v/>
      </c>
      <c r="Y541" s="4" t="str">
        <f t="shared" si="114"/>
        <v/>
      </c>
      <c r="Z541" s="4" t="str">
        <f t="shared" si="114"/>
        <v/>
      </c>
      <c r="AA541" s="4" t="str">
        <f t="shared" si="114"/>
        <v/>
      </c>
      <c r="AB541" s="4" t="str">
        <f t="shared" si="114"/>
        <v/>
      </c>
      <c r="AC541" s="5" t="str">
        <f t="shared" si="114"/>
        <v/>
      </c>
      <c r="AD541" s="3" t="str">
        <f t="shared" si="121"/>
        <v/>
      </c>
      <c r="AE541" s="4" t="str">
        <f t="shared" si="121"/>
        <v/>
      </c>
      <c r="AF541" s="4" t="str">
        <f t="shared" si="121"/>
        <v/>
      </c>
      <c r="AG541" s="4" t="str">
        <f t="shared" si="121"/>
        <v/>
      </c>
      <c r="AH541" s="4" t="str">
        <f t="shared" si="121"/>
        <v/>
      </c>
      <c r="AI541" s="4" t="str">
        <f t="shared" si="121"/>
        <v/>
      </c>
      <c r="AJ541" s="4" t="str">
        <f t="shared" si="121"/>
        <v/>
      </c>
      <c r="AK541" s="4" t="str">
        <f t="shared" si="121"/>
        <v/>
      </c>
      <c r="AL541" s="4" t="str">
        <f t="shared" si="118"/>
        <v/>
      </c>
      <c r="AM541" s="4" t="str">
        <f t="shared" si="115"/>
        <v/>
      </c>
      <c r="AN541" s="4" t="str">
        <f t="shared" si="115"/>
        <v/>
      </c>
      <c r="AO541" s="4" t="str">
        <f t="shared" si="115"/>
        <v/>
      </c>
      <c r="AP541" s="4" t="str">
        <f t="shared" si="115"/>
        <v/>
      </c>
      <c r="AQ541" s="4" t="str">
        <f t="shared" si="115"/>
        <v/>
      </c>
      <c r="AR541" s="4" t="str">
        <f t="shared" si="115"/>
        <v/>
      </c>
      <c r="AS541" s="5" t="str">
        <f t="shared" si="115"/>
        <v/>
      </c>
      <c r="AT541" s="3">
        <f t="shared" si="122"/>
        <v>1</v>
      </c>
      <c r="AU541" s="4" t="str">
        <f t="shared" si="122"/>
        <v/>
      </c>
      <c r="AV541" s="4" t="str">
        <f t="shared" si="122"/>
        <v/>
      </c>
      <c r="AW541" s="4" t="str">
        <f t="shared" si="122"/>
        <v/>
      </c>
      <c r="AX541" s="4" t="str">
        <f t="shared" si="122"/>
        <v/>
      </c>
      <c r="AY541" s="4" t="str">
        <f t="shared" si="122"/>
        <v/>
      </c>
      <c r="AZ541" s="4" t="str">
        <f t="shared" si="122"/>
        <v/>
      </c>
      <c r="BA541" s="4" t="str">
        <f t="shared" si="122"/>
        <v/>
      </c>
      <c r="BB541" s="4" t="str">
        <f t="shared" si="119"/>
        <v/>
      </c>
      <c r="BC541" s="4" t="str">
        <f t="shared" si="116"/>
        <v/>
      </c>
      <c r="BD541" s="4" t="str">
        <f t="shared" si="116"/>
        <v/>
      </c>
      <c r="BE541" s="4" t="str">
        <f t="shared" si="116"/>
        <v/>
      </c>
      <c r="BF541" s="4" t="str">
        <f t="shared" si="116"/>
        <v/>
      </c>
      <c r="BG541" s="4" t="str">
        <f t="shared" si="116"/>
        <v/>
      </c>
      <c r="BH541" s="4" t="str">
        <f t="shared" si="116"/>
        <v/>
      </c>
      <c r="BI541" s="5" t="str">
        <f t="shared" si="116"/>
        <v/>
      </c>
    </row>
    <row r="542" spans="1:61" x14ac:dyDescent="0.25">
      <c r="A542">
        <v>598246</v>
      </c>
      <c r="B542" t="s">
        <v>14</v>
      </c>
      <c r="C542" t="s">
        <v>16</v>
      </c>
      <c r="D542">
        <v>65862</v>
      </c>
      <c r="E542">
        <v>357</v>
      </c>
      <c r="F542">
        <v>5</v>
      </c>
      <c r="G542">
        <v>20132</v>
      </c>
      <c r="H542" t="s">
        <v>0</v>
      </c>
      <c r="I542">
        <v>301951.48100000003</v>
      </c>
      <c r="J542">
        <v>9840</v>
      </c>
      <c r="K542">
        <v>158377.38</v>
      </c>
      <c r="L542">
        <v>154017.63</v>
      </c>
      <c r="M542">
        <v>4359.75</v>
      </c>
      <c r="N542" s="3" t="str">
        <f t="shared" si="120"/>
        <v/>
      </c>
      <c r="O542" s="4" t="str">
        <f t="shared" si="120"/>
        <v/>
      </c>
      <c r="P542" s="4" t="str">
        <f t="shared" si="120"/>
        <v/>
      </c>
      <c r="Q542" s="4" t="str">
        <f t="shared" si="120"/>
        <v/>
      </c>
      <c r="R542" s="4" t="str">
        <f t="shared" si="120"/>
        <v/>
      </c>
      <c r="S542" s="4" t="str">
        <f t="shared" si="120"/>
        <v/>
      </c>
      <c r="T542" s="4" t="str">
        <f t="shared" si="120"/>
        <v/>
      </c>
      <c r="U542" s="4" t="str">
        <f t="shared" si="120"/>
        <v/>
      </c>
      <c r="V542" s="4" t="str">
        <f t="shared" si="117"/>
        <v/>
      </c>
      <c r="W542" s="4" t="str">
        <f t="shared" si="114"/>
        <v/>
      </c>
      <c r="X542" s="4" t="str">
        <f t="shared" si="114"/>
        <v/>
      </c>
      <c r="Y542" s="4" t="str">
        <f t="shared" si="114"/>
        <v/>
      </c>
      <c r="Z542" s="4" t="str">
        <f t="shared" si="114"/>
        <v/>
      </c>
      <c r="AA542" s="4" t="str">
        <f t="shared" si="114"/>
        <v/>
      </c>
      <c r="AB542" s="4" t="str">
        <f t="shared" si="114"/>
        <v/>
      </c>
      <c r="AC542" s="5" t="str">
        <f t="shared" si="114"/>
        <v/>
      </c>
      <c r="AD542" s="3" t="str">
        <f t="shared" si="121"/>
        <v/>
      </c>
      <c r="AE542" s="4" t="str">
        <f t="shared" si="121"/>
        <v/>
      </c>
      <c r="AF542" s="4" t="str">
        <f t="shared" si="121"/>
        <v/>
      </c>
      <c r="AG542" s="4" t="str">
        <f t="shared" si="121"/>
        <v/>
      </c>
      <c r="AH542" s="4" t="str">
        <f t="shared" si="121"/>
        <v/>
      </c>
      <c r="AI542" s="4" t="str">
        <f t="shared" si="121"/>
        <v/>
      </c>
      <c r="AJ542" s="4" t="str">
        <f t="shared" si="121"/>
        <v/>
      </c>
      <c r="AK542" s="4" t="str">
        <f t="shared" si="121"/>
        <v/>
      </c>
      <c r="AL542" s="4" t="str">
        <f t="shared" si="118"/>
        <v/>
      </c>
      <c r="AM542" s="4" t="str">
        <f t="shared" si="115"/>
        <v/>
      </c>
      <c r="AN542" s="4" t="str">
        <f t="shared" si="115"/>
        <v/>
      </c>
      <c r="AO542" s="4" t="str">
        <f t="shared" si="115"/>
        <v/>
      </c>
      <c r="AP542" s="4" t="str">
        <f t="shared" si="115"/>
        <v/>
      </c>
      <c r="AQ542" s="4" t="str">
        <f t="shared" si="115"/>
        <v/>
      </c>
      <c r="AR542" s="4" t="str">
        <f t="shared" si="115"/>
        <v/>
      </c>
      <c r="AS542" s="5" t="str">
        <f t="shared" si="115"/>
        <v/>
      </c>
      <c r="AT542" s="3" t="str">
        <f t="shared" si="122"/>
        <v/>
      </c>
      <c r="AU542" s="4">
        <f t="shared" si="122"/>
        <v>1</v>
      </c>
      <c r="AV542" s="4" t="str">
        <f t="shared" si="122"/>
        <v/>
      </c>
      <c r="AW542" s="4" t="str">
        <f t="shared" si="122"/>
        <v/>
      </c>
      <c r="AX542" s="4" t="str">
        <f t="shared" si="122"/>
        <v/>
      </c>
      <c r="AY542" s="4" t="str">
        <f t="shared" si="122"/>
        <v/>
      </c>
      <c r="AZ542" s="4" t="str">
        <f t="shared" si="122"/>
        <v/>
      </c>
      <c r="BA542" s="4" t="str">
        <f t="shared" si="122"/>
        <v/>
      </c>
      <c r="BB542" s="4" t="str">
        <f t="shared" si="119"/>
        <v/>
      </c>
      <c r="BC542" s="4" t="str">
        <f t="shared" si="116"/>
        <v/>
      </c>
      <c r="BD542" s="4" t="str">
        <f t="shared" si="116"/>
        <v/>
      </c>
      <c r="BE542" s="4" t="str">
        <f t="shared" si="116"/>
        <v/>
      </c>
      <c r="BF542" s="4" t="str">
        <f t="shared" si="116"/>
        <v/>
      </c>
      <c r="BG542" s="4" t="str">
        <f t="shared" si="116"/>
        <v/>
      </c>
      <c r="BH542" s="4" t="str">
        <f t="shared" si="116"/>
        <v/>
      </c>
      <c r="BI542" s="5" t="str">
        <f t="shared" si="116"/>
        <v/>
      </c>
    </row>
    <row r="543" spans="1:61" x14ac:dyDescent="0.25">
      <c r="A543">
        <v>598247</v>
      </c>
      <c r="B543" t="s">
        <v>14</v>
      </c>
      <c r="C543" t="s">
        <v>16</v>
      </c>
      <c r="D543">
        <v>65862</v>
      </c>
      <c r="E543">
        <v>357</v>
      </c>
      <c r="F543">
        <v>5</v>
      </c>
      <c r="G543">
        <v>20133</v>
      </c>
      <c r="H543" t="s">
        <v>0</v>
      </c>
      <c r="I543">
        <v>257411</v>
      </c>
      <c r="J543">
        <v>8256</v>
      </c>
      <c r="K543">
        <v>128130.04</v>
      </c>
      <c r="L543">
        <v>125146.07</v>
      </c>
      <c r="M543">
        <v>2983.97</v>
      </c>
      <c r="N543" s="3" t="str">
        <f t="shared" si="120"/>
        <v/>
      </c>
      <c r="O543" s="4" t="str">
        <f t="shared" si="120"/>
        <v/>
      </c>
      <c r="P543" s="4" t="str">
        <f t="shared" si="120"/>
        <v/>
      </c>
      <c r="Q543" s="4" t="str">
        <f t="shared" si="120"/>
        <v/>
      </c>
      <c r="R543" s="4" t="str">
        <f t="shared" si="120"/>
        <v/>
      </c>
      <c r="S543" s="4" t="str">
        <f t="shared" si="120"/>
        <v/>
      </c>
      <c r="T543" s="4" t="str">
        <f t="shared" si="120"/>
        <v/>
      </c>
      <c r="U543" s="4" t="str">
        <f t="shared" si="120"/>
        <v/>
      </c>
      <c r="V543" s="4" t="str">
        <f t="shared" si="117"/>
        <v/>
      </c>
      <c r="W543" s="4" t="str">
        <f t="shared" si="114"/>
        <v/>
      </c>
      <c r="X543" s="4" t="str">
        <f t="shared" si="114"/>
        <v/>
      </c>
      <c r="Y543" s="4" t="str">
        <f t="shared" si="114"/>
        <v/>
      </c>
      <c r="Z543" s="4" t="str">
        <f t="shared" si="114"/>
        <v/>
      </c>
      <c r="AA543" s="4" t="str">
        <f t="shared" si="114"/>
        <v/>
      </c>
      <c r="AB543" s="4" t="str">
        <f t="shared" si="114"/>
        <v/>
      </c>
      <c r="AC543" s="5" t="str">
        <f t="shared" si="114"/>
        <v/>
      </c>
      <c r="AD543" s="3" t="str">
        <f t="shared" si="121"/>
        <v/>
      </c>
      <c r="AE543" s="4" t="str">
        <f t="shared" si="121"/>
        <v/>
      </c>
      <c r="AF543" s="4" t="str">
        <f t="shared" si="121"/>
        <v/>
      </c>
      <c r="AG543" s="4" t="str">
        <f t="shared" si="121"/>
        <v/>
      </c>
      <c r="AH543" s="4" t="str">
        <f t="shared" si="121"/>
        <v/>
      </c>
      <c r="AI543" s="4" t="str">
        <f t="shared" si="121"/>
        <v/>
      </c>
      <c r="AJ543" s="4" t="str">
        <f t="shared" si="121"/>
        <v/>
      </c>
      <c r="AK543" s="4" t="str">
        <f t="shared" si="121"/>
        <v/>
      </c>
      <c r="AL543" s="4" t="str">
        <f t="shared" si="118"/>
        <v/>
      </c>
      <c r="AM543" s="4" t="str">
        <f t="shared" si="115"/>
        <v/>
      </c>
      <c r="AN543" s="4" t="str">
        <f t="shared" si="115"/>
        <v/>
      </c>
      <c r="AO543" s="4" t="str">
        <f t="shared" si="115"/>
        <v/>
      </c>
      <c r="AP543" s="4" t="str">
        <f t="shared" si="115"/>
        <v/>
      </c>
      <c r="AQ543" s="4" t="str">
        <f t="shared" si="115"/>
        <v/>
      </c>
      <c r="AR543" s="4" t="str">
        <f t="shared" si="115"/>
        <v/>
      </c>
      <c r="AS543" s="5" t="str">
        <f t="shared" si="115"/>
        <v/>
      </c>
      <c r="AT543" s="3" t="str">
        <f t="shared" si="122"/>
        <v/>
      </c>
      <c r="AU543" s="4" t="str">
        <f t="shared" si="122"/>
        <v/>
      </c>
      <c r="AV543" s="4">
        <f t="shared" si="122"/>
        <v>1</v>
      </c>
      <c r="AW543" s="4" t="str">
        <f t="shared" si="122"/>
        <v/>
      </c>
      <c r="AX543" s="4" t="str">
        <f t="shared" si="122"/>
        <v/>
      </c>
      <c r="AY543" s="4" t="str">
        <f t="shared" si="122"/>
        <v/>
      </c>
      <c r="AZ543" s="4" t="str">
        <f t="shared" si="122"/>
        <v/>
      </c>
      <c r="BA543" s="4" t="str">
        <f t="shared" si="122"/>
        <v/>
      </c>
      <c r="BB543" s="4" t="str">
        <f t="shared" si="119"/>
        <v/>
      </c>
      <c r="BC543" s="4" t="str">
        <f t="shared" si="116"/>
        <v/>
      </c>
      <c r="BD543" s="4" t="str">
        <f t="shared" si="116"/>
        <v/>
      </c>
      <c r="BE543" s="4" t="str">
        <f t="shared" si="116"/>
        <v/>
      </c>
      <c r="BF543" s="4" t="str">
        <f t="shared" si="116"/>
        <v/>
      </c>
      <c r="BG543" s="4" t="str">
        <f t="shared" si="116"/>
        <v/>
      </c>
      <c r="BH543" s="4" t="str">
        <f t="shared" si="116"/>
        <v/>
      </c>
      <c r="BI543" s="5" t="str">
        <f t="shared" si="116"/>
        <v/>
      </c>
    </row>
    <row r="544" spans="1:61" x14ac:dyDescent="0.25">
      <c r="A544">
        <v>598248</v>
      </c>
      <c r="B544" t="s">
        <v>14</v>
      </c>
      <c r="C544" t="s">
        <v>16</v>
      </c>
      <c r="D544">
        <v>65862</v>
      </c>
      <c r="E544">
        <v>357</v>
      </c>
      <c r="F544">
        <v>5</v>
      </c>
      <c r="G544">
        <v>20134</v>
      </c>
      <c r="H544" t="s">
        <v>0</v>
      </c>
      <c r="I544">
        <v>283386</v>
      </c>
      <c r="J544">
        <v>8901</v>
      </c>
      <c r="K544">
        <v>132591.20000000001</v>
      </c>
      <c r="L544">
        <v>128393.88</v>
      </c>
      <c r="M544">
        <v>4197.32</v>
      </c>
      <c r="N544" s="3" t="str">
        <f t="shared" si="120"/>
        <v/>
      </c>
      <c r="O544" s="4" t="str">
        <f t="shared" si="120"/>
        <v/>
      </c>
      <c r="P544" s="4" t="str">
        <f t="shared" si="120"/>
        <v/>
      </c>
      <c r="Q544" s="4" t="str">
        <f t="shared" si="120"/>
        <v/>
      </c>
      <c r="R544" s="4" t="str">
        <f t="shared" si="120"/>
        <v/>
      </c>
      <c r="S544" s="4" t="str">
        <f t="shared" si="120"/>
        <v/>
      </c>
      <c r="T544" s="4" t="str">
        <f t="shared" si="120"/>
        <v/>
      </c>
      <c r="U544" s="4" t="str">
        <f t="shared" si="120"/>
        <v/>
      </c>
      <c r="V544" s="4" t="str">
        <f t="shared" si="117"/>
        <v/>
      </c>
      <c r="W544" s="4" t="str">
        <f t="shared" si="114"/>
        <v/>
      </c>
      <c r="X544" s="4" t="str">
        <f t="shared" si="114"/>
        <v/>
      </c>
      <c r="Y544" s="4" t="str">
        <f t="shared" si="114"/>
        <v/>
      </c>
      <c r="Z544" s="4" t="str">
        <f t="shared" si="114"/>
        <v/>
      </c>
      <c r="AA544" s="4" t="str">
        <f t="shared" si="114"/>
        <v/>
      </c>
      <c r="AB544" s="4" t="str">
        <f t="shared" si="114"/>
        <v/>
      </c>
      <c r="AC544" s="5" t="str">
        <f t="shared" si="114"/>
        <v/>
      </c>
      <c r="AD544" s="3" t="str">
        <f t="shared" si="121"/>
        <v/>
      </c>
      <c r="AE544" s="4" t="str">
        <f t="shared" si="121"/>
        <v/>
      </c>
      <c r="AF544" s="4" t="str">
        <f t="shared" si="121"/>
        <v/>
      </c>
      <c r="AG544" s="4" t="str">
        <f t="shared" si="121"/>
        <v/>
      </c>
      <c r="AH544" s="4" t="str">
        <f t="shared" si="121"/>
        <v/>
      </c>
      <c r="AI544" s="4" t="str">
        <f t="shared" si="121"/>
        <v/>
      </c>
      <c r="AJ544" s="4" t="str">
        <f t="shared" si="121"/>
        <v/>
      </c>
      <c r="AK544" s="4" t="str">
        <f t="shared" si="121"/>
        <v/>
      </c>
      <c r="AL544" s="4" t="str">
        <f t="shared" si="118"/>
        <v/>
      </c>
      <c r="AM544" s="4" t="str">
        <f t="shared" si="115"/>
        <v/>
      </c>
      <c r="AN544" s="4" t="str">
        <f t="shared" si="115"/>
        <v/>
      </c>
      <c r="AO544" s="4" t="str">
        <f t="shared" si="115"/>
        <v/>
      </c>
      <c r="AP544" s="4" t="str">
        <f t="shared" si="115"/>
        <v/>
      </c>
      <c r="AQ544" s="4" t="str">
        <f t="shared" si="115"/>
        <v/>
      </c>
      <c r="AR544" s="4" t="str">
        <f t="shared" si="115"/>
        <v/>
      </c>
      <c r="AS544" s="5" t="str">
        <f t="shared" si="115"/>
        <v/>
      </c>
      <c r="AT544" s="3" t="str">
        <f t="shared" si="122"/>
        <v/>
      </c>
      <c r="AU544" s="4" t="str">
        <f t="shared" si="122"/>
        <v/>
      </c>
      <c r="AV544" s="4" t="str">
        <f t="shared" si="122"/>
        <v/>
      </c>
      <c r="AW544" s="4">
        <f t="shared" si="122"/>
        <v>1</v>
      </c>
      <c r="AX544" s="4" t="str">
        <f t="shared" si="122"/>
        <v/>
      </c>
      <c r="AY544" s="4" t="str">
        <f t="shared" si="122"/>
        <v/>
      </c>
      <c r="AZ544" s="4" t="str">
        <f t="shared" si="122"/>
        <v/>
      </c>
      <c r="BA544" s="4" t="str">
        <f t="shared" si="122"/>
        <v/>
      </c>
      <c r="BB544" s="4" t="str">
        <f t="shared" si="119"/>
        <v/>
      </c>
      <c r="BC544" s="4" t="str">
        <f t="shared" si="116"/>
        <v/>
      </c>
      <c r="BD544" s="4" t="str">
        <f t="shared" si="116"/>
        <v/>
      </c>
      <c r="BE544" s="4" t="str">
        <f t="shared" si="116"/>
        <v/>
      </c>
      <c r="BF544" s="4" t="str">
        <f t="shared" si="116"/>
        <v/>
      </c>
      <c r="BG544" s="4" t="str">
        <f t="shared" si="116"/>
        <v/>
      </c>
      <c r="BH544" s="4" t="str">
        <f t="shared" si="116"/>
        <v/>
      </c>
      <c r="BI544" s="5" t="str">
        <f t="shared" si="116"/>
        <v/>
      </c>
    </row>
    <row r="545" spans="1:61" x14ac:dyDescent="0.25">
      <c r="A545">
        <v>598249</v>
      </c>
      <c r="B545" t="s">
        <v>14</v>
      </c>
      <c r="C545" t="s">
        <v>16</v>
      </c>
      <c r="D545">
        <v>65862</v>
      </c>
      <c r="E545">
        <v>357</v>
      </c>
      <c r="F545">
        <v>30</v>
      </c>
      <c r="G545">
        <v>20131</v>
      </c>
      <c r="H545" t="s">
        <v>0</v>
      </c>
      <c r="I545">
        <v>95703</v>
      </c>
      <c r="J545">
        <v>3101</v>
      </c>
      <c r="K545">
        <v>45210.59</v>
      </c>
      <c r="L545">
        <v>43282.27</v>
      </c>
      <c r="M545">
        <v>1928.32</v>
      </c>
      <c r="N545" s="3" t="str">
        <f t="shared" si="120"/>
        <v/>
      </c>
      <c r="O545" s="4" t="str">
        <f t="shared" si="120"/>
        <v/>
      </c>
      <c r="P545" s="4" t="str">
        <f t="shared" si="120"/>
        <v/>
      </c>
      <c r="Q545" s="4" t="str">
        <f t="shared" si="120"/>
        <v/>
      </c>
      <c r="R545" s="4" t="str">
        <f t="shared" si="120"/>
        <v/>
      </c>
      <c r="S545" s="4" t="str">
        <f t="shared" si="120"/>
        <v/>
      </c>
      <c r="T545" s="4" t="str">
        <f t="shared" si="120"/>
        <v/>
      </c>
      <c r="U545" s="4" t="str">
        <f t="shared" si="120"/>
        <v/>
      </c>
      <c r="V545" s="4" t="str">
        <f t="shared" si="117"/>
        <v/>
      </c>
      <c r="W545" s="4" t="str">
        <f t="shared" si="114"/>
        <v/>
      </c>
      <c r="X545" s="4" t="str">
        <f t="shared" si="114"/>
        <v/>
      </c>
      <c r="Y545" s="4" t="str">
        <f t="shared" si="114"/>
        <v/>
      </c>
      <c r="Z545" s="4" t="str">
        <f t="shared" si="114"/>
        <v/>
      </c>
      <c r="AA545" s="4" t="str">
        <f t="shared" si="114"/>
        <v/>
      </c>
      <c r="AB545" s="4" t="str">
        <f t="shared" si="114"/>
        <v/>
      </c>
      <c r="AC545" s="5" t="str">
        <f t="shared" si="114"/>
        <v/>
      </c>
      <c r="AD545" s="3" t="str">
        <f t="shared" si="121"/>
        <v/>
      </c>
      <c r="AE545" s="4" t="str">
        <f t="shared" si="121"/>
        <v/>
      </c>
      <c r="AF545" s="4" t="str">
        <f t="shared" si="121"/>
        <v/>
      </c>
      <c r="AG545" s="4" t="str">
        <f t="shared" si="121"/>
        <v/>
      </c>
      <c r="AH545" s="4" t="str">
        <f t="shared" si="121"/>
        <v/>
      </c>
      <c r="AI545" s="4" t="str">
        <f t="shared" si="121"/>
        <v/>
      </c>
      <c r="AJ545" s="4" t="str">
        <f t="shared" si="121"/>
        <v/>
      </c>
      <c r="AK545" s="4" t="str">
        <f t="shared" si="121"/>
        <v/>
      </c>
      <c r="AL545" s="4" t="str">
        <f t="shared" si="118"/>
        <v/>
      </c>
      <c r="AM545" s="4" t="str">
        <f t="shared" si="115"/>
        <v/>
      </c>
      <c r="AN545" s="4" t="str">
        <f t="shared" si="115"/>
        <v/>
      </c>
      <c r="AO545" s="4" t="str">
        <f t="shared" si="115"/>
        <v/>
      </c>
      <c r="AP545" s="4" t="str">
        <f t="shared" si="115"/>
        <v/>
      </c>
      <c r="AQ545" s="4" t="str">
        <f t="shared" si="115"/>
        <v/>
      </c>
      <c r="AR545" s="4" t="str">
        <f t="shared" si="115"/>
        <v/>
      </c>
      <c r="AS545" s="5" t="str">
        <f t="shared" si="115"/>
        <v/>
      </c>
      <c r="AT545" s="3">
        <f t="shared" si="122"/>
        <v>1</v>
      </c>
      <c r="AU545" s="4" t="str">
        <f t="shared" si="122"/>
        <v/>
      </c>
      <c r="AV545" s="4" t="str">
        <f t="shared" si="122"/>
        <v/>
      </c>
      <c r="AW545" s="4" t="str">
        <f t="shared" si="122"/>
        <v/>
      </c>
      <c r="AX545" s="4" t="str">
        <f t="shared" si="122"/>
        <v/>
      </c>
      <c r="AY545" s="4" t="str">
        <f t="shared" si="122"/>
        <v/>
      </c>
      <c r="AZ545" s="4" t="str">
        <f t="shared" si="122"/>
        <v/>
      </c>
      <c r="BA545" s="4" t="str">
        <f t="shared" si="122"/>
        <v/>
      </c>
      <c r="BB545" s="4" t="str">
        <f t="shared" si="119"/>
        <v/>
      </c>
      <c r="BC545" s="4" t="str">
        <f t="shared" si="116"/>
        <v/>
      </c>
      <c r="BD545" s="4" t="str">
        <f t="shared" si="116"/>
        <v/>
      </c>
      <c r="BE545" s="4" t="str">
        <f t="shared" si="116"/>
        <v/>
      </c>
      <c r="BF545" s="4" t="str">
        <f t="shared" si="116"/>
        <v/>
      </c>
      <c r="BG545" s="4" t="str">
        <f t="shared" si="116"/>
        <v/>
      </c>
      <c r="BH545" s="4" t="str">
        <f t="shared" si="116"/>
        <v/>
      </c>
      <c r="BI545" s="5" t="str">
        <f t="shared" si="116"/>
        <v/>
      </c>
    </row>
    <row r="546" spans="1:61" x14ac:dyDescent="0.25">
      <c r="A546">
        <v>598250</v>
      </c>
      <c r="B546" t="s">
        <v>14</v>
      </c>
      <c r="C546" t="s">
        <v>16</v>
      </c>
      <c r="D546">
        <v>65862</v>
      </c>
      <c r="E546">
        <v>357</v>
      </c>
      <c r="F546">
        <v>30</v>
      </c>
      <c r="G546">
        <v>20132</v>
      </c>
      <c r="H546" t="s">
        <v>0</v>
      </c>
      <c r="I546">
        <v>292899</v>
      </c>
      <c r="J546">
        <v>8832</v>
      </c>
      <c r="K546">
        <v>165325.22</v>
      </c>
      <c r="L546">
        <v>160943.21</v>
      </c>
      <c r="M546">
        <v>4382.01</v>
      </c>
      <c r="N546" s="3" t="str">
        <f t="shared" si="120"/>
        <v/>
      </c>
      <c r="O546" s="4" t="str">
        <f t="shared" si="120"/>
        <v/>
      </c>
      <c r="P546" s="4" t="str">
        <f t="shared" si="120"/>
        <v/>
      </c>
      <c r="Q546" s="4" t="str">
        <f t="shared" si="120"/>
        <v/>
      </c>
      <c r="R546" s="4" t="str">
        <f t="shared" si="120"/>
        <v/>
      </c>
      <c r="S546" s="4" t="str">
        <f t="shared" si="120"/>
        <v/>
      </c>
      <c r="T546" s="4" t="str">
        <f t="shared" si="120"/>
        <v/>
      </c>
      <c r="U546" s="4" t="str">
        <f t="shared" si="120"/>
        <v/>
      </c>
      <c r="V546" s="4" t="str">
        <f t="shared" si="117"/>
        <v/>
      </c>
      <c r="W546" s="4" t="str">
        <f t="shared" si="114"/>
        <v/>
      </c>
      <c r="X546" s="4" t="str">
        <f t="shared" si="114"/>
        <v/>
      </c>
      <c r="Y546" s="4" t="str">
        <f t="shared" si="114"/>
        <v/>
      </c>
      <c r="Z546" s="4" t="str">
        <f t="shared" si="114"/>
        <v/>
      </c>
      <c r="AA546" s="4" t="str">
        <f t="shared" si="114"/>
        <v/>
      </c>
      <c r="AB546" s="4" t="str">
        <f t="shared" si="114"/>
        <v/>
      </c>
      <c r="AC546" s="5" t="str">
        <f t="shared" si="114"/>
        <v/>
      </c>
      <c r="AD546" s="3" t="str">
        <f t="shared" si="121"/>
        <v/>
      </c>
      <c r="AE546" s="4" t="str">
        <f t="shared" si="121"/>
        <v/>
      </c>
      <c r="AF546" s="4" t="str">
        <f t="shared" si="121"/>
        <v/>
      </c>
      <c r="AG546" s="4" t="str">
        <f t="shared" si="121"/>
        <v/>
      </c>
      <c r="AH546" s="4" t="str">
        <f t="shared" si="121"/>
        <v/>
      </c>
      <c r="AI546" s="4" t="str">
        <f t="shared" si="121"/>
        <v/>
      </c>
      <c r="AJ546" s="4" t="str">
        <f t="shared" si="121"/>
        <v/>
      </c>
      <c r="AK546" s="4" t="str">
        <f t="shared" si="121"/>
        <v/>
      </c>
      <c r="AL546" s="4" t="str">
        <f t="shared" si="118"/>
        <v/>
      </c>
      <c r="AM546" s="4" t="str">
        <f t="shared" si="115"/>
        <v/>
      </c>
      <c r="AN546" s="4" t="str">
        <f t="shared" si="115"/>
        <v/>
      </c>
      <c r="AO546" s="4" t="str">
        <f t="shared" si="115"/>
        <v/>
      </c>
      <c r="AP546" s="4" t="str">
        <f t="shared" si="115"/>
        <v/>
      </c>
      <c r="AQ546" s="4" t="str">
        <f t="shared" si="115"/>
        <v/>
      </c>
      <c r="AR546" s="4" t="str">
        <f t="shared" si="115"/>
        <v/>
      </c>
      <c r="AS546" s="5" t="str">
        <f t="shared" si="115"/>
        <v/>
      </c>
      <c r="AT546" s="3" t="str">
        <f t="shared" si="122"/>
        <v/>
      </c>
      <c r="AU546" s="4">
        <f t="shared" si="122"/>
        <v>1</v>
      </c>
      <c r="AV546" s="4" t="str">
        <f t="shared" si="122"/>
        <v/>
      </c>
      <c r="AW546" s="4" t="str">
        <f t="shared" si="122"/>
        <v/>
      </c>
      <c r="AX546" s="4" t="str">
        <f t="shared" si="122"/>
        <v/>
      </c>
      <c r="AY546" s="4" t="str">
        <f t="shared" si="122"/>
        <v/>
      </c>
      <c r="AZ546" s="4" t="str">
        <f t="shared" si="122"/>
        <v/>
      </c>
      <c r="BA546" s="4" t="str">
        <f t="shared" si="122"/>
        <v/>
      </c>
      <c r="BB546" s="4" t="str">
        <f t="shared" si="119"/>
        <v/>
      </c>
      <c r="BC546" s="4" t="str">
        <f t="shared" si="116"/>
        <v/>
      </c>
      <c r="BD546" s="4" t="str">
        <f t="shared" si="116"/>
        <v/>
      </c>
      <c r="BE546" s="4" t="str">
        <f t="shared" si="116"/>
        <v/>
      </c>
      <c r="BF546" s="4" t="str">
        <f t="shared" si="116"/>
        <v/>
      </c>
      <c r="BG546" s="4" t="str">
        <f t="shared" si="116"/>
        <v/>
      </c>
      <c r="BH546" s="4" t="str">
        <f t="shared" si="116"/>
        <v/>
      </c>
      <c r="BI546" s="5" t="str">
        <f t="shared" si="116"/>
        <v/>
      </c>
    </row>
    <row r="547" spans="1:61" x14ac:dyDescent="0.25">
      <c r="A547">
        <v>598251</v>
      </c>
      <c r="B547" t="s">
        <v>14</v>
      </c>
      <c r="C547" t="s">
        <v>16</v>
      </c>
      <c r="D547">
        <v>65862</v>
      </c>
      <c r="E547">
        <v>357</v>
      </c>
      <c r="F547">
        <v>30</v>
      </c>
      <c r="G547">
        <v>20133</v>
      </c>
      <c r="H547" t="s">
        <v>0</v>
      </c>
      <c r="I547">
        <v>366421.00099999999</v>
      </c>
      <c r="J547">
        <v>10854</v>
      </c>
      <c r="K547">
        <v>229190.87</v>
      </c>
      <c r="L547">
        <v>223987.33</v>
      </c>
      <c r="M547">
        <v>5203.54</v>
      </c>
      <c r="N547" s="3" t="str">
        <f t="shared" si="120"/>
        <v/>
      </c>
      <c r="O547" s="4" t="str">
        <f t="shared" si="120"/>
        <v/>
      </c>
      <c r="P547" s="4" t="str">
        <f t="shared" si="120"/>
        <v/>
      </c>
      <c r="Q547" s="4" t="str">
        <f t="shared" si="120"/>
        <v/>
      </c>
      <c r="R547" s="4" t="str">
        <f t="shared" si="120"/>
        <v/>
      </c>
      <c r="S547" s="4" t="str">
        <f t="shared" si="120"/>
        <v/>
      </c>
      <c r="T547" s="4" t="str">
        <f t="shared" si="120"/>
        <v/>
      </c>
      <c r="U547" s="4" t="str">
        <f t="shared" si="120"/>
        <v/>
      </c>
      <c r="V547" s="4" t="str">
        <f t="shared" si="117"/>
        <v/>
      </c>
      <c r="W547" s="4" t="str">
        <f t="shared" si="114"/>
        <v/>
      </c>
      <c r="X547" s="4" t="str">
        <f t="shared" si="114"/>
        <v/>
      </c>
      <c r="Y547" s="4" t="str">
        <f t="shared" si="114"/>
        <v/>
      </c>
      <c r="Z547" s="4" t="str">
        <f t="shared" si="114"/>
        <v/>
      </c>
      <c r="AA547" s="4" t="str">
        <f t="shared" si="114"/>
        <v/>
      </c>
      <c r="AB547" s="4" t="str">
        <f t="shared" si="114"/>
        <v/>
      </c>
      <c r="AC547" s="5" t="str">
        <f t="shared" si="114"/>
        <v/>
      </c>
      <c r="AD547" s="3" t="str">
        <f t="shared" si="121"/>
        <v/>
      </c>
      <c r="AE547" s="4" t="str">
        <f t="shared" si="121"/>
        <v/>
      </c>
      <c r="AF547" s="4" t="str">
        <f t="shared" si="121"/>
        <v/>
      </c>
      <c r="AG547" s="4" t="str">
        <f t="shared" si="121"/>
        <v/>
      </c>
      <c r="AH547" s="4" t="str">
        <f t="shared" si="121"/>
        <v/>
      </c>
      <c r="AI547" s="4" t="str">
        <f t="shared" si="121"/>
        <v/>
      </c>
      <c r="AJ547" s="4" t="str">
        <f t="shared" si="121"/>
        <v/>
      </c>
      <c r="AK547" s="4" t="str">
        <f t="shared" si="121"/>
        <v/>
      </c>
      <c r="AL547" s="4" t="str">
        <f t="shared" si="118"/>
        <v/>
      </c>
      <c r="AM547" s="4" t="str">
        <f t="shared" si="115"/>
        <v/>
      </c>
      <c r="AN547" s="4" t="str">
        <f t="shared" si="115"/>
        <v/>
      </c>
      <c r="AO547" s="4" t="str">
        <f t="shared" si="115"/>
        <v/>
      </c>
      <c r="AP547" s="4" t="str">
        <f t="shared" si="115"/>
        <v/>
      </c>
      <c r="AQ547" s="4" t="str">
        <f t="shared" si="115"/>
        <v/>
      </c>
      <c r="AR547" s="4" t="str">
        <f t="shared" si="115"/>
        <v/>
      </c>
      <c r="AS547" s="5" t="str">
        <f t="shared" si="115"/>
        <v/>
      </c>
      <c r="AT547" s="3" t="str">
        <f t="shared" si="122"/>
        <v/>
      </c>
      <c r="AU547" s="4" t="str">
        <f t="shared" si="122"/>
        <v/>
      </c>
      <c r="AV547" s="4">
        <f t="shared" si="122"/>
        <v>1</v>
      </c>
      <c r="AW547" s="4" t="str">
        <f t="shared" si="122"/>
        <v/>
      </c>
      <c r="AX547" s="4" t="str">
        <f t="shared" si="122"/>
        <v/>
      </c>
      <c r="AY547" s="4" t="str">
        <f t="shared" si="122"/>
        <v/>
      </c>
      <c r="AZ547" s="4" t="str">
        <f t="shared" si="122"/>
        <v/>
      </c>
      <c r="BA547" s="4" t="str">
        <f t="shared" si="122"/>
        <v/>
      </c>
      <c r="BB547" s="4" t="str">
        <f t="shared" si="119"/>
        <v/>
      </c>
      <c r="BC547" s="4" t="str">
        <f t="shared" si="116"/>
        <v/>
      </c>
      <c r="BD547" s="4" t="str">
        <f t="shared" si="116"/>
        <v/>
      </c>
      <c r="BE547" s="4" t="str">
        <f t="shared" si="116"/>
        <v/>
      </c>
      <c r="BF547" s="4" t="str">
        <f t="shared" si="116"/>
        <v/>
      </c>
      <c r="BG547" s="4" t="str">
        <f t="shared" si="116"/>
        <v/>
      </c>
      <c r="BH547" s="4" t="str">
        <f t="shared" si="116"/>
        <v/>
      </c>
      <c r="BI547" s="5" t="str">
        <f t="shared" si="116"/>
        <v/>
      </c>
    </row>
    <row r="548" spans="1:61" x14ac:dyDescent="0.25">
      <c r="A548">
        <v>598252</v>
      </c>
      <c r="B548" t="s">
        <v>14</v>
      </c>
      <c r="C548" t="s">
        <v>16</v>
      </c>
      <c r="D548">
        <v>65862</v>
      </c>
      <c r="E548">
        <v>357</v>
      </c>
      <c r="F548">
        <v>30</v>
      </c>
      <c r="G548">
        <v>20134</v>
      </c>
      <c r="H548" t="s">
        <v>0</v>
      </c>
      <c r="I548">
        <v>206591.00099999999</v>
      </c>
      <c r="J548">
        <v>6364</v>
      </c>
      <c r="K548">
        <v>113872.56</v>
      </c>
      <c r="L548">
        <v>111055.57</v>
      </c>
      <c r="M548">
        <v>2816.99</v>
      </c>
      <c r="N548" s="3" t="str">
        <f t="shared" si="120"/>
        <v/>
      </c>
      <c r="O548" s="4" t="str">
        <f t="shared" si="120"/>
        <v/>
      </c>
      <c r="P548" s="4" t="str">
        <f t="shared" si="120"/>
        <v/>
      </c>
      <c r="Q548" s="4" t="str">
        <f t="shared" si="120"/>
        <v/>
      </c>
      <c r="R548" s="4" t="str">
        <f t="shared" si="120"/>
        <v/>
      </c>
      <c r="S548" s="4" t="str">
        <f t="shared" si="120"/>
        <v/>
      </c>
      <c r="T548" s="4" t="str">
        <f t="shared" si="120"/>
        <v/>
      </c>
      <c r="U548" s="4" t="str">
        <f t="shared" si="120"/>
        <v/>
      </c>
      <c r="V548" s="4" t="str">
        <f t="shared" si="117"/>
        <v/>
      </c>
      <c r="W548" s="4" t="str">
        <f t="shared" si="114"/>
        <v/>
      </c>
      <c r="X548" s="4" t="str">
        <f t="shared" si="114"/>
        <v/>
      </c>
      <c r="Y548" s="4" t="str">
        <f t="shared" si="114"/>
        <v/>
      </c>
      <c r="Z548" s="4" t="str">
        <f t="shared" si="114"/>
        <v/>
      </c>
      <c r="AA548" s="4" t="str">
        <f t="shared" si="114"/>
        <v/>
      </c>
      <c r="AB548" s="4" t="str">
        <f t="shared" si="114"/>
        <v/>
      </c>
      <c r="AC548" s="5" t="str">
        <f t="shared" si="114"/>
        <v/>
      </c>
      <c r="AD548" s="3" t="str">
        <f t="shared" si="121"/>
        <v/>
      </c>
      <c r="AE548" s="4" t="str">
        <f t="shared" si="121"/>
        <v/>
      </c>
      <c r="AF548" s="4" t="str">
        <f t="shared" si="121"/>
        <v/>
      </c>
      <c r="AG548" s="4" t="str">
        <f t="shared" si="121"/>
        <v/>
      </c>
      <c r="AH548" s="4" t="str">
        <f t="shared" si="121"/>
        <v/>
      </c>
      <c r="AI548" s="4" t="str">
        <f t="shared" si="121"/>
        <v/>
      </c>
      <c r="AJ548" s="4" t="str">
        <f t="shared" si="121"/>
        <v/>
      </c>
      <c r="AK548" s="4" t="str">
        <f t="shared" si="121"/>
        <v/>
      </c>
      <c r="AL548" s="4" t="str">
        <f t="shared" si="118"/>
        <v/>
      </c>
      <c r="AM548" s="4" t="str">
        <f t="shared" si="115"/>
        <v/>
      </c>
      <c r="AN548" s="4" t="str">
        <f t="shared" si="115"/>
        <v/>
      </c>
      <c r="AO548" s="4" t="str">
        <f t="shared" si="115"/>
        <v/>
      </c>
      <c r="AP548" s="4" t="str">
        <f t="shared" si="115"/>
        <v/>
      </c>
      <c r="AQ548" s="4" t="str">
        <f t="shared" si="115"/>
        <v/>
      </c>
      <c r="AR548" s="4" t="str">
        <f t="shared" si="115"/>
        <v/>
      </c>
      <c r="AS548" s="5" t="str">
        <f t="shared" si="115"/>
        <v/>
      </c>
      <c r="AT548" s="3" t="str">
        <f t="shared" si="122"/>
        <v/>
      </c>
      <c r="AU548" s="4" t="str">
        <f t="shared" si="122"/>
        <v/>
      </c>
      <c r="AV548" s="4" t="str">
        <f t="shared" si="122"/>
        <v/>
      </c>
      <c r="AW548" s="4">
        <f t="shared" si="122"/>
        <v>1</v>
      </c>
      <c r="AX548" s="4" t="str">
        <f t="shared" si="122"/>
        <v/>
      </c>
      <c r="AY548" s="4" t="str">
        <f t="shared" si="122"/>
        <v/>
      </c>
      <c r="AZ548" s="4" t="str">
        <f t="shared" si="122"/>
        <v/>
      </c>
      <c r="BA548" s="4" t="str">
        <f t="shared" si="122"/>
        <v/>
      </c>
      <c r="BB548" s="4" t="str">
        <f t="shared" si="119"/>
        <v/>
      </c>
      <c r="BC548" s="4" t="str">
        <f t="shared" si="116"/>
        <v/>
      </c>
      <c r="BD548" s="4" t="str">
        <f t="shared" si="116"/>
        <v/>
      </c>
      <c r="BE548" s="4" t="str">
        <f t="shared" si="116"/>
        <v/>
      </c>
      <c r="BF548" s="4" t="str">
        <f t="shared" si="116"/>
        <v/>
      </c>
      <c r="BG548" s="4" t="str">
        <f t="shared" si="116"/>
        <v/>
      </c>
      <c r="BH548" s="4" t="str">
        <f t="shared" si="116"/>
        <v/>
      </c>
      <c r="BI548" s="5" t="str">
        <f t="shared" si="116"/>
        <v/>
      </c>
    </row>
    <row r="549" spans="1:61" x14ac:dyDescent="0.25">
      <c r="A549">
        <v>598253</v>
      </c>
      <c r="B549" t="s">
        <v>14</v>
      </c>
      <c r="C549" t="s">
        <v>16</v>
      </c>
      <c r="D549">
        <v>65862</v>
      </c>
      <c r="E549">
        <v>357</v>
      </c>
      <c r="F549">
        <v>90</v>
      </c>
      <c r="G549">
        <v>20131</v>
      </c>
      <c r="H549" t="s">
        <v>0</v>
      </c>
      <c r="I549">
        <v>127642</v>
      </c>
      <c r="J549">
        <v>3917</v>
      </c>
      <c r="K549">
        <v>64634.02</v>
      </c>
      <c r="L549">
        <v>60655.42</v>
      </c>
      <c r="M549">
        <v>3978.6</v>
      </c>
      <c r="N549" s="3" t="str">
        <f t="shared" si="120"/>
        <v/>
      </c>
      <c r="O549" s="4" t="str">
        <f t="shared" si="120"/>
        <v/>
      </c>
      <c r="P549" s="4" t="str">
        <f t="shared" si="120"/>
        <v/>
      </c>
      <c r="Q549" s="4" t="str">
        <f t="shared" si="120"/>
        <v/>
      </c>
      <c r="R549" s="4" t="str">
        <f t="shared" si="120"/>
        <v/>
      </c>
      <c r="S549" s="4" t="str">
        <f t="shared" si="120"/>
        <v/>
      </c>
      <c r="T549" s="4" t="str">
        <f t="shared" si="120"/>
        <v/>
      </c>
      <c r="U549" s="4" t="str">
        <f t="shared" si="120"/>
        <v/>
      </c>
      <c r="V549" s="4" t="str">
        <f t="shared" si="117"/>
        <v/>
      </c>
      <c r="W549" s="4" t="str">
        <f t="shared" si="114"/>
        <v/>
      </c>
      <c r="X549" s="4" t="str">
        <f t="shared" si="114"/>
        <v/>
      </c>
      <c r="Y549" s="4" t="str">
        <f t="shared" si="114"/>
        <v/>
      </c>
      <c r="Z549" s="4" t="str">
        <f t="shared" si="114"/>
        <v/>
      </c>
      <c r="AA549" s="4" t="str">
        <f t="shared" si="114"/>
        <v/>
      </c>
      <c r="AB549" s="4" t="str">
        <f t="shared" si="114"/>
        <v/>
      </c>
      <c r="AC549" s="5" t="str">
        <f t="shared" si="114"/>
        <v/>
      </c>
      <c r="AD549" s="3" t="str">
        <f t="shared" si="121"/>
        <v/>
      </c>
      <c r="AE549" s="4" t="str">
        <f t="shared" si="121"/>
        <v/>
      </c>
      <c r="AF549" s="4" t="str">
        <f t="shared" si="121"/>
        <v/>
      </c>
      <c r="AG549" s="4" t="str">
        <f t="shared" si="121"/>
        <v/>
      </c>
      <c r="AH549" s="4" t="str">
        <f t="shared" si="121"/>
        <v/>
      </c>
      <c r="AI549" s="4" t="str">
        <f t="shared" si="121"/>
        <v/>
      </c>
      <c r="AJ549" s="4" t="str">
        <f t="shared" si="121"/>
        <v/>
      </c>
      <c r="AK549" s="4" t="str">
        <f t="shared" si="121"/>
        <v/>
      </c>
      <c r="AL549" s="4" t="str">
        <f t="shared" si="118"/>
        <v/>
      </c>
      <c r="AM549" s="4" t="str">
        <f t="shared" si="115"/>
        <v/>
      </c>
      <c r="AN549" s="4" t="str">
        <f t="shared" si="115"/>
        <v/>
      </c>
      <c r="AO549" s="4" t="str">
        <f t="shared" si="115"/>
        <v/>
      </c>
      <c r="AP549" s="4" t="str">
        <f t="shared" si="115"/>
        <v/>
      </c>
      <c r="AQ549" s="4" t="str">
        <f t="shared" si="115"/>
        <v/>
      </c>
      <c r="AR549" s="4" t="str">
        <f t="shared" si="115"/>
        <v/>
      </c>
      <c r="AS549" s="5" t="str">
        <f t="shared" si="115"/>
        <v/>
      </c>
      <c r="AT549" s="3">
        <f t="shared" si="122"/>
        <v>1</v>
      </c>
      <c r="AU549" s="4" t="str">
        <f t="shared" si="122"/>
        <v/>
      </c>
      <c r="AV549" s="4" t="str">
        <f t="shared" si="122"/>
        <v/>
      </c>
      <c r="AW549" s="4" t="str">
        <f t="shared" si="122"/>
        <v/>
      </c>
      <c r="AX549" s="4" t="str">
        <f t="shared" si="122"/>
        <v/>
      </c>
      <c r="AY549" s="4" t="str">
        <f t="shared" si="122"/>
        <v/>
      </c>
      <c r="AZ549" s="4" t="str">
        <f t="shared" si="122"/>
        <v/>
      </c>
      <c r="BA549" s="4" t="str">
        <f t="shared" si="122"/>
        <v/>
      </c>
      <c r="BB549" s="4" t="str">
        <f t="shared" si="119"/>
        <v/>
      </c>
      <c r="BC549" s="4" t="str">
        <f t="shared" si="116"/>
        <v/>
      </c>
      <c r="BD549" s="4" t="str">
        <f t="shared" si="116"/>
        <v/>
      </c>
      <c r="BE549" s="4" t="str">
        <f t="shared" si="116"/>
        <v/>
      </c>
      <c r="BF549" s="4" t="str">
        <f t="shared" si="116"/>
        <v/>
      </c>
      <c r="BG549" s="4" t="str">
        <f t="shared" si="116"/>
        <v/>
      </c>
      <c r="BH549" s="4" t="str">
        <f t="shared" si="116"/>
        <v/>
      </c>
      <c r="BI549" s="5" t="str">
        <f t="shared" si="116"/>
        <v/>
      </c>
    </row>
    <row r="550" spans="1:61" x14ac:dyDescent="0.25">
      <c r="A550">
        <v>598254</v>
      </c>
      <c r="B550" t="s">
        <v>14</v>
      </c>
      <c r="C550" t="s">
        <v>16</v>
      </c>
      <c r="D550">
        <v>65862</v>
      </c>
      <c r="E550">
        <v>357</v>
      </c>
      <c r="F550">
        <v>90</v>
      </c>
      <c r="G550">
        <v>20132</v>
      </c>
      <c r="H550" t="s">
        <v>0</v>
      </c>
      <c r="I550">
        <v>115485</v>
      </c>
      <c r="J550">
        <v>3474</v>
      </c>
      <c r="K550">
        <v>54381.23</v>
      </c>
      <c r="L550">
        <v>50799.38</v>
      </c>
      <c r="M550">
        <v>3581.85</v>
      </c>
      <c r="N550" s="3" t="str">
        <f t="shared" si="120"/>
        <v/>
      </c>
      <c r="O550" s="4" t="str">
        <f t="shared" si="120"/>
        <v/>
      </c>
      <c r="P550" s="4" t="str">
        <f t="shared" si="120"/>
        <v/>
      </c>
      <c r="Q550" s="4" t="str">
        <f t="shared" si="120"/>
        <v/>
      </c>
      <c r="R550" s="4" t="str">
        <f t="shared" si="120"/>
        <v/>
      </c>
      <c r="S550" s="4" t="str">
        <f t="shared" si="120"/>
        <v/>
      </c>
      <c r="T550" s="4" t="str">
        <f t="shared" si="120"/>
        <v/>
      </c>
      <c r="U550" s="4" t="str">
        <f t="shared" si="120"/>
        <v/>
      </c>
      <c r="V550" s="4" t="str">
        <f t="shared" si="117"/>
        <v/>
      </c>
      <c r="W550" s="4" t="str">
        <f t="shared" si="114"/>
        <v/>
      </c>
      <c r="X550" s="4" t="str">
        <f t="shared" si="114"/>
        <v/>
      </c>
      <c r="Y550" s="4" t="str">
        <f t="shared" si="114"/>
        <v/>
      </c>
      <c r="Z550" s="4" t="str">
        <f t="shared" si="114"/>
        <v/>
      </c>
      <c r="AA550" s="4" t="str">
        <f t="shared" si="114"/>
        <v/>
      </c>
      <c r="AB550" s="4" t="str">
        <f t="shared" si="114"/>
        <v/>
      </c>
      <c r="AC550" s="5" t="str">
        <f t="shared" si="114"/>
        <v/>
      </c>
      <c r="AD550" s="3" t="str">
        <f t="shared" si="121"/>
        <v/>
      </c>
      <c r="AE550" s="4" t="str">
        <f t="shared" si="121"/>
        <v/>
      </c>
      <c r="AF550" s="4" t="str">
        <f t="shared" si="121"/>
        <v/>
      </c>
      <c r="AG550" s="4" t="str">
        <f t="shared" si="121"/>
        <v/>
      </c>
      <c r="AH550" s="4" t="str">
        <f t="shared" si="121"/>
        <v/>
      </c>
      <c r="AI550" s="4" t="str">
        <f t="shared" si="121"/>
        <v/>
      </c>
      <c r="AJ550" s="4" t="str">
        <f t="shared" si="121"/>
        <v/>
      </c>
      <c r="AK550" s="4" t="str">
        <f t="shared" si="121"/>
        <v/>
      </c>
      <c r="AL550" s="4" t="str">
        <f t="shared" si="118"/>
        <v/>
      </c>
      <c r="AM550" s="4" t="str">
        <f t="shared" si="115"/>
        <v/>
      </c>
      <c r="AN550" s="4" t="str">
        <f t="shared" si="115"/>
        <v/>
      </c>
      <c r="AO550" s="4" t="str">
        <f t="shared" si="115"/>
        <v/>
      </c>
      <c r="AP550" s="4" t="str">
        <f t="shared" si="115"/>
        <v/>
      </c>
      <c r="AQ550" s="4" t="str">
        <f t="shared" si="115"/>
        <v/>
      </c>
      <c r="AR550" s="4" t="str">
        <f t="shared" si="115"/>
        <v/>
      </c>
      <c r="AS550" s="5" t="str">
        <f t="shared" si="115"/>
        <v/>
      </c>
      <c r="AT550" s="3" t="str">
        <f t="shared" si="122"/>
        <v/>
      </c>
      <c r="AU550" s="4">
        <f t="shared" si="122"/>
        <v>1</v>
      </c>
      <c r="AV550" s="4" t="str">
        <f t="shared" si="122"/>
        <v/>
      </c>
      <c r="AW550" s="4" t="str">
        <f t="shared" si="122"/>
        <v/>
      </c>
      <c r="AX550" s="4" t="str">
        <f t="shared" si="122"/>
        <v/>
      </c>
      <c r="AY550" s="4" t="str">
        <f t="shared" si="122"/>
        <v/>
      </c>
      <c r="AZ550" s="4" t="str">
        <f t="shared" si="122"/>
        <v/>
      </c>
      <c r="BA550" s="4" t="str">
        <f t="shared" si="122"/>
        <v/>
      </c>
      <c r="BB550" s="4" t="str">
        <f t="shared" si="119"/>
        <v/>
      </c>
      <c r="BC550" s="4" t="str">
        <f t="shared" si="116"/>
        <v/>
      </c>
      <c r="BD550" s="4" t="str">
        <f t="shared" si="116"/>
        <v/>
      </c>
      <c r="BE550" s="4" t="str">
        <f t="shared" si="116"/>
        <v/>
      </c>
      <c r="BF550" s="4" t="str">
        <f t="shared" si="116"/>
        <v/>
      </c>
      <c r="BG550" s="4" t="str">
        <f t="shared" si="116"/>
        <v/>
      </c>
      <c r="BH550" s="4" t="str">
        <f t="shared" si="116"/>
        <v/>
      </c>
      <c r="BI550" s="5" t="str">
        <f t="shared" si="116"/>
        <v/>
      </c>
    </row>
    <row r="551" spans="1:61" x14ac:dyDescent="0.25">
      <c r="A551">
        <v>598255</v>
      </c>
      <c r="B551" t="s">
        <v>14</v>
      </c>
      <c r="C551" t="s">
        <v>16</v>
      </c>
      <c r="D551">
        <v>65862</v>
      </c>
      <c r="E551">
        <v>357</v>
      </c>
      <c r="F551">
        <v>90</v>
      </c>
      <c r="G551">
        <v>20133</v>
      </c>
      <c r="H551" t="s">
        <v>0</v>
      </c>
      <c r="I551">
        <v>131974</v>
      </c>
      <c r="J551">
        <v>4064</v>
      </c>
      <c r="K551">
        <v>64846.080000000002</v>
      </c>
      <c r="L551">
        <v>62034.58</v>
      </c>
      <c r="M551">
        <v>2811.5</v>
      </c>
      <c r="N551" s="3" t="str">
        <f t="shared" si="120"/>
        <v/>
      </c>
      <c r="O551" s="4" t="str">
        <f t="shared" si="120"/>
        <v/>
      </c>
      <c r="P551" s="4" t="str">
        <f t="shared" si="120"/>
        <v/>
      </c>
      <c r="Q551" s="4" t="str">
        <f t="shared" si="120"/>
        <v/>
      </c>
      <c r="R551" s="4" t="str">
        <f t="shared" si="120"/>
        <v/>
      </c>
      <c r="S551" s="4" t="str">
        <f t="shared" si="120"/>
        <v/>
      </c>
      <c r="T551" s="4" t="str">
        <f t="shared" si="120"/>
        <v/>
      </c>
      <c r="U551" s="4" t="str">
        <f t="shared" si="120"/>
        <v/>
      </c>
      <c r="V551" s="4" t="str">
        <f t="shared" si="117"/>
        <v/>
      </c>
      <c r="W551" s="4" t="str">
        <f t="shared" si="114"/>
        <v/>
      </c>
      <c r="X551" s="4" t="str">
        <f t="shared" si="114"/>
        <v/>
      </c>
      <c r="Y551" s="4" t="str">
        <f t="shared" si="114"/>
        <v/>
      </c>
      <c r="Z551" s="4" t="str">
        <f t="shared" si="114"/>
        <v/>
      </c>
      <c r="AA551" s="4" t="str">
        <f t="shared" si="114"/>
        <v/>
      </c>
      <c r="AB551" s="4" t="str">
        <f t="shared" si="114"/>
        <v/>
      </c>
      <c r="AC551" s="5" t="str">
        <f t="shared" si="114"/>
        <v/>
      </c>
      <c r="AD551" s="3" t="str">
        <f t="shared" si="121"/>
        <v/>
      </c>
      <c r="AE551" s="4" t="str">
        <f t="shared" si="121"/>
        <v/>
      </c>
      <c r="AF551" s="4" t="str">
        <f t="shared" si="121"/>
        <v/>
      </c>
      <c r="AG551" s="4" t="str">
        <f t="shared" si="121"/>
        <v/>
      </c>
      <c r="AH551" s="4" t="str">
        <f t="shared" si="121"/>
        <v/>
      </c>
      <c r="AI551" s="4" t="str">
        <f t="shared" si="121"/>
        <v/>
      </c>
      <c r="AJ551" s="4" t="str">
        <f t="shared" si="121"/>
        <v/>
      </c>
      <c r="AK551" s="4" t="str">
        <f t="shared" si="121"/>
        <v/>
      </c>
      <c r="AL551" s="4" t="str">
        <f t="shared" si="118"/>
        <v/>
      </c>
      <c r="AM551" s="4" t="str">
        <f t="shared" si="115"/>
        <v/>
      </c>
      <c r="AN551" s="4" t="str">
        <f t="shared" si="115"/>
        <v/>
      </c>
      <c r="AO551" s="4" t="str">
        <f t="shared" si="115"/>
        <v/>
      </c>
      <c r="AP551" s="4" t="str">
        <f t="shared" si="115"/>
        <v/>
      </c>
      <c r="AQ551" s="4" t="str">
        <f t="shared" si="115"/>
        <v/>
      </c>
      <c r="AR551" s="4" t="str">
        <f t="shared" si="115"/>
        <v/>
      </c>
      <c r="AS551" s="5" t="str">
        <f t="shared" si="115"/>
        <v/>
      </c>
      <c r="AT551" s="3" t="str">
        <f t="shared" si="122"/>
        <v/>
      </c>
      <c r="AU551" s="4" t="str">
        <f t="shared" si="122"/>
        <v/>
      </c>
      <c r="AV551" s="4">
        <f t="shared" si="122"/>
        <v>1</v>
      </c>
      <c r="AW551" s="4" t="str">
        <f t="shared" si="122"/>
        <v/>
      </c>
      <c r="AX551" s="4" t="str">
        <f t="shared" si="122"/>
        <v/>
      </c>
      <c r="AY551" s="4" t="str">
        <f t="shared" si="122"/>
        <v/>
      </c>
      <c r="AZ551" s="4" t="str">
        <f t="shared" si="122"/>
        <v/>
      </c>
      <c r="BA551" s="4" t="str">
        <f t="shared" si="122"/>
        <v/>
      </c>
      <c r="BB551" s="4" t="str">
        <f t="shared" si="119"/>
        <v/>
      </c>
      <c r="BC551" s="4" t="str">
        <f t="shared" si="116"/>
        <v/>
      </c>
      <c r="BD551" s="4" t="str">
        <f t="shared" si="116"/>
        <v/>
      </c>
      <c r="BE551" s="4" t="str">
        <f t="shared" si="116"/>
        <v/>
      </c>
      <c r="BF551" s="4" t="str">
        <f t="shared" si="116"/>
        <v/>
      </c>
      <c r="BG551" s="4" t="str">
        <f t="shared" si="116"/>
        <v/>
      </c>
      <c r="BH551" s="4" t="str">
        <f t="shared" si="116"/>
        <v/>
      </c>
      <c r="BI551" s="5" t="str">
        <f t="shared" si="116"/>
        <v/>
      </c>
    </row>
    <row r="552" spans="1:61" x14ac:dyDescent="0.25">
      <c r="A552">
        <v>598256</v>
      </c>
      <c r="B552" t="s">
        <v>14</v>
      </c>
      <c r="C552" t="s">
        <v>16</v>
      </c>
      <c r="D552">
        <v>65862</v>
      </c>
      <c r="E552">
        <v>357</v>
      </c>
      <c r="F552">
        <v>90</v>
      </c>
      <c r="G552">
        <v>20134</v>
      </c>
      <c r="H552" t="s">
        <v>0</v>
      </c>
      <c r="I552">
        <v>308621.90000000002</v>
      </c>
      <c r="J552">
        <v>9348</v>
      </c>
      <c r="K552">
        <v>141382.1</v>
      </c>
      <c r="L552">
        <v>130820.21</v>
      </c>
      <c r="M552">
        <v>10561.89</v>
      </c>
      <c r="N552" s="3" t="str">
        <f t="shared" si="120"/>
        <v/>
      </c>
      <c r="O552" s="4" t="str">
        <f t="shared" si="120"/>
        <v/>
      </c>
      <c r="P552" s="4" t="str">
        <f t="shared" si="120"/>
        <v/>
      </c>
      <c r="Q552" s="4" t="str">
        <f t="shared" si="120"/>
        <v/>
      </c>
      <c r="R552" s="4" t="str">
        <f t="shared" si="120"/>
        <v/>
      </c>
      <c r="S552" s="4" t="str">
        <f t="shared" si="120"/>
        <v/>
      </c>
      <c r="T552" s="4" t="str">
        <f t="shared" si="120"/>
        <v/>
      </c>
      <c r="U552" s="4" t="str">
        <f t="shared" si="120"/>
        <v/>
      </c>
      <c r="V552" s="4" t="str">
        <f t="shared" si="117"/>
        <v/>
      </c>
      <c r="W552" s="4" t="str">
        <f t="shared" si="114"/>
        <v/>
      </c>
      <c r="X552" s="4" t="str">
        <f t="shared" si="114"/>
        <v/>
      </c>
      <c r="Y552" s="4" t="str">
        <f t="shared" si="114"/>
        <v/>
      </c>
      <c r="Z552" s="4" t="str">
        <f t="shared" si="114"/>
        <v/>
      </c>
      <c r="AA552" s="4" t="str">
        <f t="shared" si="114"/>
        <v/>
      </c>
      <c r="AB552" s="4" t="str">
        <f t="shared" si="114"/>
        <v/>
      </c>
      <c r="AC552" s="5" t="str">
        <f t="shared" si="114"/>
        <v/>
      </c>
      <c r="AD552" s="3" t="str">
        <f t="shared" si="121"/>
        <v/>
      </c>
      <c r="AE552" s="4" t="str">
        <f t="shared" si="121"/>
        <v/>
      </c>
      <c r="AF552" s="4" t="str">
        <f t="shared" si="121"/>
        <v/>
      </c>
      <c r="AG552" s="4" t="str">
        <f t="shared" si="121"/>
        <v/>
      </c>
      <c r="AH552" s="4" t="str">
        <f t="shared" si="121"/>
        <v/>
      </c>
      <c r="AI552" s="4" t="str">
        <f t="shared" si="121"/>
        <v/>
      </c>
      <c r="AJ552" s="4" t="str">
        <f t="shared" si="121"/>
        <v/>
      </c>
      <c r="AK552" s="4" t="str">
        <f t="shared" si="121"/>
        <v/>
      </c>
      <c r="AL552" s="4" t="str">
        <f t="shared" si="118"/>
        <v/>
      </c>
      <c r="AM552" s="4" t="str">
        <f t="shared" si="115"/>
        <v/>
      </c>
      <c r="AN552" s="4" t="str">
        <f t="shared" si="115"/>
        <v/>
      </c>
      <c r="AO552" s="4" t="str">
        <f t="shared" si="115"/>
        <v/>
      </c>
      <c r="AP552" s="4" t="str">
        <f t="shared" si="115"/>
        <v/>
      </c>
      <c r="AQ552" s="4" t="str">
        <f t="shared" si="115"/>
        <v/>
      </c>
      <c r="AR552" s="4" t="str">
        <f t="shared" si="115"/>
        <v/>
      </c>
      <c r="AS552" s="5" t="str">
        <f t="shared" si="115"/>
        <v/>
      </c>
      <c r="AT552" s="3" t="str">
        <f t="shared" si="122"/>
        <v/>
      </c>
      <c r="AU552" s="4" t="str">
        <f t="shared" si="122"/>
        <v/>
      </c>
      <c r="AV552" s="4" t="str">
        <f t="shared" si="122"/>
        <v/>
      </c>
      <c r="AW552" s="4">
        <f t="shared" si="122"/>
        <v>1</v>
      </c>
      <c r="AX552" s="4" t="str">
        <f t="shared" si="122"/>
        <v/>
      </c>
      <c r="AY552" s="4" t="str">
        <f t="shared" si="122"/>
        <v/>
      </c>
      <c r="AZ552" s="4" t="str">
        <f t="shared" si="122"/>
        <v/>
      </c>
      <c r="BA552" s="4" t="str">
        <f t="shared" si="122"/>
        <v/>
      </c>
      <c r="BB552" s="4" t="str">
        <f t="shared" si="119"/>
        <v/>
      </c>
      <c r="BC552" s="4" t="str">
        <f t="shared" si="116"/>
        <v/>
      </c>
      <c r="BD552" s="4" t="str">
        <f t="shared" si="116"/>
        <v/>
      </c>
      <c r="BE552" s="4" t="str">
        <f t="shared" si="116"/>
        <v/>
      </c>
      <c r="BF552" s="4" t="str">
        <f t="shared" si="116"/>
        <v/>
      </c>
      <c r="BG552" s="4" t="str">
        <f t="shared" si="116"/>
        <v/>
      </c>
      <c r="BH552" s="4" t="str">
        <f t="shared" si="116"/>
        <v/>
      </c>
      <c r="BI552" s="5" t="str">
        <f t="shared" si="116"/>
        <v/>
      </c>
    </row>
    <row r="553" spans="1:61" x14ac:dyDescent="0.25">
      <c r="A553">
        <v>598257</v>
      </c>
      <c r="B553" t="s">
        <v>14</v>
      </c>
      <c r="C553" t="s">
        <v>16</v>
      </c>
      <c r="D553">
        <v>65862</v>
      </c>
      <c r="E553">
        <v>357</v>
      </c>
      <c r="F553">
        <v>99</v>
      </c>
      <c r="G553">
        <v>20132</v>
      </c>
      <c r="H553" t="s">
        <v>0</v>
      </c>
      <c r="I553">
        <v>210</v>
      </c>
      <c r="J553">
        <v>7</v>
      </c>
      <c r="K553">
        <v>90.66</v>
      </c>
      <c r="L553">
        <v>90.66</v>
      </c>
      <c r="M553">
        <v>0</v>
      </c>
      <c r="N553" s="3" t="str">
        <f t="shared" si="120"/>
        <v/>
      </c>
      <c r="O553" s="4" t="str">
        <f t="shared" si="120"/>
        <v/>
      </c>
      <c r="P553" s="4" t="str">
        <f t="shared" si="120"/>
        <v/>
      </c>
      <c r="Q553" s="4" t="str">
        <f t="shared" si="120"/>
        <v/>
      </c>
      <c r="R553" s="4" t="str">
        <f t="shared" si="120"/>
        <v/>
      </c>
      <c r="S553" s="4" t="str">
        <f t="shared" si="120"/>
        <v/>
      </c>
      <c r="T553" s="4" t="str">
        <f t="shared" si="120"/>
        <v/>
      </c>
      <c r="U553" s="4" t="str">
        <f t="shared" si="120"/>
        <v/>
      </c>
      <c r="V553" s="4" t="str">
        <f t="shared" si="117"/>
        <v/>
      </c>
      <c r="W553" s="4" t="str">
        <f t="shared" si="114"/>
        <v/>
      </c>
      <c r="X553" s="4" t="str">
        <f t="shared" si="114"/>
        <v/>
      </c>
      <c r="Y553" s="4" t="str">
        <f t="shared" si="114"/>
        <v/>
      </c>
      <c r="Z553" s="4" t="str">
        <f t="shared" si="114"/>
        <v/>
      </c>
      <c r="AA553" s="4" t="str">
        <f t="shared" si="114"/>
        <v/>
      </c>
      <c r="AB553" s="4" t="str">
        <f t="shared" si="114"/>
        <v/>
      </c>
      <c r="AC553" s="5" t="str">
        <f t="shared" si="114"/>
        <v/>
      </c>
      <c r="AD553" s="3" t="str">
        <f t="shared" si="121"/>
        <v/>
      </c>
      <c r="AE553" s="4" t="str">
        <f t="shared" si="121"/>
        <v/>
      </c>
      <c r="AF553" s="4" t="str">
        <f t="shared" si="121"/>
        <v/>
      </c>
      <c r="AG553" s="4" t="str">
        <f t="shared" si="121"/>
        <v/>
      </c>
      <c r="AH553" s="4" t="str">
        <f t="shared" si="121"/>
        <v/>
      </c>
      <c r="AI553" s="4" t="str">
        <f t="shared" si="121"/>
        <v/>
      </c>
      <c r="AJ553" s="4" t="str">
        <f t="shared" si="121"/>
        <v/>
      </c>
      <c r="AK553" s="4" t="str">
        <f t="shared" si="121"/>
        <v/>
      </c>
      <c r="AL553" s="4" t="str">
        <f t="shared" si="118"/>
        <v/>
      </c>
      <c r="AM553" s="4" t="str">
        <f t="shared" si="115"/>
        <v/>
      </c>
      <c r="AN553" s="4" t="str">
        <f t="shared" si="115"/>
        <v/>
      </c>
      <c r="AO553" s="4" t="str">
        <f t="shared" si="115"/>
        <v/>
      </c>
      <c r="AP553" s="4" t="str">
        <f t="shared" si="115"/>
        <v/>
      </c>
      <c r="AQ553" s="4" t="str">
        <f t="shared" si="115"/>
        <v/>
      </c>
      <c r="AR553" s="4" t="str">
        <f t="shared" si="115"/>
        <v/>
      </c>
      <c r="AS553" s="5" t="str">
        <f t="shared" si="115"/>
        <v/>
      </c>
      <c r="AT553" s="3" t="str">
        <f t="shared" si="122"/>
        <v/>
      </c>
      <c r="AU553" s="4">
        <f t="shared" si="122"/>
        <v>1</v>
      </c>
      <c r="AV553" s="4" t="str">
        <f t="shared" si="122"/>
        <v/>
      </c>
      <c r="AW553" s="4" t="str">
        <f t="shared" si="122"/>
        <v/>
      </c>
      <c r="AX553" s="4" t="str">
        <f t="shared" si="122"/>
        <v/>
      </c>
      <c r="AY553" s="4" t="str">
        <f t="shared" si="122"/>
        <v/>
      </c>
      <c r="AZ553" s="4" t="str">
        <f t="shared" si="122"/>
        <v/>
      </c>
      <c r="BA553" s="4" t="str">
        <f t="shared" si="122"/>
        <v/>
      </c>
      <c r="BB553" s="4" t="str">
        <f t="shared" si="119"/>
        <v/>
      </c>
      <c r="BC553" s="4" t="str">
        <f t="shared" si="116"/>
        <v/>
      </c>
      <c r="BD553" s="4" t="str">
        <f t="shared" si="116"/>
        <v/>
      </c>
      <c r="BE553" s="4" t="str">
        <f t="shared" si="116"/>
        <v/>
      </c>
      <c r="BF553" s="4" t="str">
        <f t="shared" si="116"/>
        <v/>
      </c>
      <c r="BG553" s="4" t="str">
        <f t="shared" si="116"/>
        <v/>
      </c>
      <c r="BH553" s="4" t="str">
        <f t="shared" si="116"/>
        <v/>
      </c>
      <c r="BI553" s="5" t="str">
        <f t="shared" si="116"/>
        <v/>
      </c>
    </row>
    <row r="554" spans="1:61" x14ac:dyDescent="0.25">
      <c r="A554">
        <v>598258</v>
      </c>
      <c r="B554" t="s">
        <v>14</v>
      </c>
      <c r="C554" t="s">
        <v>16</v>
      </c>
      <c r="D554">
        <v>65862</v>
      </c>
      <c r="E554">
        <v>357</v>
      </c>
      <c r="F554">
        <v>99</v>
      </c>
      <c r="G554">
        <v>20133</v>
      </c>
      <c r="H554" t="s">
        <v>23</v>
      </c>
      <c r="I554">
        <v>14519</v>
      </c>
      <c r="J554">
        <v>405</v>
      </c>
      <c r="K554">
        <v>7633.6</v>
      </c>
      <c r="L554">
        <v>7540.34</v>
      </c>
      <c r="M554">
        <v>93.26</v>
      </c>
      <c r="N554" s="3" t="str">
        <f t="shared" si="120"/>
        <v/>
      </c>
      <c r="O554" s="4" t="str">
        <f t="shared" si="120"/>
        <v/>
      </c>
      <c r="P554" s="4" t="str">
        <f t="shared" si="120"/>
        <v/>
      </c>
      <c r="Q554" s="4" t="str">
        <f t="shared" si="120"/>
        <v/>
      </c>
      <c r="R554" s="4" t="str">
        <f t="shared" si="120"/>
        <v/>
      </c>
      <c r="S554" s="4" t="str">
        <f t="shared" si="120"/>
        <v/>
      </c>
      <c r="T554" s="4" t="str">
        <f t="shared" si="120"/>
        <v/>
      </c>
      <c r="U554" s="4" t="str">
        <f t="shared" si="120"/>
        <v/>
      </c>
      <c r="V554" s="4" t="str">
        <f t="shared" si="117"/>
        <v/>
      </c>
      <c r="W554" s="4" t="str">
        <f t="shared" si="114"/>
        <v/>
      </c>
      <c r="X554" s="4" t="str">
        <f t="shared" si="114"/>
        <v/>
      </c>
      <c r="Y554" s="4" t="str">
        <f t="shared" si="114"/>
        <v/>
      </c>
      <c r="Z554" s="4" t="str">
        <f t="shared" si="114"/>
        <v/>
      </c>
      <c r="AA554" s="4" t="str">
        <f t="shared" si="114"/>
        <v/>
      </c>
      <c r="AB554" s="4" t="str">
        <f t="shared" si="114"/>
        <v/>
      </c>
      <c r="AC554" s="5" t="str">
        <f t="shared" si="114"/>
        <v/>
      </c>
      <c r="AD554" s="3" t="str">
        <f t="shared" si="121"/>
        <v/>
      </c>
      <c r="AE554" s="4" t="str">
        <f t="shared" si="121"/>
        <v/>
      </c>
      <c r="AF554" s="4" t="str">
        <f t="shared" si="121"/>
        <v/>
      </c>
      <c r="AG554" s="4" t="str">
        <f t="shared" si="121"/>
        <v/>
      </c>
      <c r="AH554" s="4" t="str">
        <f t="shared" si="121"/>
        <v/>
      </c>
      <c r="AI554" s="4" t="str">
        <f t="shared" si="121"/>
        <v/>
      </c>
      <c r="AJ554" s="4" t="str">
        <f t="shared" si="121"/>
        <v/>
      </c>
      <c r="AK554" s="4" t="str">
        <f t="shared" si="121"/>
        <v/>
      </c>
      <c r="AL554" s="4" t="str">
        <f t="shared" si="118"/>
        <v/>
      </c>
      <c r="AM554" s="4" t="str">
        <f t="shared" si="115"/>
        <v/>
      </c>
      <c r="AN554" s="4" t="str">
        <f t="shared" si="115"/>
        <v/>
      </c>
      <c r="AO554" s="4" t="str">
        <f t="shared" si="115"/>
        <v/>
      </c>
      <c r="AP554" s="4" t="str">
        <f t="shared" si="115"/>
        <v/>
      </c>
      <c r="AQ554" s="4" t="str">
        <f t="shared" si="115"/>
        <v/>
      </c>
      <c r="AR554" s="4" t="str">
        <f t="shared" si="115"/>
        <v/>
      </c>
      <c r="AS554" s="5" t="str">
        <f t="shared" si="115"/>
        <v/>
      </c>
      <c r="AT554" s="3" t="str">
        <f t="shared" si="122"/>
        <v/>
      </c>
      <c r="AU554" s="4" t="str">
        <f t="shared" si="122"/>
        <v/>
      </c>
      <c r="AV554" s="4" t="str">
        <f t="shared" si="122"/>
        <v/>
      </c>
      <c r="AW554" s="4" t="str">
        <f t="shared" si="122"/>
        <v/>
      </c>
      <c r="AX554" s="4" t="str">
        <f t="shared" si="122"/>
        <v/>
      </c>
      <c r="AY554" s="4" t="str">
        <f t="shared" si="122"/>
        <v/>
      </c>
      <c r="AZ554" s="4" t="str">
        <f t="shared" si="122"/>
        <v/>
      </c>
      <c r="BA554" s="4" t="str">
        <f t="shared" si="122"/>
        <v/>
      </c>
      <c r="BB554" s="4" t="str">
        <f t="shared" si="119"/>
        <v/>
      </c>
      <c r="BC554" s="4" t="str">
        <f t="shared" si="116"/>
        <v/>
      </c>
      <c r="BD554" s="4" t="str">
        <f t="shared" si="116"/>
        <v/>
      </c>
      <c r="BE554" s="4" t="str">
        <f t="shared" si="116"/>
        <v/>
      </c>
      <c r="BF554" s="4" t="str">
        <f t="shared" si="116"/>
        <v/>
      </c>
      <c r="BG554" s="4" t="str">
        <f t="shared" si="116"/>
        <v/>
      </c>
      <c r="BH554" s="4" t="str">
        <f t="shared" si="116"/>
        <v/>
      </c>
      <c r="BI554" s="5" t="str">
        <f t="shared" si="116"/>
        <v/>
      </c>
    </row>
    <row r="555" spans="1:61" x14ac:dyDescent="0.25">
      <c r="A555">
        <v>598259</v>
      </c>
      <c r="B555" t="s">
        <v>14</v>
      </c>
      <c r="C555" t="s">
        <v>16</v>
      </c>
      <c r="D555">
        <v>65862</v>
      </c>
      <c r="E555">
        <v>357</v>
      </c>
      <c r="F555">
        <v>99</v>
      </c>
      <c r="G555">
        <v>20134</v>
      </c>
      <c r="H555" t="s">
        <v>0</v>
      </c>
      <c r="I555">
        <v>14075</v>
      </c>
      <c r="J555">
        <v>397</v>
      </c>
      <c r="K555">
        <v>8465.25</v>
      </c>
      <c r="L555">
        <v>8263.51</v>
      </c>
      <c r="M555">
        <v>201.74</v>
      </c>
      <c r="N555" s="3" t="str">
        <f t="shared" si="120"/>
        <v/>
      </c>
      <c r="O555" s="4" t="str">
        <f t="shared" si="120"/>
        <v/>
      </c>
      <c r="P555" s="4" t="str">
        <f t="shared" si="120"/>
        <v/>
      </c>
      <c r="Q555" s="4" t="str">
        <f t="shared" si="120"/>
        <v/>
      </c>
      <c r="R555" s="4" t="str">
        <f t="shared" si="120"/>
        <v/>
      </c>
      <c r="S555" s="4" t="str">
        <f t="shared" si="120"/>
        <v/>
      </c>
      <c r="T555" s="4" t="str">
        <f t="shared" si="120"/>
        <v/>
      </c>
      <c r="U555" s="4" t="str">
        <f t="shared" si="120"/>
        <v/>
      </c>
      <c r="V555" s="4" t="str">
        <f t="shared" si="117"/>
        <v/>
      </c>
      <c r="W555" s="4" t="str">
        <f t="shared" si="114"/>
        <v/>
      </c>
      <c r="X555" s="4" t="str">
        <f t="shared" si="114"/>
        <v/>
      </c>
      <c r="Y555" s="4" t="str">
        <f t="shared" si="114"/>
        <v/>
      </c>
      <c r="Z555" s="4" t="str">
        <f t="shared" si="114"/>
        <v/>
      </c>
      <c r="AA555" s="4" t="str">
        <f t="shared" si="114"/>
        <v/>
      </c>
      <c r="AB555" s="4" t="str">
        <f t="shared" si="114"/>
        <v/>
      </c>
      <c r="AC555" s="5" t="str">
        <f t="shared" si="114"/>
        <v/>
      </c>
      <c r="AD555" s="3" t="str">
        <f t="shared" si="121"/>
        <v/>
      </c>
      <c r="AE555" s="4" t="str">
        <f t="shared" si="121"/>
        <v/>
      </c>
      <c r="AF555" s="4" t="str">
        <f t="shared" si="121"/>
        <v/>
      </c>
      <c r="AG555" s="4" t="str">
        <f t="shared" si="121"/>
        <v/>
      </c>
      <c r="AH555" s="4" t="str">
        <f t="shared" si="121"/>
        <v/>
      </c>
      <c r="AI555" s="4" t="str">
        <f t="shared" si="121"/>
        <v/>
      </c>
      <c r="AJ555" s="4" t="str">
        <f t="shared" si="121"/>
        <v/>
      </c>
      <c r="AK555" s="4" t="str">
        <f t="shared" si="121"/>
        <v/>
      </c>
      <c r="AL555" s="4" t="str">
        <f t="shared" si="118"/>
        <v/>
      </c>
      <c r="AM555" s="4" t="str">
        <f t="shared" si="115"/>
        <v/>
      </c>
      <c r="AN555" s="4" t="str">
        <f t="shared" si="115"/>
        <v/>
      </c>
      <c r="AO555" s="4" t="str">
        <f t="shared" si="115"/>
        <v/>
      </c>
      <c r="AP555" s="4" t="str">
        <f t="shared" si="115"/>
        <v/>
      </c>
      <c r="AQ555" s="4" t="str">
        <f t="shared" si="115"/>
        <v/>
      </c>
      <c r="AR555" s="4" t="str">
        <f t="shared" si="115"/>
        <v/>
      </c>
      <c r="AS555" s="5" t="str">
        <f t="shared" si="115"/>
        <v/>
      </c>
      <c r="AT555" s="3" t="str">
        <f t="shared" si="122"/>
        <v/>
      </c>
      <c r="AU555" s="4" t="str">
        <f t="shared" si="122"/>
        <v/>
      </c>
      <c r="AV555" s="4" t="str">
        <f t="shared" si="122"/>
        <v/>
      </c>
      <c r="AW555" s="4">
        <f t="shared" si="122"/>
        <v>1</v>
      </c>
      <c r="AX555" s="4" t="str">
        <f t="shared" si="122"/>
        <v/>
      </c>
      <c r="AY555" s="4" t="str">
        <f t="shared" si="122"/>
        <v/>
      </c>
      <c r="AZ555" s="4" t="str">
        <f t="shared" si="122"/>
        <v/>
      </c>
      <c r="BA555" s="4" t="str">
        <f t="shared" si="122"/>
        <v/>
      </c>
      <c r="BB555" s="4" t="str">
        <f t="shared" si="119"/>
        <v/>
      </c>
      <c r="BC555" s="4" t="str">
        <f t="shared" si="116"/>
        <v/>
      </c>
      <c r="BD555" s="4" t="str">
        <f t="shared" si="116"/>
        <v/>
      </c>
      <c r="BE555" s="4" t="str">
        <f t="shared" si="116"/>
        <v/>
      </c>
      <c r="BF555" s="4" t="str">
        <f t="shared" si="116"/>
        <v/>
      </c>
      <c r="BG555" s="4" t="str">
        <f t="shared" si="116"/>
        <v/>
      </c>
      <c r="BH555" s="4" t="str">
        <f t="shared" si="116"/>
        <v/>
      </c>
      <c r="BI555" s="5" t="str">
        <f t="shared" si="116"/>
        <v/>
      </c>
    </row>
    <row r="556" spans="1:61" x14ac:dyDescent="0.25">
      <c r="A556">
        <v>725149</v>
      </c>
      <c r="B556" t="s">
        <v>15</v>
      </c>
      <c r="C556" t="s">
        <v>16</v>
      </c>
      <c r="D556">
        <v>65862</v>
      </c>
      <c r="E556">
        <v>357</v>
      </c>
      <c r="F556">
        <v>5</v>
      </c>
      <c r="G556">
        <v>20131</v>
      </c>
      <c r="H556" t="s">
        <v>0</v>
      </c>
      <c r="I556">
        <v>322937</v>
      </c>
      <c r="J556">
        <v>10748</v>
      </c>
      <c r="K556">
        <v>409359.91</v>
      </c>
      <c r="L556">
        <v>396631.41</v>
      </c>
      <c r="M556">
        <v>12728.5</v>
      </c>
      <c r="N556" s="3" t="str">
        <f t="shared" si="120"/>
        <v/>
      </c>
      <c r="O556" s="4" t="str">
        <f t="shared" si="120"/>
        <v/>
      </c>
      <c r="P556" s="4" t="str">
        <f t="shared" si="120"/>
        <v/>
      </c>
      <c r="Q556" s="4" t="str">
        <f t="shared" si="120"/>
        <v/>
      </c>
      <c r="R556" s="4" t="str">
        <f t="shared" si="120"/>
        <v/>
      </c>
      <c r="S556" s="4" t="str">
        <f t="shared" si="120"/>
        <v/>
      </c>
      <c r="T556" s="4" t="str">
        <f t="shared" si="120"/>
        <v/>
      </c>
      <c r="U556" s="4" t="str">
        <f t="shared" si="120"/>
        <v/>
      </c>
      <c r="V556" s="4" t="str">
        <f t="shared" si="117"/>
        <v/>
      </c>
      <c r="W556" s="4" t="str">
        <f t="shared" si="114"/>
        <v/>
      </c>
      <c r="X556" s="4" t="str">
        <f t="shared" si="114"/>
        <v/>
      </c>
      <c r="Y556" s="4" t="str">
        <f t="shared" si="114"/>
        <v/>
      </c>
      <c r="Z556" s="4" t="str">
        <f t="shared" si="114"/>
        <v/>
      </c>
      <c r="AA556" s="4" t="str">
        <f t="shared" si="114"/>
        <v/>
      </c>
      <c r="AB556" s="4" t="str">
        <f t="shared" si="114"/>
        <v/>
      </c>
      <c r="AC556" s="5" t="str">
        <f t="shared" si="114"/>
        <v/>
      </c>
      <c r="AD556" s="3" t="str">
        <f t="shared" si="121"/>
        <v/>
      </c>
      <c r="AE556" s="4" t="str">
        <f t="shared" si="121"/>
        <v/>
      </c>
      <c r="AF556" s="4" t="str">
        <f t="shared" si="121"/>
        <v/>
      </c>
      <c r="AG556" s="4" t="str">
        <f t="shared" si="121"/>
        <v/>
      </c>
      <c r="AH556" s="4" t="str">
        <f t="shared" si="121"/>
        <v/>
      </c>
      <c r="AI556" s="4" t="str">
        <f t="shared" si="121"/>
        <v/>
      </c>
      <c r="AJ556" s="4" t="str">
        <f t="shared" si="121"/>
        <v/>
      </c>
      <c r="AK556" s="4" t="str">
        <f t="shared" si="121"/>
        <v/>
      </c>
      <c r="AL556" s="4" t="str">
        <f t="shared" si="118"/>
        <v/>
      </c>
      <c r="AM556" s="4" t="str">
        <f t="shared" si="115"/>
        <v/>
      </c>
      <c r="AN556" s="4" t="str">
        <f t="shared" si="115"/>
        <v/>
      </c>
      <c r="AO556" s="4" t="str">
        <f t="shared" si="115"/>
        <v/>
      </c>
      <c r="AP556" s="4" t="str">
        <f t="shared" si="115"/>
        <v/>
      </c>
      <c r="AQ556" s="4" t="str">
        <f t="shared" si="115"/>
        <v/>
      </c>
      <c r="AR556" s="4" t="str">
        <f t="shared" si="115"/>
        <v/>
      </c>
      <c r="AS556" s="5" t="str">
        <f t="shared" si="115"/>
        <v/>
      </c>
      <c r="AT556" s="3" t="str">
        <f t="shared" si="122"/>
        <v/>
      </c>
      <c r="AU556" s="4" t="str">
        <f t="shared" si="122"/>
        <v/>
      </c>
      <c r="AV556" s="4" t="str">
        <f t="shared" si="122"/>
        <v/>
      </c>
      <c r="AW556" s="4" t="str">
        <f t="shared" si="122"/>
        <v/>
      </c>
      <c r="AX556" s="4">
        <f t="shared" si="122"/>
        <v>1</v>
      </c>
      <c r="AY556" s="4" t="str">
        <f t="shared" si="122"/>
        <v/>
      </c>
      <c r="AZ556" s="4" t="str">
        <f t="shared" si="122"/>
        <v/>
      </c>
      <c r="BA556" s="4" t="str">
        <f t="shared" si="122"/>
        <v/>
      </c>
      <c r="BB556" s="4" t="str">
        <f t="shared" si="119"/>
        <v/>
      </c>
      <c r="BC556" s="4" t="str">
        <f t="shared" si="116"/>
        <v/>
      </c>
      <c r="BD556" s="4" t="str">
        <f t="shared" si="116"/>
        <v/>
      </c>
      <c r="BE556" s="4" t="str">
        <f t="shared" si="116"/>
        <v/>
      </c>
      <c r="BF556" s="4" t="str">
        <f t="shared" si="116"/>
        <v/>
      </c>
      <c r="BG556" s="4" t="str">
        <f t="shared" si="116"/>
        <v/>
      </c>
      <c r="BH556" s="4" t="str">
        <f t="shared" si="116"/>
        <v/>
      </c>
      <c r="BI556" s="5" t="str">
        <f t="shared" si="116"/>
        <v/>
      </c>
    </row>
    <row r="557" spans="1:61" x14ac:dyDescent="0.25">
      <c r="A557">
        <v>725150</v>
      </c>
      <c r="B557" t="s">
        <v>15</v>
      </c>
      <c r="C557" t="s">
        <v>16</v>
      </c>
      <c r="D557">
        <v>65862</v>
      </c>
      <c r="E557">
        <v>357</v>
      </c>
      <c r="F557">
        <v>5</v>
      </c>
      <c r="G557">
        <v>20132</v>
      </c>
      <c r="H557" t="s">
        <v>0</v>
      </c>
      <c r="I557">
        <v>382806.03</v>
      </c>
      <c r="J557">
        <v>12589</v>
      </c>
      <c r="K557">
        <v>364507.04</v>
      </c>
      <c r="L557">
        <v>355960.93</v>
      </c>
      <c r="M557">
        <v>8546.11</v>
      </c>
      <c r="N557" s="3" t="str">
        <f t="shared" si="120"/>
        <v/>
      </c>
      <c r="O557" s="4" t="str">
        <f t="shared" si="120"/>
        <v/>
      </c>
      <c r="P557" s="4" t="str">
        <f t="shared" si="120"/>
        <v/>
      </c>
      <c r="Q557" s="4" t="str">
        <f t="shared" si="120"/>
        <v/>
      </c>
      <c r="R557" s="4" t="str">
        <f t="shared" si="120"/>
        <v/>
      </c>
      <c r="S557" s="4" t="str">
        <f t="shared" si="120"/>
        <v/>
      </c>
      <c r="T557" s="4" t="str">
        <f t="shared" si="120"/>
        <v/>
      </c>
      <c r="U557" s="4" t="str">
        <f t="shared" si="120"/>
        <v/>
      </c>
      <c r="V557" s="4" t="str">
        <f t="shared" si="117"/>
        <v/>
      </c>
      <c r="W557" s="4" t="str">
        <f t="shared" si="114"/>
        <v/>
      </c>
      <c r="X557" s="4" t="str">
        <f t="shared" si="114"/>
        <v/>
      </c>
      <c r="Y557" s="4" t="str">
        <f t="shared" ref="W557:AC593" si="123">IF(AND($B557=Y$3, $G557=Y$2, LEFT($H557, 6)=Y$1), 1, "")</f>
        <v/>
      </c>
      <c r="Z557" s="4" t="str">
        <f t="shared" si="123"/>
        <v/>
      </c>
      <c r="AA557" s="4" t="str">
        <f t="shared" si="123"/>
        <v/>
      </c>
      <c r="AB557" s="4" t="str">
        <f t="shared" si="123"/>
        <v/>
      </c>
      <c r="AC557" s="5" t="str">
        <f t="shared" si="123"/>
        <v/>
      </c>
      <c r="AD557" s="3" t="str">
        <f t="shared" si="121"/>
        <v/>
      </c>
      <c r="AE557" s="4" t="str">
        <f t="shared" si="121"/>
        <v/>
      </c>
      <c r="AF557" s="4" t="str">
        <f t="shared" si="121"/>
        <v/>
      </c>
      <c r="AG557" s="4" t="str">
        <f t="shared" si="121"/>
        <v/>
      </c>
      <c r="AH557" s="4" t="str">
        <f t="shared" si="121"/>
        <v/>
      </c>
      <c r="AI557" s="4" t="str">
        <f t="shared" si="121"/>
        <v/>
      </c>
      <c r="AJ557" s="4" t="str">
        <f t="shared" si="121"/>
        <v/>
      </c>
      <c r="AK557" s="4" t="str">
        <f t="shared" si="121"/>
        <v/>
      </c>
      <c r="AL557" s="4" t="str">
        <f t="shared" si="118"/>
        <v/>
      </c>
      <c r="AM557" s="4" t="str">
        <f t="shared" si="115"/>
        <v/>
      </c>
      <c r="AN557" s="4" t="str">
        <f t="shared" si="115"/>
        <v/>
      </c>
      <c r="AO557" s="4" t="str">
        <f t="shared" ref="AM557:AS593" si="124">IF(AND($B557=AO$3, $G557=AO$2, LEFT($H557, 6)=AO$1), 1, "")</f>
        <v/>
      </c>
      <c r="AP557" s="4" t="str">
        <f t="shared" si="124"/>
        <v/>
      </c>
      <c r="AQ557" s="4" t="str">
        <f t="shared" si="124"/>
        <v/>
      </c>
      <c r="AR557" s="4" t="str">
        <f t="shared" si="124"/>
        <v/>
      </c>
      <c r="AS557" s="5" t="str">
        <f t="shared" si="124"/>
        <v/>
      </c>
      <c r="AT557" s="3" t="str">
        <f t="shared" si="122"/>
        <v/>
      </c>
      <c r="AU557" s="4" t="str">
        <f t="shared" si="122"/>
        <v/>
      </c>
      <c r="AV557" s="4" t="str">
        <f t="shared" si="122"/>
        <v/>
      </c>
      <c r="AW557" s="4" t="str">
        <f t="shared" si="122"/>
        <v/>
      </c>
      <c r="AX557" s="4" t="str">
        <f t="shared" si="122"/>
        <v/>
      </c>
      <c r="AY557" s="4">
        <f t="shared" si="122"/>
        <v>1</v>
      </c>
      <c r="AZ557" s="4" t="str">
        <f t="shared" si="122"/>
        <v/>
      </c>
      <c r="BA557" s="4" t="str">
        <f t="shared" si="122"/>
        <v/>
      </c>
      <c r="BB557" s="4" t="str">
        <f t="shared" si="119"/>
        <v/>
      </c>
      <c r="BC557" s="4" t="str">
        <f t="shared" si="116"/>
        <v/>
      </c>
      <c r="BD557" s="4" t="str">
        <f t="shared" si="116"/>
        <v/>
      </c>
      <c r="BE557" s="4" t="str">
        <f t="shared" ref="BC557:BI593" si="125">IF(AND($B557=BE$3, $G557=BE$2, LEFT($H557, 6)=BE$1), 1, "")</f>
        <v/>
      </c>
      <c r="BF557" s="4" t="str">
        <f t="shared" si="125"/>
        <v/>
      </c>
      <c r="BG557" s="4" t="str">
        <f t="shared" si="125"/>
        <v/>
      </c>
      <c r="BH557" s="4" t="str">
        <f t="shared" si="125"/>
        <v/>
      </c>
      <c r="BI557" s="5" t="str">
        <f t="shared" si="125"/>
        <v/>
      </c>
    </row>
    <row r="558" spans="1:61" x14ac:dyDescent="0.25">
      <c r="A558">
        <v>725151</v>
      </c>
      <c r="B558" t="s">
        <v>15</v>
      </c>
      <c r="C558" t="s">
        <v>16</v>
      </c>
      <c r="D558">
        <v>65862</v>
      </c>
      <c r="E558">
        <v>357</v>
      </c>
      <c r="F558">
        <v>5</v>
      </c>
      <c r="G558">
        <v>20133</v>
      </c>
      <c r="H558" t="s">
        <v>0</v>
      </c>
      <c r="I558">
        <v>299524</v>
      </c>
      <c r="J558">
        <v>9916</v>
      </c>
      <c r="K558">
        <v>230029.15</v>
      </c>
      <c r="L558">
        <v>228870.78</v>
      </c>
      <c r="M558">
        <v>1158.3699999999999</v>
      </c>
      <c r="N558" s="3" t="str">
        <f t="shared" si="120"/>
        <v/>
      </c>
      <c r="O558" s="4" t="str">
        <f t="shared" si="120"/>
        <v/>
      </c>
      <c r="P558" s="4" t="str">
        <f t="shared" si="120"/>
        <v/>
      </c>
      <c r="Q558" s="4" t="str">
        <f t="shared" si="120"/>
        <v/>
      </c>
      <c r="R558" s="4" t="str">
        <f t="shared" si="120"/>
        <v/>
      </c>
      <c r="S558" s="4" t="str">
        <f t="shared" si="120"/>
        <v/>
      </c>
      <c r="T558" s="4" t="str">
        <f t="shared" si="120"/>
        <v/>
      </c>
      <c r="U558" s="4" t="str">
        <f t="shared" si="120"/>
        <v/>
      </c>
      <c r="V558" s="4" t="str">
        <f t="shared" si="117"/>
        <v/>
      </c>
      <c r="W558" s="4" t="str">
        <f t="shared" si="123"/>
        <v/>
      </c>
      <c r="X558" s="4" t="str">
        <f t="shared" si="123"/>
        <v/>
      </c>
      <c r="Y558" s="4" t="str">
        <f t="shared" si="123"/>
        <v/>
      </c>
      <c r="Z558" s="4" t="str">
        <f t="shared" si="123"/>
        <v/>
      </c>
      <c r="AA558" s="4" t="str">
        <f t="shared" si="123"/>
        <v/>
      </c>
      <c r="AB558" s="4" t="str">
        <f t="shared" si="123"/>
        <v/>
      </c>
      <c r="AC558" s="5" t="str">
        <f t="shared" si="123"/>
        <v/>
      </c>
      <c r="AD558" s="3" t="str">
        <f t="shared" si="121"/>
        <v/>
      </c>
      <c r="AE558" s="4" t="str">
        <f t="shared" si="121"/>
        <v/>
      </c>
      <c r="AF558" s="4" t="str">
        <f t="shared" si="121"/>
        <v/>
      </c>
      <c r="AG558" s="4" t="str">
        <f t="shared" si="121"/>
        <v/>
      </c>
      <c r="AH558" s="4" t="str">
        <f t="shared" si="121"/>
        <v/>
      </c>
      <c r="AI558" s="4" t="str">
        <f t="shared" si="121"/>
        <v/>
      </c>
      <c r="AJ558" s="4" t="str">
        <f t="shared" si="121"/>
        <v/>
      </c>
      <c r="AK558" s="4" t="str">
        <f t="shared" si="121"/>
        <v/>
      </c>
      <c r="AL558" s="4" t="str">
        <f t="shared" si="118"/>
        <v/>
      </c>
      <c r="AM558" s="4" t="str">
        <f t="shared" si="124"/>
        <v/>
      </c>
      <c r="AN558" s="4" t="str">
        <f t="shared" si="124"/>
        <v/>
      </c>
      <c r="AO558" s="4" t="str">
        <f t="shared" si="124"/>
        <v/>
      </c>
      <c r="AP558" s="4" t="str">
        <f t="shared" si="124"/>
        <v/>
      </c>
      <c r="AQ558" s="4" t="str">
        <f t="shared" si="124"/>
        <v/>
      </c>
      <c r="AR558" s="4" t="str">
        <f t="shared" si="124"/>
        <v/>
      </c>
      <c r="AS558" s="5" t="str">
        <f t="shared" si="124"/>
        <v/>
      </c>
      <c r="AT558" s="3" t="str">
        <f t="shared" si="122"/>
        <v/>
      </c>
      <c r="AU558" s="4" t="str">
        <f t="shared" si="122"/>
        <v/>
      </c>
      <c r="AV558" s="4" t="str">
        <f t="shared" si="122"/>
        <v/>
      </c>
      <c r="AW558" s="4" t="str">
        <f t="shared" si="122"/>
        <v/>
      </c>
      <c r="AX558" s="4" t="str">
        <f t="shared" si="122"/>
        <v/>
      </c>
      <c r="AY558" s="4" t="str">
        <f t="shared" si="122"/>
        <v/>
      </c>
      <c r="AZ558" s="4">
        <f t="shared" si="122"/>
        <v>1</v>
      </c>
      <c r="BA558" s="4" t="str">
        <f t="shared" si="122"/>
        <v/>
      </c>
      <c r="BB558" s="4" t="str">
        <f t="shared" si="119"/>
        <v/>
      </c>
      <c r="BC558" s="4" t="str">
        <f t="shared" si="125"/>
        <v/>
      </c>
      <c r="BD558" s="4" t="str">
        <f t="shared" si="125"/>
        <v/>
      </c>
      <c r="BE558" s="4" t="str">
        <f t="shared" si="125"/>
        <v/>
      </c>
      <c r="BF558" s="4" t="str">
        <f t="shared" si="125"/>
        <v/>
      </c>
      <c r="BG558" s="4" t="str">
        <f t="shared" si="125"/>
        <v/>
      </c>
      <c r="BH558" s="4" t="str">
        <f t="shared" si="125"/>
        <v/>
      </c>
      <c r="BI558" s="5" t="str">
        <f t="shared" si="125"/>
        <v/>
      </c>
    </row>
    <row r="559" spans="1:61" x14ac:dyDescent="0.25">
      <c r="A559">
        <v>725152</v>
      </c>
      <c r="B559" t="s">
        <v>15</v>
      </c>
      <c r="C559" t="s">
        <v>16</v>
      </c>
      <c r="D559">
        <v>65862</v>
      </c>
      <c r="E559">
        <v>357</v>
      </c>
      <c r="F559">
        <v>5</v>
      </c>
      <c r="G559">
        <v>20134</v>
      </c>
      <c r="H559" t="s">
        <v>0</v>
      </c>
      <c r="I559">
        <v>340818</v>
      </c>
      <c r="J559">
        <v>11323</v>
      </c>
      <c r="K559">
        <v>251862.47</v>
      </c>
      <c r="L559">
        <v>249704.6</v>
      </c>
      <c r="M559">
        <v>2157.87</v>
      </c>
      <c r="N559" s="3" t="str">
        <f t="shared" si="120"/>
        <v/>
      </c>
      <c r="O559" s="4" t="str">
        <f t="shared" si="120"/>
        <v/>
      </c>
      <c r="P559" s="4" t="str">
        <f t="shared" si="120"/>
        <v/>
      </c>
      <c r="Q559" s="4" t="str">
        <f t="shared" si="120"/>
        <v/>
      </c>
      <c r="R559" s="4" t="str">
        <f t="shared" si="120"/>
        <v/>
      </c>
      <c r="S559" s="4" t="str">
        <f t="shared" si="120"/>
        <v/>
      </c>
      <c r="T559" s="4" t="str">
        <f t="shared" si="120"/>
        <v/>
      </c>
      <c r="U559" s="4" t="str">
        <f t="shared" si="120"/>
        <v/>
      </c>
      <c r="V559" s="4" t="str">
        <f t="shared" si="117"/>
        <v/>
      </c>
      <c r="W559" s="4" t="str">
        <f t="shared" si="123"/>
        <v/>
      </c>
      <c r="X559" s="4" t="str">
        <f t="shared" si="123"/>
        <v/>
      </c>
      <c r="Y559" s="4" t="str">
        <f t="shared" si="123"/>
        <v/>
      </c>
      <c r="Z559" s="4" t="str">
        <f t="shared" si="123"/>
        <v/>
      </c>
      <c r="AA559" s="4" t="str">
        <f t="shared" si="123"/>
        <v/>
      </c>
      <c r="AB559" s="4" t="str">
        <f t="shared" si="123"/>
        <v/>
      </c>
      <c r="AC559" s="5" t="str">
        <f t="shared" si="123"/>
        <v/>
      </c>
      <c r="AD559" s="3" t="str">
        <f t="shared" si="121"/>
        <v/>
      </c>
      <c r="AE559" s="4" t="str">
        <f t="shared" si="121"/>
        <v/>
      </c>
      <c r="AF559" s="4" t="str">
        <f t="shared" si="121"/>
        <v/>
      </c>
      <c r="AG559" s="4" t="str">
        <f t="shared" si="121"/>
        <v/>
      </c>
      <c r="AH559" s="4" t="str">
        <f t="shared" si="121"/>
        <v/>
      </c>
      <c r="AI559" s="4" t="str">
        <f t="shared" si="121"/>
        <v/>
      </c>
      <c r="AJ559" s="4" t="str">
        <f t="shared" si="121"/>
        <v/>
      </c>
      <c r="AK559" s="4" t="str">
        <f t="shared" si="121"/>
        <v/>
      </c>
      <c r="AL559" s="4" t="str">
        <f t="shared" si="118"/>
        <v/>
      </c>
      <c r="AM559" s="4" t="str">
        <f t="shared" si="124"/>
        <v/>
      </c>
      <c r="AN559" s="4" t="str">
        <f t="shared" si="124"/>
        <v/>
      </c>
      <c r="AO559" s="4" t="str">
        <f t="shared" si="124"/>
        <v/>
      </c>
      <c r="AP559" s="4" t="str">
        <f t="shared" si="124"/>
        <v/>
      </c>
      <c r="AQ559" s="4" t="str">
        <f t="shared" si="124"/>
        <v/>
      </c>
      <c r="AR559" s="4" t="str">
        <f t="shared" si="124"/>
        <v/>
      </c>
      <c r="AS559" s="5" t="str">
        <f t="shared" si="124"/>
        <v/>
      </c>
      <c r="AT559" s="3" t="str">
        <f t="shared" si="122"/>
        <v/>
      </c>
      <c r="AU559" s="4" t="str">
        <f t="shared" si="122"/>
        <v/>
      </c>
      <c r="AV559" s="4" t="str">
        <f t="shared" si="122"/>
        <v/>
      </c>
      <c r="AW559" s="4" t="str">
        <f t="shared" si="122"/>
        <v/>
      </c>
      <c r="AX559" s="4" t="str">
        <f t="shared" si="122"/>
        <v/>
      </c>
      <c r="AY559" s="4" t="str">
        <f t="shared" si="122"/>
        <v/>
      </c>
      <c r="AZ559" s="4" t="str">
        <f t="shared" si="122"/>
        <v/>
      </c>
      <c r="BA559" s="4">
        <f t="shared" si="122"/>
        <v>1</v>
      </c>
      <c r="BB559" s="4" t="str">
        <f t="shared" si="119"/>
        <v/>
      </c>
      <c r="BC559" s="4" t="str">
        <f t="shared" si="125"/>
        <v/>
      </c>
      <c r="BD559" s="4" t="str">
        <f t="shared" si="125"/>
        <v/>
      </c>
      <c r="BE559" s="4" t="str">
        <f t="shared" si="125"/>
        <v/>
      </c>
      <c r="BF559" s="4" t="str">
        <f t="shared" si="125"/>
        <v/>
      </c>
      <c r="BG559" s="4" t="str">
        <f t="shared" si="125"/>
        <v/>
      </c>
      <c r="BH559" s="4" t="str">
        <f t="shared" si="125"/>
        <v/>
      </c>
      <c r="BI559" s="5" t="str">
        <f t="shared" si="125"/>
        <v/>
      </c>
    </row>
    <row r="560" spans="1:61" x14ac:dyDescent="0.25">
      <c r="A560">
        <v>725153</v>
      </c>
      <c r="B560" t="s">
        <v>15</v>
      </c>
      <c r="C560" t="s">
        <v>16</v>
      </c>
      <c r="D560">
        <v>65862</v>
      </c>
      <c r="E560">
        <v>357</v>
      </c>
      <c r="F560">
        <v>30</v>
      </c>
      <c r="G560">
        <v>20131</v>
      </c>
      <c r="H560" t="s">
        <v>0</v>
      </c>
      <c r="I560">
        <v>174231</v>
      </c>
      <c r="J560">
        <v>5746</v>
      </c>
      <c r="K560">
        <v>249359.66</v>
      </c>
      <c r="L560">
        <v>231455.28</v>
      </c>
      <c r="M560">
        <v>17904.38</v>
      </c>
      <c r="N560" s="3" t="str">
        <f t="shared" si="120"/>
        <v/>
      </c>
      <c r="O560" s="4" t="str">
        <f t="shared" si="120"/>
        <v/>
      </c>
      <c r="P560" s="4" t="str">
        <f t="shared" si="120"/>
        <v/>
      </c>
      <c r="Q560" s="4" t="str">
        <f t="shared" si="120"/>
        <v/>
      </c>
      <c r="R560" s="4" t="str">
        <f t="shared" si="120"/>
        <v/>
      </c>
      <c r="S560" s="4" t="str">
        <f t="shared" si="120"/>
        <v/>
      </c>
      <c r="T560" s="4" t="str">
        <f t="shared" si="120"/>
        <v/>
      </c>
      <c r="U560" s="4" t="str">
        <f t="shared" si="120"/>
        <v/>
      </c>
      <c r="V560" s="4" t="str">
        <f t="shared" si="117"/>
        <v/>
      </c>
      <c r="W560" s="4" t="str">
        <f t="shared" si="123"/>
        <v/>
      </c>
      <c r="X560" s="4" t="str">
        <f t="shared" si="123"/>
        <v/>
      </c>
      <c r="Y560" s="4" t="str">
        <f t="shared" si="123"/>
        <v/>
      </c>
      <c r="Z560" s="4" t="str">
        <f t="shared" si="123"/>
        <v/>
      </c>
      <c r="AA560" s="4" t="str">
        <f t="shared" si="123"/>
        <v/>
      </c>
      <c r="AB560" s="4" t="str">
        <f t="shared" si="123"/>
        <v/>
      </c>
      <c r="AC560" s="5" t="str">
        <f t="shared" si="123"/>
        <v/>
      </c>
      <c r="AD560" s="3" t="str">
        <f t="shared" si="121"/>
        <v/>
      </c>
      <c r="AE560" s="4" t="str">
        <f t="shared" si="121"/>
        <v/>
      </c>
      <c r="AF560" s="4" t="str">
        <f t="shared" si="121"/>
        <v/>
      </c>
      <c r="AG560" s="4" t="str">
        <f t="shared" si="121"/>
        <v/>
      </c>
      <c r="AH560" s="4" t="str">
        <f t="shared" si="121"/>
        <v/>
      </c>
      <c r="AI560" s="4" t="str">
        <f t="shared" si="121"/>
        <v/>
      </c>
      <c r="AJ560" s="4" t="str">
        <f t="shared" si="121"/>
        <v/>
      </c>
      <c r="AK560" s="4" t="str">
        <f t="shared" si="121"/>
        <v/>
      </c>
      <c r="AL560" s="4" t="str">
        <f t="shared" si="118"/>
        <v/>
      </c>
      <c r="AM560" s="4" t="str">
        <f t="shared" si="124"/>
        <v/>
      </c>
      <c r="AN560" s="4" t="str">
        <f t="shared" si="124"/>
        <v/>
      </c>
      <c r="AO560" s="4" t="str">
        <f t="shared" si="124"/>
        <v/>
      </c>
      <c r="AP560" s="4" t="str">
        <f t="shared" si="124"/>
        <v/>
      </c>
      <c r="AQ560" s="4" t="str">
        <f t="shared" si="124"/>
        <v/>
      </c>
      <c r="AR560" s="4" t="str">
        <f t="shared" si="124"/>
        <v/>
      </c>
      <c r="AS560" s="5" t="str">
        <f t="shared" si="124"/>
        <v/>
      </c>
      <c r="AT560" s="3" t="str">
        <f t="shared" si="122"/>
        <v/>
      </c>
      <c r="AU560" s="4" t="str">
        <f t="shared" si="122"/>
        <v/>
      </c>
      <c r="AV560" s="4" t="str">
        <f t="shared" si="122"/>
        <v/>
      </c>
      <c r="AW560" s="4" t="str">
        <f t="shared" si="122"/>
        <v/>
      </c>
      <c r="AX560" s="4">
        <f t="shared" si="122"/>
        <v>1</v>
      </c>
      <c r="AY560" s="4" t="str">
        <f t="shared" si="122"/>
        <v/>
      </c>
      <c r="AZ560" s="4" t="str">
        <f t="shared" si="122"/>
        <v/>
      </c>
      <c r="BA560" s="4" t="str">
        <f t="shared" si="122"/>
        <v/>
      </c>
      <c r="BB560" s="4" t="str">
        <f t="shared" si="119"/>
        <v/>
      </c>
      <c r="BC560" s="4" t="str">
        <f t="shared" si="125"/>
        <v/>
      </c>
      <c r="BD560" s="4" t="str">
        <f t="shared" si="125"/>
        <v/>
      </c>
      <c r="BE560" s="4" t="str">
        <f t="shared" si="125"/>
        <v/>
      </c>
      <c r="BF560" s="4" t="str">
        <f t="shared" si="125"/>
        <v/>
      </c>
      <c r="BG560" s="4" t="str">
        <f t="shared" si="125"/>
        <v/>
      </c>
      <c r="BH560" s="4" t="str">
        <f t="shared" si="125"/>
        <v/>
      </c>
      <c r="BI560" s="5" t="str">
        <f t="shared" si="125"/>
        <v/>
      </c>
    </row>
    <row r="561" spans="1:61" x14ac:dyDescent="0.25">
      <c r="A561">
        <v>725154</v>
      </c>
      <c r="B561" t="s">
        <v>15</v>
      </c>
      <c r="C561" t="s">
        <v>16</v>
      </c>
      <c r="D561">
        <v>65862</v>
      </c>
      <c r="E561">
        <v>357</v>
      </c>
      <c r="F561">
        <v>30</v>
      </c>
      <c r="G561">
        <v>20132</v>
      </c>
      <c r="H561" t="s">
        <v>0</v>
      </c>
      <c r="I561">
        <v>717445</v>
      </c>
      <c r="J561">
        <v>23310</v>
      </c>
      <c r="K561">
        <v>601729.97</v>
      </c>
      <c r="L561">
        <v>595139.11</v>
      </c>
      <c r="M561">
        <v>6590.86</v>
      </c>
      <c r="N561" s="3" t="str">
        <f t="shared" si="120"/>
        <v/>
      </c>
      <c r="O561" s="4" t="str">
        <f t="shared" si="120"/>
        <v/>
      </c>
      <c r="P561" s="4" t="str">
        <f t="shared" si="120"/>
        <v/>
      </c>
      <c r="Q561" s="4" t="str">
        <f t="shared" si="120"/>
        <v/>
      </c>
      <c r="R561" s="4" t="str">
        <f t="shared" si="120"/>
        <v/>
      </c>
      <c r="S561" s="4" t="str">
        <f t="shared" si="120"/>
        <v/>
      </c>
      <c r="T561" s="4" t="str">
        <f t="shared" si="120"/>
        <v/>
      </c>
      <c r="U561" s="4" t="str">
        <f t="shared" ref="N561:U593" si="126">IF(AND($B561=U$3, $G561=U$2, $H561=U$1), 1, "")</f>
        <v/>
      </c>
      <c r="V561" s="4" t="str">
        <f t="shared" si="117"/>
        <v/>
      </c>
      <c r="W561" s="4" t="str">
        <f t="shared" si="123"/>
        <v/>
      </c>
      <c r="X561" s="4" t="str">
        <f t="shared" si="123"/>
        <v/>
      </c>
      <c r="Y561" s="4" t="str">
        <f t="shared" si="123"/>
        <v/>
      </c>
      <c r="Z561" s="4" t="str">
        <f t="shared" si="123"/>
        <v/>
      </c>
      <c r="AA561" s="4" t="str">
        <f t="shared" si="123"/>
        <v/>
      </c>
      <c r="AB561" s="4" t="str">
        <f t="shared" si="123"/>
        <v/>
      </c>
      <c r="AC561" s="5" t="str">
        <f t="shared" si="123"/>
        <v/>
      </c>
      <c r="AD561" s="3" t="str">
        <f t="shared" si="121"/>
        <v/>
      </c>
      <c r="AE561" s="4" t="str">
        <f t="shared" si="121"/>
        <v/>
      </c>
      <c r="AF561" s="4" t="str">
        <f t="shared" si="121"/>
        <v/>
      </c>
      <c r="AG561" s="4" t="str">
        <f t="shared" si="121"/>
        <v/>
      </c>
      <c r="AH561" s="4" t="str">
        <f t="shared" si="121"/>
        <v/>
      </c>
      <c r="AI561" s="4" t="str">
        <f t="shared" si="121"/>
        <v/>
      </c>
      <c r="AJ561" s="4" t="str">
        <f t="shared" si="121"/>
        <v/>
      </c>
      <c r="AK561" s="4" t="str">
        <f t="shared" ref="AD561:AK593" si="127">IF(AND($B561=AK$3, $G561=AK$2, $H561=AK$1), 1, "")</f>
        <v/>
      </c>
      <c r="AL561" s="4" t="str">
        <f t="shared" si="118"/>
        <v/>
      </c>
      <c r="AM561" s="4" t="str">
        <f t="shared" si="124"/>
        <v/>
      </c>
      <c r="AN561" s="4" t="str">
        <f t="shared" si="124"/>
        <v/>
      </c>
      <c r="AO561" s="4" t="str">
        <f t="shared" si="124"/>
        <v/>
      </c>
      <c r="AP561" s="4" t="str">
        <f t="shared" si="124"/>
        <v/>
      </c>
      <c r="AQ561" s="4" t="str">
        <f t="shared" si="124"/>
        <v/>
      </c>
      <c r="AR561" s="4" t="str">
        <f t="shared" si="124"/>
        <v/>
      </c>
      <c r="AS561" s="5" t="str">
        <f t="shared" si="124"/>
        <v/>
      </c>
      <c r="AT561" s="3" t="str">
        <f t="shared" si="122"/>
        <v/>
      </c>
      <c r="AU561" s="4" t="str">
        <f t="shared" si="122"/>
        <v/>
      </c>
      <c r="AV561" s="4" t="str">
        <f t="shared" si="122"/>
        <v/>
      </c>
      <c r="AW561" s="4" t="str">
        <f t="shared" si="122"/>
        <v/>
      </c>
      <c r="AX561" s="4" t="str">
        <f t="shared" si="122"/>
        <v/>
      </c>
      <c r="AY561" s="4">
        <f t="shared" si="122"/>
        <v>1</v>
      </c>
      <c r="AZ561" s="4" t="str">
        <f t="shared" si="122"/>
        <v/>
      </c>
      <c r="BA561" s="4" t="str">
        <f t="shared" ref="AT561:BA593" si="128">IF(AND($B561=BA$3, $G561=BA$2, $H561=BA$1), 1, "")</f>
        <v/>
      </c>
      <c r="BB561" s="4" t="str">
        <f t="shared" si="119"/>
        <v/>
      </c>
      <c r="BC561" s="4" t="str">
        <f t="shared" si="125"/>
        <v/>
      </c>
      <c r="BD561" s="4" t="str">
        <f t="shared" si="125"/>
        <v/>
      </c>
      <c r="BE561" s="4" t="str">
        <f t="shared" si="125"/>
        <v/>
      </c>
      <c r="BF561" s="4" t="str">
        <f t="shared" si="125"/>
        <v/>
      </c>
      <c r="BG561" s="4" t="str">
        <f t="shared" si="125"/>
        <v/>
      </c>
      <c r="BH561" s="4" t="str">
        <f t="shared" si="125"/>
        <v/>
      </c>
      <c r="BI561" s="5" t="str">
        <f t="shared" si="125"/>
        <v/>
      </c>
    </row>
    <row r="562" spans="1:61" x14ac:dyDescent="0.25">
      <c r="A562">
        <v>725155</v>
      </c>
      <c r="B562" t="s">
        <v>15</v>
      </c>
      <c r="C562" t="s">
        <v>16</v>
      </c>
      <c r="D562">
        <v>65862</v>
      </c>
      <c r="E562">
        <v>357</v>
      </c>
      <c r="F562">
        <v>30</v>
      </c>
      <c r="G562">
        <v>20133</v>
      </c>
      <c r="H562" t="s">
        <v>0</v>
      </c>
      <c r="I562">
        <v>874125.00100000005</v>
      </c>
      <c r="J562">
        <v>28296</v>
      </c>
      <c r="K562">
        <v>655524.79</v>
      </c>
      <c r="L562">
        <v>652810.13</v>
      </c>
      <c r="M562">
        <v>2714.66</v>
      </c>
      <c r="N562" s="3" t="str">
        <f t="shared" si="126"/>
        <v/>
      </c>
      <c r="O562" s="4" t="str">
        <f t="shared" si="126"/>
        <v/>
      </c>
      <c r="P562" s="4" t="str">
        <f t="shared" si="126"/>
        <v/>
      </c>
      <c r="Q562" s="4" t="str">
        <f t="shared" si="126"/>
        <v/>
      </c>
      <c r="R562" s="4" t="str">
        <f t="shared" si="126"/>
        <v/>
      </c>
      <c r="S562" s="4" t="str">
        <f t="shared" si="126"/>
        <v/>
      </c>
      <c r="T562" s="4" t="str">
        <f t="shared" si="126"/>
        <v/>
      </c>
      <c r="U562" s="4" t="str">
        <f t="shared" si="126"/>
        <v/>
      </c>
      <c r="V562" s="4" t="str">
        <f t="shared" si="117"/>
        <v/>
      </c>
      <c r="W562" s="4" t="str">
        <f t="shared" si="123"/>
        <v/>
      </c>
      <c r="X562" s="4" t="str">
        <f t="shared" si="123"/>
        <v/>
      </c>
      <c r="Y562" s="4" t="str">
        <f t="shared" si="123"/>
        <v/>
      </c>
      <c r="Z562" s="4" t="str">
        <f t="shared" si="123"/>
        <v/>
      </c>
      <c r="AA562" s="4" t="str">
        <f t="shared" si="123"/>
        <v/>
      </c>
      <c r="AB562" s="4" t="str">
        <f t="shared" si="123"/>
        <v/>
      </c>
      <c r="AC562" s="5" t="str">
        <f t="shared" si="123"/>
        <v/>
      </c>
      <c r="AD562" s="3" t="str">
        <f t="shared" si="127"/>
        <v/>
      </c>
      <c r="AE562" s="4" t="str">
        <f t="shared" si="127"/>
        <v/>
      </c>
      <c r="AF562" s="4" t="str">
        <f t="shared" si="127"/>
        <v/>
      </c>
      <c r="AG562" s="4" t="str">
        <f t="shared" si="127"/>
        <v/>
      </c>
      <c r="AH562" s="4" t="str">
        <f t="shared" si="127"/>
        <v/>
      </c>
      <c r="AI562" s="4" t="str">
        <f t="shared" si="127"/>
        <v/>
      </c>
      <c r="AJ562" s="4" t="str">
        <f t="shared" si="127"/>
        <v/>
      </c>
      <c r="AK562" s="4" t="str">
        <f t="shared" si="127"/>
        <v/>
      </c>
      <c r="AL562" s="4" t="str">
        <f t="shared" si="118"/>
        <v/>
      </c>
      <c r="AM562" s="4" t="str">
        <f t="shared" si="124"/>
        <v/>
      </c>
      <c r="AN562" s="4" t="str">
        <f t="shared" si="124"/>
        <v/>
      </c>
      <c r="AO562" s="4" t="str">
        <f t="shared" si="124"/>
        <v/>
      </c>
      <c r="AP562" s="4" t="str">
        <f t="shared" si="124"/>
        <v/>
      </c>
      <c r="AQ562" s="4" t="str">
        <f t="shared" si="124"/>
        <v/>
      </c>
      <c r="AR562" s="4" t="str">
        <f t="shared" si="124"/>
        <v/>
      </c>
      <c r="AS562" s="5" t="str">
        <f t="shared" si="124"/>
        <v/>
      </c>
      <c r="AT562" s="3" t="str">
        <f t="shared" si="128"/>
        <v/>
      </c>
      <c r="AU562" s="4" t="str">
        <f t="shared" si="128"/>
        <v/>
      </c>
      <c r="AV562" s="4" t="str">
        <f t="shared" si="128"/>
        <v/>
      </c>
      <c r="AW562" s="4" t="str">
        <f t="shared" si="128"/>
        <v/>
      </c>
      <c r="AX562" s="4" t="str">
        <f t="shared" si="128"/>
        <v/>
      </c>
      <c r="AY562" s="4" t="str">
        <f t="shared" si="128"/>
        <v/>
      </c>
      <c r="AZ562" s="4">
        <f t="shared" si="128"/>
        <v>1</v>
      </c>
      <c r="BA562" s="4" t="str">
        <f t="shared" si="128"/>
        <v/>
      </c>
      <c r="BB562" s="4" t="str">
        <f t="shared" si="119"/>
        <v/>
      </c>
      <c r="BC562" s="4" t="str">
        <f t="shared" si="125"/>
        <v/>
      </c>
      <c r="BD562" s="4" t="str">
        <f t="shared" si="125"/>
        <v/>
      </c>
      <c r="BE562" s="4" t="str">
        <f t="shared" si="125"/>
        <v/>
      </c>
      <c r="BF562" s="4" t="str">
        <f t="shared" si="125"/>
        <v/>
      </c>
      <c r="BG562" s="4" t="str">
        <f t="shared" si="125"/>
        <v/>
      </c>
      <c r="BH562" s="4" t="str">
        <f t="shared" si="125"/>
        <v/>
      </c>
      <c r="BI562" s="5" t="str">
        <f t="shared" si="125"/>
        <v/>
      </c>
    </row>
    <row r="563" spans="1:61" x14ac:dyDescent="0.25">
      <c r="A563">
        <v>725156</v>
      </c>
      <c r="B563" t="s">
        <v>15</v>
      </c>
      <c r="C563" t="s">
        <v>16</v>
      </c>
      <c r="D563">
        <v>65862</v>
      </c>
      <c r="E563">
        <v>357</v>
      </c>
      <c r="F563">
        <v>30</v>
      </c>
      <c r="G563">
        <v>20134</v>
      </c>
      <c r="H563" t="s">
        <v>0</v>
      </c>
      <c r="I563">
        <v>547889</v>
      </c>
      <c r="J563">
        <v>17955</v>
      </c>
      <c r="K563">
        <v>407145.38</v>
      </c>
      <c r="L563">
        <v>405446.77</v>
      </c>
      <c r="M563">
        <v>1698.61</v>
      </c>
      <c r="N563" s="3" t="str">
        <f t="shared" si="126"/>
        <v/>
      </c>
      <c r="O563" s="4" t="str">
        <f t="shared" si="126"/>
        <v/>
      </c>
      <c r="P563" s="4" t="str">
        <f t="shared" si="126"/>
        <v/>
      </c>
      <c r="Q563" s="4" t="str">
        <f t="shared" si="126"/>
        <v/>
      </c>
      <c r="R563" s="4" t="str">
        <f t="shared" si="126"/>
        <v/>
      </c>
      <c r="S563" s="4" t="str">
        <f t="shared" si="126"/>
        <v/>
      </c>
      <c r="T563" s="4" t="str">
        <f t="shared" si="126"/>
        <v/>
      </c>
      <c r="U563" s="4" t="str">
        <f t="shared" si="126"/>
        <v/>
      </c>
      <c r="V563" s="4" t="str">
        <f t="shared" si="117"/>
        <v/>
      </c>
      <c r="W563" s="4" t="str">
        <f t="shared" si="123"/>
        <v/>
      </c>
      <c r="X563" s="4" t="str">
        <f t="shared" si="123"/>
        <v/>
      </c>
      <c r="Y563" s="4" t="str">
        <f t="shared" si="123"/>
        <v/>
      </c>
      <c r="Z563" s="4" t="str">
        <f t="shared" si="123"/>
        <v/>
      </c>
      <c r="AA563" s="4" t="str">
        <f t="shared" si="123"/>
        <v/>
      </c>
      <c r="AB563" s="4" t="str">
        <f t="shared" si="123"/>
        <v/>
      </c>
      <c r="AC563" s="5" t="str">
        <f t="shared" si="123"/>
        <v/>
      </c>
      <c r="AD563" s="3" t="str">
        <f t="shared" si="127"/>
        <v/>
      </c>
      <c r="AE563" s="4" t="str">
        <f t="shared" si="127"/>
        <v/>
      </c>
      <c r="AF563" s="4" t="str">
        <f t="shared" si="127"/>
        <v/>
      </c>
      <c r="AG563" s="4" t="str">
        <f t="shared" si="127"/>
        <v/>
      </c>
      <c r="AH563" s="4" t="str">
        <f t="shared" si="127"/>
        <v/>
      </c>
      <c r="AI563" s="4" t="str">
        <f t="shared" si="127"/>
        <v/>
      </c>
      <c r="AJ563" s="4" t="str">
        <f t="shared" si="127"/>
        <v/>
      </c>
      <c r="AK563" s="4" t="str">
        <f t="shared" si="127"/>
        <v/>
      </c>
      <c r="AL563" s="4" t="str">
        <f t="shared" si="118"/>
        <v/>
      </c>
      <c r="AM563" s="4" t="str">
        <f t="shared" si="124"/>
        <v/>
      </c>
      <c r="AN563" s="4" t="str">
        <f t="shared" si="124"/>
        <v/>
      </c>
      <c r="AO563" s="4" t="str">
        <f t="shared" si="124"/>
        <v/>
      </c>
      <c r="AP563" s="4" t="str">
        <f t="shared" si="124"/>
        <v/>
      </c>
      <c r="AQ563" s="4" t="str">
        <f t="shared" si="124"/>
        <v/>
      </c>
      <c r="AR563" s="4" t="str">
        <f t="shared" si="124"/>
        <v/>
      </c>
      <c r="AS563" s="5" t="str">
        <f t="shared" si="124"/>
        <v/>
      </c>
      <c r="AT563" s="3" t="str">
        <f t="shared" si="128"/>
        <v/>
      </c>
      <c r="AU563" s="4" t="str">
        <f t="shared" si="128"/>
        <v/>
      </c>
      <c r="AV563" s="4" t="str">
        <f t="shared" si="128"/>
        <v/>
      </c>
      <c r="AW563" s="4" t="str">
        <f t="shared" si="128"/>
        <v/>
      </c>
      <c r="AX563" s="4" t="str">
        <f t="shared" si="128"/>
        <v/>
      </c>
      <c r="AY563" s="4" t="str">
        <f t="shared" si="128"/>
        <v/>
      </c>
      <c r="AZ563" s="4" t="str">
        <f t="shared" si="128"/>
        <v/>
      </c>
      <c r="BA563" s="4">
        <f t="shared" si="128"/>
        <v>1</v>
      </c>
      <c r="BB563" s="4" t="str">
        <f t="shared" si="119"/>
        <v/>
      </c>
      <c r="BC563" s="4" t="str">
        <f t="shared" si="125"/>
        <v/>
      </c>
      <c r="BD563" s="4" t="str">
        <f t="shared" si="125"/>
        <v/>
      </c>
      <c r="BE563" s="4" t="str">
        <f t="shared" si="125"/>
        <v/>
      </c>
      <c r="BF563" s="4" t="str">
        <f t="shared" si="125"/>
        <v/>
      </c>
      <c r="BG563" s="4" t="str">
        <f t="shared" si="125"/>
        <v/>
      </c>
      <c r="BH563" s="4" t="str">
        <f t="shared" si="125"/>
        <v/>
      </c>
      <c r="BI563" s="5" t="str">
        <f t="shared" si="125"/>
        <v/>
      </c>
    </row>
    <row r="564" spans="1:61" x14ac:dyDescent="0.25">
      <c r="A564">
        <v>725157</v>
      </c>
      <c r="B564" t="s">
        <v>15</v>
      </c>
      <c r="C564" t="s">
        <v>16</v>
      </c>
      <c r="D564">
        <v>65862</v>
      </c>
      <c r="E564">
        <v>357</v>
      </c>
      <c r="F564">
        <v>90</v>
      </c>
      <c r="G564">
        <v>20131</v>
      </c>
      <c r="H564" t="s">
        <v>0</v>
      </c>
      <c r="I564">
        <v>190702.09</v>
      </c>
      <c r="J564">
        <v>6260</v>
      </c>
      <c r="K564">
        <v>260589.66</v>
      </c>
      <c r="L564">
        <v>230465.16</v>
      </c>
      <c r="M564">
        <v>30124.5</v>
      </c>
      <c r="N564" s="3" t="str">
        <f t="shared" si="126"/>
        <v/>
      </c>
      <c r="O564" s="4" t="str">
        <f t="shared" si="126"/>
        <v/>
      </c>
      <c r="P564" s="4" t="str">
        <f t="shared" si="126"/>
        <v/>
      </c>
      <c r="Q564" s="4" t="str">
        <f t="shared" si="126"/>
        <v/>
      </c>
      <c r="R564" s="4" t="str">
        <f t="shared" si="126"/>
        <v/>
      </c>
      <c r="S564" s="4" t="str">
        <f t="shared" si="126"/>
        <v/>
      </c>
      <c r="T564" s="4" t="str">
        <f t="shared" si="126"/>
        <v/>
      </c>
      <c r="U564" s="4" t="str">
        <f t="shared" si="126"/>
        <v/>
      </c>
      <c r="V564" s="4" t="str">
        <f t="shared" si="117"/>
        <v/>
      </c>
      <c r="W564" s="4" t="str">
        <f t="shared" si="123"/>
        <v/>
      </c>
      <c r="X564" s="4" t="str">
        <f t="shared" si="123"/>
        <v/>
      </c>
      <c r="Y564" s="4" t="str">
        <f t="shared" si="123"/>
        <v/>
      </c>
      <c r="Z564" s="4" t="str">
        <f t="shared" si="123"/>
        <v/>
      </c>
      <c r="AA564" s="4" t="str">
        <f t="shared" si="123"/>
        <v/>
      </c>
      <c r="AB564" s="4" t="str">
        <f t="shared" si="123"/>
        <v/>
      </c>
      <c r="AC564" s="5" t="str">
        <f t="shared" si="123"/>
        <v/>
      </c>
      <c r="AD564" s="3" t="str">
        <f t="shared" si="127"/>
        <v/>
      </c>
      <c r="AE564" s="4" t="str">
        <f t="shared" si="127"/>
        <v/>
      </c>
      <c r="AF564" s="4" t="str">
        <f t="shared" si="127"/>
        <v/>
      </c>
      <c r="AG564" s="4" t="str">
        <f t="shared" si="127"/>
        <v/>
      </c>
      <c r="AH564" s="4" t="str">
        <f t="shared" si="127"/>
        <v/>
      </c>
      <c r="AI564" s="4" t="str">
        <f t="shared" si="127"/>
        <v/>
      </c>
      <c r="AJ564" s="4" t="str">
        <f t="shared" si="127"/>
        <v/>
      </c>
      <c r="AK564" s="4" t="str">
        <f t="shared" si="127"/>
        <v/>
      </c>
      <c r="AL564" s="4" t="str">
        <f t="shared" si="118"/>
        <v/>
      </c>
      <c r="AM564" s="4" t="str">
        <f t="shared" si="124"/>
        <v/>
      </c>
      <c r="AN564" s="4" t="str">
        <f t="shared" si="124"/>
        <v/>
      </c>
      <c r="AO564" s="4" t="str">
        <f t="shared" si="124"/>
        <v/>
      </c>
      <c r="AP564" s="4" t="str">
        <f t="shared" si="124"/>
        <v/>
      </c>
      <c r="AQ564" s="4" t="str">
        <f t="shared" si="124"/>
        <v/>
      </c>
      <c r="AR564" s="4" t="str">
        <f t="shared" si="124"/>
        <v/>
      </c>
      <c r="AS564" s="5" t="str">
        <f t="shared" si="124"/>
        <v/>
      </c>
      <c r="AT564" s="3" t="str">
        <f t="shared" si="128"/>
        <v/>
      </c>
      <c r="AU564" s="4" t="str">
        <f t="shared" si="128"/>
        <v/>
      </c>
      <c r="AV564" s="4" t="str">
        <f t="shared" si="128"/>
        <v/>
      </c>
      <c r="AW564" s="4" t="str">
        <f t="shared" si="128"/>
        <v/>
      </c>
      <c r="AX564" s="4">
        <f t="shared" si="128"/>
        <v>1</v>
      </c>
      <c r="AY564" s="4" t="str">
        <f t="shared" si="128"/>
        <v/>
      </c>
      <c r="AZ564" s="4" t="str">
        <f t="shared" si="128"/>
        <v/>
      </c>
      <c r="BA564" s="4" t="str">
        <f t="shared" si="128"/>
        <v/>
      </c>
      <c r="BB564" s="4" t="str">
        <f t="shared" si="119"/>
        <v/>
      </c>
      <c r="BC564" s="4" t="str">
        <f t="shared" si="125"/>
        <v/>
      </c>
      <c r="BD564" s="4" t="str">
        <f t="shared" si="125"/>
        <v/>
      </c>
      <c r="BE564" s="4" t="str">
        <f t="shared" si="125"/>
        <v/>
      </c>
      <c r="BF564" s="4" t="str">
        <f t="shared" si="125"/>
        <v/>
      </c>
      <c r="BG564" s="4" t="str">
        <f t="shared" si="125"/>
        <v/>
      </c>
      <c r="BH564" s="4" t="str">
        <f t="shared" si="125"/>
        <v/>
      </c>
      <c r="BI564" s="5" t="str">
        <f t="shared" si="125"/>
        <v/>
      </c>
    </row>
    <row r="565" spans="1:61" x14ac:dyDescent="0.25">
      <c r="A565">
        <v>725158</v>
      </c>
      <c r="B565" t="s">
        <v>15</v>
      </c>
      <c r="C565" t="s">
        <v>16</v>
      </c>
      <c r="D565">
        <v>65862</v>
      </c>
      <c r="E565">
        <v>357</v>
      </c>
      <c r="F565">
        <v>90</v>
      </c>
      <c r="G565">
        <v>20132</v>
      </c>
      <c r="H565" t="s">
        <v>0</v>
      </c>
      <c r="I565">
        <v>189062</v>
      </c>
      <c r="J565">
        <v>6074</v>
      </c>
      <c r="K565">
        <v>178317.59</v>
      </c>
      <c r="L565">
        <v>171450.07</v>
      </c>
      <c r="M565">
        <v>6867.52</v>
      </c>
      <c r="N565" s="3" t="str">
        <f t="shared" si="126"/>
        <v/>
      </c>
      <c r="O565" s="4" t="str">
        <f t="shared" si="126"/>
        <v/>
      </c>
      <c r="P565" s="4" t="str">
        <f t="shared" si="126"/>
        <v/>
      </c>
      <c r="Q565" s="4" t="str">
        <f t="shared" si="126"/>
        <v/>
      </c>
      <c r="R565" s="4" t="str">
        <f t="shared" si="126"/>
        <v/>
      </c>
      <c r="S565" s="4" t="str">
        <f t="shared" si="126"/>
        <v/>
      </c>
      <c r="T565" s="4" t="str">
        <f t="shared" si="126"/>
        <v/>
      </c>
      <c r="U565" s="4" t="str">
        <f t="shared" si="126"/>
        <v/>
      </c>
      <c r="V565" s="4" t="str">
        <f t="shared" si="117"/>
        <v/>
      </c>
      <c r="W565" s="4" t="str">
        <f t="shared" si="123"/>
        <v/>
      </c>
      <c r="X565" s="4" t="str">
        <f t="shared" si="123"/>
        <v/>
      </c>
      <c r="Y565" s="4" t="str">
        <f t="shared" si="123"/>
        <v/>
      </c>
      <c r="Z565" s="4" t="str">
        <f t="shared" si="123"/>
        <v/>
      </c>
      <c r="AA565" s="4" t="str">
        <f t="shared" si="123"/>
        <v/>
      </c>
      <c r="AB565" s="4" t="str">
        <f t="shared" si="123"/>
        <v/>
      </c>
      <c r="AC565" s="5" t="str">
        <f t="shared" si="123"/>
        <v/>
      </c>
      <c r="AD565" s="3" t="str">
        <f t="shared" si="127"/>
        <v/>
      </c>
      <c r="AE565" s="4" t="str">
        <f t="shared" si="127"/>
        <v/>
      </c>
      <c r="AF565" s="4" t="str">
        <f t="shared" si="127"/>
        <v/>
      </c>
      <c r="AG565" s="4" t="str">
        <f t="shared" si="127"/>
        <v/>
      </c>
      <c r="AH565" s="4" t="str">
        <f t="shared" si="127"/>
        <v/>
      </c>
      <c r="AI565" s="4" t="str">
        <f t="shared" si="127"/>
        <v/>
      </c>
      <c r="AJ565" s="4" t="str">
        <f t="shared" si="127"/>
        <v/>
      </c>
      <c r="AK565" s="4" t="str">
        <f t="shared" si="127"/>
        <v/>
      </c>
      <c r="AL565" s="4" t="str">
        <f t="shared" si="118"/>
        <v/>
      </c>
      <c r="AM565" s="4" t="str">
        <f t="shared" si="124"/>
        <v/>
      </c>
      <c r="AN565" s="4" t="str">
        <f t="shared" si="124"/>
        <v/>
      </c>
      <c r="AO565" s="4" t="str">
        <f t="shared" si="124"/>
        <v/>
      </c>
      <c r="AP565" s="4" t="str">
        <f t="shared" si="124"/>
        <v/>
      </c>
      <c r="AQ565" s="4" t="str">
        <f t="shared" si="124"/>
        <v/>
      </c>
      <c r="AR565" s="4" t="str">
        <f t="shared" si="124"/>
        <v/>
      </c>
      <c r="AS565" s="5" t="str">
        <f t="shared" si="124"/>
        <v/>
      </c>
      <c r="AT565" s="3" t="str">
        <f t="shared" si="128"/>
        <v/>
      </c>
      <c r="AU565" s="4" t="str">
        <f t="shared" si="128"/>
        <v/>
      </c>
      <c r="AV565" s="4" t="str">
        <f t="shared" si="128"/>
        <v/>
      </c>
      <c r="AW565" s="4" t="str">
        <f t="shared" si="128"/>
        <v/>
      </c>
      <c r="AX565" s="4" t="str">
        <f t="shared" si="128"/>
        <v/>
      </c>
      <c r="AY565" s="4">
        <f t="shared" si="128"/>
        <v>1</v>
      </c>
      <c r="AZ565" s="4" t="str">
        <f t="shared" si="128"/>
        <v/>
      </c>
      <c r="BA565" s="4" t="str">
        <f t="shared" si="128"/>
        <v/>
      </c>
      <c r="BB565" s="4" t="str">
        <f t="shared" si="119"/>
        <v/>
      </c>
      <c r="BC565" s="4" t="str">
        <f t="shared" si="125"/>
        <v/>
      </c>
      <c r="BD565" s="4" t="str">
        <f t="shared" si="125"/>
        <v/>
      </c>
      <c r="BE565" s="4" t="str">
        <f t="shared" si="125"/>
        <v/>
      </c>
      <c r="BF565" s="4" t="str">
        <f t="shared" si="125"/>
        <v/>
      </c>
      <c r="BG565" s="4" t="str">
        <f t="shared" si="125"/>
        <v/>
      </c>
      <c r="BH565" s="4" t="str">
        <f t="shared" si="125"/>
        <v/>
      </c>
      <c r="BI565" s="5" t="str">
        <f t="shared" si="125"/>
        <v/>
      </c>
    </row>
    <row r="566" spans="1:61" x14ac:dyDescent="0.25">
      <c r="A566">
        <v>725159</v>
      </c>
      <c r="B566" t="s">
        <v>15</v>
      </c>
      <c r="C566" t="s">
        <v>16</v>
      </c>
      <c r="D566">
        <v>65862</v>
      </c>
      <c r="E566">
        <v>357</v>
      </c>
      <c r="F566">
        <v>90</v>
      </c>
      <c r="G566">
        <v>20133</v>
      </c>
      <c r="H566" t="s">
        <v>0</v>
      </c>
      <c r="I566">
        <v>219300</v>
      </c>
      <c r="J566">
        <v>7147</v>
      </c>
      <c r="K566">
        <v>168944.04</v>
      </c>
      <c r="L566">
        <v>167589.29999999999</v>
      </c>
      <c r="M566">
        <v>1354.74</v>
      </c>
      <c r="N566" s="3" t="str">
        <f t="shared" si="126"/>
        <v/>
      </c>
      <c r="O566" s="4" t="str">
        <f t="shared" si="126"/>
        <v/>
      </c>
      <c r="P566" s="4" t="str">
        <f t="shared" si="126"/>
        <v/>
      </c>
      <c r="Q566" s="4" t="str">
        <f t="shared" si="126"/>
        <v/>
      </c>
      <c r="R566" s="4" t="str">
        <f t="shared" si="126"/>
        <v/>
      </c>
      <c r="S566" s="4" t="str">
        <f t="shared" si="126"/>
        <v/>
      </c>
      <c r="T566" s="4" t="str">
        <f t="shared" si="126"/>
        <v/>
      </c>
      <c r="U566" s="4" t="str">
        <f t="shared" si="126"/>
        <v/>
      </c>
      <c r="V566" s="4" t="str">
        <f t="shared" si="117"/>
        <v/>
      </c>
      <c r="W566" s="4" t="str">
        <f t="shared" si="123"/>
        <v/>
      </c>
      <c r="X566" s="4" t="str">
        <f t="shared" si="123"/>
        <v/>
      </c>
      <c r="Y566" s="4" t="str">
        <f t="shared" si="123"/>
        <v/>
      </c>
      <c r="Z566" s="4" t="str">
        <f t="shared" si="123"/>
        <v/>
      </c>
      <c r="AA566" s="4" t="str">
        <f t="shared" si="123"/>
        <v/>
      </c>
      <c r="AB566" s="4" t="str">
        <f t="shared" si="123"/>
        <v/>
      </c>
      <c r="AC566" s="5" t="str">
        <f t="shared" si="123"/>
        <v/>
      </c>
      <c r="AD566" s="3" t="str">
        <f t="shared" si="127"/>
        <v/>
      </c>
      <c r="AE566" s="4" t="str">
        <f t="shared" si="127"/>
        <v/>
      </c>
      <c r="AF566" s="4" t="str">
        <f t="shared" si="127"/>
        <v/>
      </c>
      <c r="AG566" s="4" t="str">
        <f t="shared" si="127"/>
        <v/>
      </c>
      <c r="AH566" s="4" t="str">
        <f t="shared" si="127"/>
        <v/>
      </c>
      <c r="AI566" s="4" t="str">
        <f t="shared" si="127"/>
        <v/>
      </c>
      <c r="AJ566" s="4" t="str">
        <f t="shared" si="127"/>
        <v/>
      </c>
      <c r="AK566" s="4" t="str">
        <f t="shared" si="127"/>
        <v/>
      </c>
      <c r="AL566" s="4" t="str">
        <f t="shared" si="118"/>
        <v/>
      </c>
      <c r="AM566" s="4" t="str">
        <f t="shared" si="124"/>
        <v/>
      </c>
      <c r="AN566" s="4" t="str">
        <f t="shared" si="124"/>
        <v/>
      </c>
      <c r="AO566" s="4" t="str">
        <f t="shared" si="124"/>
        <v/>
      </c>
      <c r="AP566" s="4" t="str">
        <f t="shared" si="124"/>
        <v/>
      </c>
      <c r="AQ566" s="4" t="str">
        <f t="shared" si="124"/>
        <v/>
      </c>
      <c r="AR566" s="4" t="str">
        <f t="shared" si="124"/>
        <v/>
      </c>
      <c r="AS566" s="5" t="str">
        <f t="shared" si="124"/>
        <v/>
      </c>
      <c r="AT566" s="3" t="str">
        <f t="shared" si="128"/>
        <v/>
      </c>
      <c r="AU566" s="4" t="str">
        <f t="shared" si="128"/>
        <v/>
      </c>
      <c r="AV566" s="4" t="str">
        <f t="shared" si="128"/>
        <v/>
      </c>
      <c r="AW566" s="4" t="str">
        <f t="shared" si="128"/>
        <v/>
      </c>
      <c r="AX566" s="4" t="str">
        <f t="shared" si="128"/>
        <v/>
      </c>
      <c r="AY566" s="4" t="str">
        <f t="shared" si="128"/>
        <v/>
      </c>
      <c r="AZ566" s="4">
        <f t="shared" si="128"/>
        <v>1</v>
      </c>
      <c r="BA566" s="4" t="str">
        <f t="shared" si="128"/>
        <v/>
      </c>
      <c r="BB566" s="4" t="str">
        <f t="shared" si="119"/>
        <v/>
      </c>
      <c r="BC566" s="4" t="str">
        <f t="shared" si="125"/>
        <v/>
      </c>
      <c r="BD566" s="4" t="str">
        <f t="shared" si="125"/>
        <v/>
      </c>
      <c r="BE566" s="4" t="str">
        <f t="shared" si="125"/>
        <v/>
      </c>
      <c r="BF566" s="4" t="str">
        <f t="shared" si="125"/>
        <v/>
      </c>
      <c r="BG566" s="4" t="str">
        <f t="shared" si="125"/>
        <v/>
      </c>
      <c r="BH566" s="4" t="str">
        <f t="shared" si="125"/>
        <v/>
      </c>
      <c r="BI566" s="5" t="str">
        <f t="shared" si="125"/>
        <v/>
      </c>
    </row>
    <row r="567" spans="1:61" x14ac:dyDescent="0.25">
      <c r="A567">
        <v>725160</v>
      </c>
      <c r="B567" t="s">
        <v>15</v>
      </c>
      <c r="C567" t="s">
        <v>16</v>
      </c>
      <c r="D567">
        <v>65862</v>
      </c>
      <c r="E567">
        <v>357</v>
      </c>
      <c r="F567">
        <v>90</v>
      </c>
      <c r="G567">
        <v>20134</v>
      </c>
      <c r="H567" t="s">
        <v>0</v>
      </c>
      <c r="I567">
        <v>454233.40100000001</v>
      </c>
      <c r="J567">
        <v>14960</v>
      </c>
      <c r="K567">
        <v>352742.8</v>
      </c>
      <c r="L567">
        <v>350501.15</v>
      </c>
      <c r="M567">
        <v>2241.65</v>
      </c>
      <c r="N567" s="3" t="str">
        <f t="shared" si="126"/>
        <v/>
      </c>
      <c r="O567" s="4" t="str">
        <f t="shared" si="126"/>
        <v/>
      </c>
      <c r="P567" s="4" t="str">
        <f t="shared" si="126"/>
        <v/>
      </c>
      <c r="Q567" s="4" t="str">
        <f t="shared" si="126"/>
        <v/>
      </c>
      <c r="R567" s="4" t="str">
        <f t="shared" si="126"/>
        <v/>
      </c>
      <c r="S567" s="4" t="str">
        <f t="shared" si="126"/>
        <v/>
      </c>
      <c r="T567" s="4" t="str">
        <f t="shared" si="126"/>
        <v/>
      </c>
      <c r="U567" s="4" t="str">
        <f t="shared" si="126"/>
        <v/>
      </c>
      <c r="V567" s="4" t="str">
        <f t="shared" si="117"/>
        <v/>
      </c>
      <c r="W567" s="4" t="str">
        <f t="shared" si="123"/>
        <v/>
      </c>
      <c r="X567" s="4" t="str">
        <f t="shared" si="123"/>
        <v/>
      </c>
      <c r="Y567" s="4" t="str">
        <f t="shared" si="123"/>
        <v/>
      </c>
      <c r="Z567" s="4" t="str">
        <f t="shared" si="123"/>
        <v/>
      </c>
      <c r="AA567" s="4" t="str">
        <f t="shared" si="123"/>
        <v/>
      </c>
      <c r="AB567" s="4" t="str">
        <f t="shared" si="123"/>
        <v/>
      </c>
      <c r="AC567" s="5" t="str">
        <f t="shared" si="123"/>
        <v/>
      </c>
      <c r="AD567" s="3" t="str">
        <f t="shared" si="127"/>
        <v/>
      </c>
      <c r="AE567" s="4" t="str">
        <f t="shared" si="127"/>
        <v/>
      </c>
      <c r="AF567" s="4" t="str">
        <f t="shared" si="127"/>
        <v/>
      </c>
      <c r="AG567" s="4" t="str">
        <f t="shared" si="127"/>
        <v/>
      </c>
      <c r="AH567" s="4" t="str">
        <f t="shared" si="127"/>
        <v/>
      </c>
      <c r="AI567" s="4" t="str">
        <f t="shared" si="127"/>
        <v/>
      </c>
      <c r="AJ567" s="4" t="str">
        <f t="shared" si="127"/>
        <v/>
      </c>
      <c r="AK567" s="4" t="str">
        <f t="shared" si="127"/>
        <v/>
      </c>
      <c r="AL567" s="4" t="str">
        <f t="shared" si="118"/>
        <v/>
      </c>
      <c r="AM567" s="4" t="str">
        <f t="shared" si="124"/>
        <v/>
      </c>
      <c r="AN567" s="4" t="str">
        <f t="shared" si="124"/>
        <v/>
      </c>
      <c r="AO567" s="4" t="str">
        <f t="shared" si="124"/>
        <v/>
      </c>
      <c r="AP567" s="4" t="str">
        <f t="shared" si="124"/>
        <v/>
      </c>
      <c r="AQ567" s="4" t="str">
        <f t="shared" si="124"/>
        <v/>
      </c>
      <c r="AR567" s="4" t="str">
        <f t="shared" si="124"/>
        <v/>
      </c>
      <c r="AS567" s="5" t="str">
        <f t="shared" si="124"/>
        <v/>
      </c>
      <c r="AT567" s="3" t="str">
        <f t="shared" si="128"/>
        <v/>
      </c>
      <c r="AU567" s="4" t="str">
        <f t="shared" si="128"/>
        <v/>
      </c>
      <c r="AV567" s="4" t="str">
        <f t="shared" si="128"/>
        <v/>
      </c>
      <c r="AW567" s="4" t="str">
        <f t="shared" si="128"/>
        <v/>
      </c>
      <c r="AX567" s="4" t="str">
        <f t="shared" si="128"/>
        <v/>
      </c>
      <c r="AY567" s="4" t="str">
        <f t="shared" si="128"/>
        <v/>
      </c>
      <c r="AZ567" s="4" t="str">
        <f t="shared" si="128"/>
        <v/>
      </c>
      <c r="BA567" s="4">
        <f t="shared" si="128"/>
        <v>1</v>
      </c>
      <c r="BB567" s="4" t="str">
        <f t="shared" si="119"/>
        <v/>
      </c>
      <c r="BC567" s="4" t="str">
        <f t="shared" si="125"/>
        <v/>
      </c>
      <c r="BD567" s="4" t="str">
        <f t="shared" si="125"/>
        <v/>
      </c>
      <c r="BE567" s="4" t="str">
        <f t="shared" si="125"/>
        <v/>
      </c>
      <c r="BF567" s="4" t="str">
        <f t="shared" si="125"/>
        <v/>
      </c>
      <c r="BG567" s="4" t="str">
        <f t="shared" si="125"/>
        <v/>
      </c>
      <c r="BH567" s="4" t="str">
        <f t="shared" si="125"/>
        <v/>
      </c>
      <c r="BI567" s="5" t="str">
        <f t="shared" si="125"/>
        <v/>
      </c>
    </row>
    <row r="568" spans="1:61" x14ac:dyDescent="0.25">
      <c r="A568">
        <v>725161</v>
      </c>
      <c r="B568" t="s">
        <v>15</v>
      </c>
      <c r="C568" t="s">
        <v>16</v>
      </c>
      <c r="D568">
        <v>65862</v>
      </c>
      <c r="E568">
        <v>357</v>
      </c>
      <c r="F568">
        <v>99</v>
      </c>
      <c r="G568">
        <v>20132</v>
      </c>
      <c r="H568" t="s">
        <v>0</v>
      </c>
      <c r="I568">
        <v>1050</v>
      </c>
      <c r="J568">
        <v>35</v>
      </c>
      <c r="K568">
        <v>1270.81</v>
      </c>
      <c r="L568">
        <v>1270.81</v>
      </c>
      <c r="M568">
        <v>0</v>
      </c>
      <c r="N568" s="3" t="str">
        <f t="shared" si="126"/>
        <v/>
      </c>
      <c r="O568" s="4" t="str">
        <f t="shared" si="126"/>
        <v/>
      </c>
      <c r="P568" s="4" t="str">
        <f t="shared" si="126"/>
        <v/>
      </c>
      <c r="Q568" s="4" t="str">
        <f t="shared" si="126"/>
        <v/>
      </c>
      <c r="R568" s="4" t="str">
        <f t="shared" si="126"/>
        <v/>
      </c>
      <c r="S568" s="4" t="str">
        <f t="shared" si="126"/>
        <v/>
      </c>
      <c r="T568" s="4" t="str">
        <f t="shared" si="126"/>
        <v/>
      </c>
      <c r="U568" s="4" t="str">
        <f t="shared" si="126"/>
        <v/>
      </c>
      <c r="V568" s="4" t="str">
        <f t="shared" si="117"/>
        <v/>
      </c>
      <c r="W568" s="4" t="str">
        <f t="shared" si="123"/>
        <v/>
      </c>
      <c r="X568" s="4" t="str">
        <f t="shared" si="123"/>
        <v/>
      </c>
      <c r="Y568" s="4" t="str">
        <f t="shared" si="123"/>
        <v/>
      </c>
      <c r="Z568" s="4" t="str">
        <f t="shared" si="123"/>
        <v/>
      </c>
      <c r="AA568" s="4" t="str">
        <f t="shared" si="123"/>
        <v/>
      </c>
      <c r="AB568" s="4" t="str">
        <f t="shared" si="123"/>
        <v/>
      </c>
      <c r="AC568" s="5" t="str">
        <f t="shared" si="123"/>
        <v/>
      </c>
      <c r="AD568" s="3" t="str">
        <f t="shared" si="127"/>
        <v/>
      </c>
      <c r="AE568" s="4" t="str">
        <f t="shared" si="127"/>
        <v/>
      </c>
      <c r="AF568" s="4" t="str">
        <f t="shared" si="127"/>
        <v/>
      </c>
      <c r="AG568" s="4" t="str">
        <f t="shared" si="127"/>
        <v/>
      </c>
      <c r="AH568" s="4" t="str">
        <f t="shared" si="127"/>
        <v/>
      </c>
      <c r="AI568" s="4" t="str">
        <f t="shared" si="127"/>
        <v/>
      </c>
      <c r="AJ568" s="4" t="str">
        <f t="shared" si="127"/>
        <v/>
      </c>
      <c r="AK568" s="4" t="str">
        <f t="shared" si="127"/>
        <v/>
      </c>
      <c r="AL568" s="4" t="str">
        <f t="shared" si="118"/>
        <v/>
      </c>
      <c r="AM568" s="4" t="str">
        <f t="shared" si="124"/>
        <v/>
      </c>
      <c r="AN568" s="4" t="str">
        <f t="shared" si="124"/>
        <v/>
      </c>
      <c r="AO568" s="4" t="str">
        <f t="shared" si="124"/>
        <v/>
      </c>
      <c r="AP568" s="4" t="str">
        <f t="shared" si="124"/>
        <v/>
      </c>
      <c r="AQ568" s="4" t="str">
        <f t="shared" si="124"/>
        <v/>
      </c>
      <c r="AR568" s="4" t="str">
        <f t="shared" si="124"/>
        <v/>
      </c>
      <c r="AS568" s="5" t="str">
        <f t="shared" si="124"/>
        <v/>
      </c>
      <c r="AT568" s="3" t="str">
        <f t="shared" si="128"/>
        <v/>
      </c>
      <c r="AU568" s="4" t="str">
        <f t="shared" si="128"/>
        <v/>
      </c>
      <c r="AV568" s="4" t="str">
        <f t="shared" si="128"/>
        <v/>
      </c>
      <c r="AW568" s="4" t="str">
        <f t="shared" si="128"/>
        <v/>
      </c>
      <c r="AX568" s="4" t="str">
        <f t="shared" si="128"/>
        <v/>
      </c>
      <c r="AY568" s="4">
        <f t="shared" si="128"/>
        <v>1</v>
      </c>
      <c r="AZ568" s="4" t="str">
        <f t="shared" si="128"/>
        <v/>
      </c>
      <c r="BA568" s="4" t="str">
        <f t="shared" si="128"/>
        <v/>
      </c>
      <c r="BB568" s="4" t="str">
        <f t="shared" si="119"/>
        <v/>
      </c>
      <c r="BC568" s="4" t="str">
        <f t="shared" si="125"/>
        <v/>
      </c>
      <c r="BD568" s="4" t="str">
        <f t="shared" si="125"/>
        <v/>
      </c>
      <c r="BE568" s="4" t="str">
        <f t="shared" si="125"/>
        <v/>
      </c>
      <c r="BF568" s="4" t="str">
        <f t="shared" si="125"/>
        <v/>
      </c>
      <c r="BG568" s="4" t="str">
        <f t="shared" si="125"/>
        <v/>
      </c>
      <c r="BH568" s="4" t="str">
        <f t="shared" si="125"/>
        <v/>
      </c>
      <c r="BI568" s="5" t="str">
        <f t="shared" si="125"/>
        <v/>
      </c>
    </row>
    <row r="569" spans="1:61" x14ac:dyDescent="0.25">
      <c r="A569">
        <v>725162</v>
      </c>
      <c r="B569" t="s">
        <v>15</v>
      </c>
      <c r="C569" t="s">
        <v>16</v>
      </c>
      <c r="D569">
        <v>65862</v>
      </c>
      <c r="E569">
        <v>357</v>
      </c>
      <c r="F569">
        <v>99</v>
      </c>
      <c r="G569">
        <v>20133</v>
      </c>
      <c r="H569" t="s">
        <v>0</v>
      </c>
      <c r="I569">
        <v>17674</v>
      </c>
      <c r="J569">
        <v>593</v>
      </c>
      <c r="K569">
        <v>15700.68</v>
      </c>
      <c r="L569">
        <v>15681.18</v>
      </c>
      <c r="M569">
        <v>19.5</v>
      </c>
      <c r="N569" s="3" t="str">
        <f t="shared" si="126"/>
        <v/>
      </c>
      <c r="O569" s="4" t="str">
        <f t="shared" si="126"/>
        <v/>
      </c>
      <c r="P569" s="4" t="str">
        <f t="shared" si="126"/>
        <v/>
      </c>
      <c r="Q569" s="4" t="str">
        <f t="shared" si="126"/>
        <v/>
      </c>
      <c r="R569" s="4" t="str">
        <f t="shared" si="126"/>
        <v/>
      </c>
      <c r="S569" s="4" t="str">
        <f t="shared" si="126"/>
        <v/>
      </c>
      <c r="T569" s="4" t="str">
        <f t="shared" si="126"/>
        <v/>
      </c>
      <c r="U569" s="4" t="str">
        <f t="shared" si="126"/>
        <v/>
      </c>
      <c r="V569" s="4" t="str">
        <f t="shared" si="117"/>
        <v/>
      </c>
      <c r="W569" s="4" t="str">
        <f t="shared" si="123"/>
        <v/>
      </c>
      <c r="X569" s="4" t="str">
        <f t="shared" si="123"/>
        <v/>
      </c>
      <c r="Y569" s="4" t="str">
        <f t="shared" si="123"/>
        <v/>
      </c>
      <c r="Z569" s="4" t="str">
        <f t="shared" si="123"/>
        <v/>
      </c>
      <c r="AA569" s="4" t="str">
        <f t="shared" si="123"/>
        <v/>
      </c>
      <c r="AB569" s="4" t="str">
        <f t="shared" si="123"/>
        <v/>
      </c>
      <c r="AC569" s="5" t="str">
        <f t="shared" si="123"/>
        <v/>
      </c>
      <c r="AD569" s="3" t="str">
        <f t="shared" si="127"/>
        <v/>
      </c>
      <c r="AE569" s="4" t="str">
        <f t="shared" si="127"/>
        <v/>
      </c>
      <c r="AF569" s="4" t="str">
        <f t="shared" si="127"/>
        <v/>
      </c>
      <c r="AG569" s="4" t="str">
        <f t="shared" si="127"/>
        <v/>
      </c>
      <c r="AH569" s="4" t="str">
        <f t="shared" si="127"/>
        <v/>
      </c>
      <c r="AI569" s="4" t="str">
        <f t="shared" si="127"/>
        <v/>
      </c>
      <c r="AJ569" s="4" t="str">
        <f t="shared" si="127"/>
        <v/>
      </c>
      <c r="AK569" s="4" t="str">
        <f t="shared" si="127"/>
        <v/>
      </c>
      <c r="AL569" s="4" t="str">
        <f t="shared" si="118"/>
        <v/>
      </c>
      <c r="AM569" s="4" t="str">
        <f t="shared" si="124"/>
        <v/>
      </c>
      <c r="AN569" s="4" t="str">
        <f t="shared" si="124"/>
        <v/>
      </c>
      <c r="AO569" s="4" t="str">
        <f t="shared" si="124"/>
        <v/>
      </c>
      <c r="AP569" s="4" t="str">
        <f t="shared" si="124"/>
        <v/>
      </c>
      <c r="AQ569" s="4" t="str">
        <f t="shared" si="124"/>
        <v/>
      </c>
      <c r="AR569" s="4" t="str">
        <f t="shared" si="124"/>
        <v/>
      </c>
      <c r="AS569" s="5" t="str">
        <f t="shared" si="124"/>
        <v/>
      </c>
      <c r="AT569" s="3" t="str">
        <f t="shared" si="128"/>
        <v/>
      </c>
      <c r="AU569" s="4" t="str">
        <f t="shared" si="128"/>
        <v/>
      </c>
      <c r="AV569" s="4" t="str">
        <f t="shared" si="128"/>
        <v/>
      </c>
      <c r="AW569" s="4" t="str">
        <f t="shared" si="128"/>
        <v/>
      </c>
      <c r="AX569" s="4" t="str">
        <f t="shared" si="128"/>
        <v/>
      </c>
      <c r="AY569" s="4" t="str">
        <f t="shared" si="128"/>
        <v/>
      </c>
      <c r="AZ569" s="4">
        <f t="shared" si="128"/>
        <v>1</v>
      </c>
      <c r="BA569" s="4" t="str">
        <f t="shared" si="128"/>
        <v/>
      </c>
      <c r="BB569" s="4" t="str">
        <f t="shared" si="119"/>
        <v/>
      </c>
      <c r="BC569" s="4" t="str">
        <f t="shared" si="125"/>
        <v/>
      </c>
      <c r="BD569" s="4" t="str">
        <f t="shared" si="125"/>
        <v/>
      </c>
      <c r="BE569" s="4" t="str">
        <f t="shared" si="125"/>
        <v/>
      </c>
      <c r="BF569" s="4" t="str">
        <f t="shared" si="125"/>
        <v/>
      </c>
      <c r="BG569" s="4" t="str">
        <f t="shared" si="125"/>
        <v/>
      </c>
      <c r="BH569" s="4" t="str">
        <f t="shared" si="125"/>
        <v/>
      </c>
      <c r="BI569" s="5" t="str">
        <f t="shared" si="125"/>
        <v/>
      </c>
    </row>
    <row r="570" spans="1:61" x14ac:dyDescent="0.25">
      <c r="A570">
        <v>725163</v>
      </c>
      <c r="B570" t="s">
        <v>15</v>
      </c>
      <c r="C570" t="s">
        <v>16</v>
      </c>
      <c r="D570">
        <v>65862</v>
      </c>
      <c r="E570">
        <v>357</v>
      </c>
      <c r="F570">
        <v>99</v>
      </c>
      <c r="G570">
        <v>20134</v>
      </c>
      <c r="H570" t="s">
        <v>0</v>
      </c>
      <c r="I570">
        <v>20053</v>
      </c>
      <c r="J570">
        <v>682</v>
      </c>
      <c r="K570">
        <v>16175.26</v>
      </c>
      <c r="L570">
        <v>16097.32</v>
      </c>
      <c r="M570">
        <v>77.94</v>
      </c>
      <c r="N570" s="3" t="str">
        <f t="shared" si="126"/>
        <v/>
      </c>
      <c r="O570" s="4" t="str">
        <f t="shared" si="126"/>
        <v/>
      </c>
      <c r="P570" s="4" t="str">
        <f t="shared" si="126"/>
        <v/>
      </c>
      <c r="Q570" s="4" t="str">
        <f t="shared" si="126"/>
        <v/>
      </c>
      <c r="R570" s="4" t="str">
        <f t="shared" si="126"/>
        <v/>
      </c>
      <c r="S570" s="4" t="str">
        <f t="shared" si="126"/>
        <v/>
      </c>
      <c r="T570" s="4" t="str">
        <f t="shared" si="126"/>
        <v/>
      </c>
      <c r="U570" s="4" t="str">
        <f t="shared" si="126"/>
        <v/>
      </c>
      <c r="V570" s="4" t="str">
        <f t="shared" si="117"/>
        <v/>
      </c>
      <c r="W570" s="4" t="str">
        <f t="shared" si="123"/>
        <v/>
      </c>
      <c r="X570" s="4" t="str">
        <f t="shared" si="123"/>
        <v/>
      </c>
      <c r="Y570" s="4" t="str">
        <f t="shared" si="123"/>
        <v/>
      </c>
      <c r="Z570" s="4" t="str">
        <f t="shared" si="123"/>
        <v/>
      </c>
      <c r="AA570" s="4" t="str">
        <f t="shared" si="123"/>
        <v/>
      </c>
      <c r="AB570" s="4" t="str">
        <f t="shared" si="123"/>
        <v/>
      </c>
      <c r="AC570" s="5" t="str">
        <f t="shared" si="123"/>
        <v/>
      </c>
      <c r="AD570" s="3" t="str">
        <f t="shared" si="127"/>
        <v/>
      </c>
      <c r="AE570" s="4" t="str">
        <f t="shared" si="127"/>
        <v/>
      </c>
      <c r="AF570" s="4" t="str">
        <f t="shared" si="127"/>
        <v/>
      </c>
      <c r="AG570" s="4" t="str">
        <f t="shared" si="127"/>
        <v/>
      </c>
      <c r="AH570" s="4" t="str">
        <f t="shared" si="127"/>
        <v/>
      </c>
      <c r="AI570" s="4" t="str">
        <f t="shared" si="127"/>
        <v/>
      </c>
      <c r="AJ570" s="4" t="str">
        <f t="shared" si="127"/>
        <v/>
      </c>
      <c r="AK570" s="4" t="str">
        <f t="shared" si="127"/>
        <v/>
      </c>
      <c r="AL570" s="4" t="str">
        <f t="shared" si="118"/>
        <v/>
      </c>
      <c r="AM570" s="4" t="str">
        <f t="shared" si="124"/>
        <v/>
      </c>
      <c r="AN570" s="4" t="str">
        <f t="shared" si="124"/>
        <v/>
      </c>
      <c r="AO570" s="4" t="str">
        <f t="shared" si="124"/>
        <v/>
      </c>
      <c r="AP570" s="4" t="str">
        <f t="shared" si="124"/>
        <v/>
      </c>
      <c r="AQ570" s="4" t="str">
        <f t="shared" si="124"/>
        <v/>
      </c>
      <c r="AR570" s="4" t="str">
        <f t="shared" si="124"/>
        <v/>
      </c>
      <c r="AS570" s="5" t="str">
        <f t="shared" si="124"/>
        <v/>
      </c>
      <c r="AT570" s="3" t="str">
        <f t="shared" si="128"/>
        <v/>
      </c>
      <c r="AU570" s="4" t="str">
        <f t="shared" si="128"/>
        <v/>
      </c>
      <c r="AV570" s="4" t="str">
        <f t="shared" si="128"/>
        <v/>
      </c>
      <c r="AW570" s="4" t="str">
        <f t="shared" si="128"/>
        <v/>
      </c>
      <c r="AX570" s="4" t="str">
        <f t="shared" si="128"/>
        <v/>
      </c>
      <c r="AY570" s="4" t="str">
        <f t="shared" si="128"/>
        <v/>
      </c>
      <c r="AZ570" s="4" t="str">
        <f t="shared" si="128"/>
        <v/>
      </c>
      <c r="BA570" s="4">
        <f t="shared" si="128"/>
        <v>1</v>
      </c>
      <c r="BB570" s="4" t="str">
        <f t="shared" si="119"/>
        <v/>
      </c>
      <c r="BC570" s="4" t="str">
        <f t="shared" si="125"/>
        <v/>
      </c>
      <c r="BD570" s="4" t="str">
        <f t="shared" si="125"/>
        <v/>
      </c>
      <c r="BE570" s="4" t="str">
        <f t="shared" si="125"/>
        <v/>
      </c>
      <c r="BF570" s="4" t="str">
        <f t="shared" si="125"/>
        <v/>
      </c>
      <c r="BG570" s="4" t="str">
        <f t="shared" si="125"/>
        <v/>
      </c>
      <c r="BH570" s="4" t="str">
        <f t="shared" si="125"/>
        <v/>
      </c>
      <c r="BI570" s="5" t="str">
        <f t="shared" si="125"/>
        <v/>
      </c>
    </row>
    <row r="571" spans="1:61" x14ac:dyDescent="0.25">
      <c r="A571">
        <v>604146</v>
      </c>
      <c r="B571" t="s">
        <v>14</v>
      </c>
      <c r="C571" t="s">
        <v>16</v>
      </c>
      <c r="D571">
        <v>68084</v>
      </c>
      <c r="E571">
        <v>537</v>
      </c>
      <c r="F571">
        <v>25</v>
      </c>
      <c r="G571">
        <v>20132</v>
      </c>
      <c r="H571" t="s">
        <v>0</v>
      </c>
      <c r="I571">
        <v>31</v>
      </c>
      <c r="J571">
        <v>2</v>
      </c>
      <c r="K571">
        <v>578.99</v>
      </c>
      <c r="L571">
        <v>577.99</v>
      </c>
      <c r="M571">
        <v>1</v>
      </c>
      <c r="N571" s="3" t="str">
        <f t="shared" si="126"/>
        <v/>
      </c>
      <c r="O571" s="4" t="str">
        <f t="shared" si="126"/>
        <v/>
      </c>
      <c r="P571" s="4" t="str">
        <f t="shared" si="126"/>
        <v/>
      </c>
      <c r="Q571" s="4" t="str">
        <f t="shared" si="126"/>
        <v/>
      </c>
      <c r="R571" s="4" t="str">
        <f t="shared" si="126"/>
        <v/>
      </c>
      <c r="S571" s="4" t="str">
        <f t="shared" si="126"/>
        <v/>
      </c>
      <c r="T571" s="4" t="str">
        <f t="shared" si="126"/>
        <v/>
      </c>
      <c r="U571" s="4" t="str">
        <f t="shared" si="126"/>
        <v/>
      </c>
      <c r="V571" s="4" t="str">
        <f t="shared" si="117"/>
        <v/>
      </c>
      <c r="W571" s="4" t="str">
        <f t="shared" si="123"/>
        <v/>
      </c>
      <c r="X571" s="4" t="str">
        <f t="shared" si="123"/>
        <v/>
      </c>
      <c r="Y571" s="4" t="str">
        <f t="shared" si="123"/>
        <v/>
      </c>
      <c r="Z571" s="4" t="str">
        <f t="shared" si="123"/>
        <v/>
      </c>
      <c r="AA571" s="4" t="str">
        <f t="shared" si="123"/>
        <v/>
      </c>
      <c r="AB571" s="4" t="str">
        <f t="shared" si="123"/>
        <v/>
      </c>
      <c r="AC571" s="5" t="str">
        <f t="shared" si="123"/>
        <v/>
      </c>
      <c r="AD571" s="3" t="str">
        <f t="shared" si="127"/>
        <v/>
      </c>
      <c r="AE571" s="4" t="str">
        <f t="shared" si="127"/>
        <v/>
      </c>
      <c r="AF571" s="4" t="str">
        <f t="shared" si="127"/>
        <v/>
      </c>
      <c r="AG571" s="4" t="str">
        <f t="shared" si="127"/>
        <v/>
      </c>
      <c r="AH571" s="4" t="str">
        <f t="shared" si="127"/>
        <v/>
      </c>
      <c r="AI571" s="4" t="str">
        <f t="shared" si="127"/>
        <v/>
      </c>
      <c r="AJ571" s="4" t="str">
        <f t="shared" si="127"/>
        <v/>
      </c>
      <c r="AK571" s="4" t="str">
        <f t="shared" si="127"/>
        <v/>
      </c>
      <c r="AL571" s="4" t="str">
        <f t="shared" si="118"/>
        <v/>
      </c>
      <c r="AM571" s="4" t="str">
        <f t="shared" si="124"/>
        <v/>
      </c>
      <c r="AN571" s="4" t="str">
        <f t="shared" si="124"/>
        <v/>
      </c>
      <c r="AO571" s="4" t="str">
        <f t="shared" si="124"/>
        <v/>
      </c>
      <c r="AP571" s="4" t="str">
        <f t="shared" si="124"/>
        <v/>
      </c>
      <c r="AQ571" s="4" t="str">
        <f t="shared" si="124"/>
        <v/>
      </c>
      <c r="AR571" s="4" t="str">
        <f t="shared" si="124"/>
        <v/>
      </c>
      <c r="AS571" s="5" t="str">
        <f t="shared" si="124"/>
        <v/>
      </c>
      <c r="AT571" s="3" t="str">
        <f t="shared" si="128"/>
        <v/>
      </c>
      <c r="AU571" s="4">
        <f t="shared" si="128"/>
        <v>1</v>
      </c>
      <c r="AV571" s="4" t="str">
        <f t="shared" si="128"/>
        <v/>
      </c>
      <c r="AW571" s="4" t="str">
        <f t="shared" si="128"/>
        <v/>
      </c>
      <c r="AX571" s="4" t="str">
        <f t="shared" si="128"/>
        <v/>
      </c>
      <c r="AY571" s="4" t="str">
        <f t="shared" si="128"/>
        <v/>
      </c>
      <c r="AZ571" s="4" t="str">
        <f t="shared" si="128"/>
        <v/>
      </c>
      <c r="BA571" s="4" t="str">
        <f t="shared" si="128"/>
        <v/>
      </c>
      <c r="BB571" s="4" t="str">
        <f t="shared" si="119"/>
        <v/>
      </c>
      <c r="BC571" s="4" t="str">
        <f t="shared" si="125"/>
        <v/>
      </c>
      <c r="BD571" s="4" t="str">
        <f t="shared" si="125"/>
        <v/>
      </c>
      <c r="BE571" s="4" t="str">
        <f t="shared" si="125"/>
        <v/>
      </c>
      <c r="BF571" s="4" t="str">
        <f t="shared" si="125"/>
        <v/>
      </c>
      <c r="BG571" s="4" t="str">
        <f t="shared" si="125"/>
        <v/>
      </c>
      <c r="BH571" s="4" t="str">
        <f t="shared" si="125"/>
        <v/>
      </c>
      <c r="BI571" s="5" t="str">
        <f t="shared" si="125"/>
        <v/>
      </c>
    </row>
    <row r="572" spans="1:61" x14ac:dyDescent="0.25">
      <c r="A572">
        <v>604147</v>
      </c>
      <c r="B572" t="s">
        <v>14</v>
      </c>
      <c r="C572" t="s">
        <v>16</v>
      </c>
      <c r="D572">
        <v>68084</v>
      </c>
      <c r="E572">
        <v>537</v>
      </c>
      <c r="F572">
        <v>25</v>
      </c>
      <c r="G572">
        <v>20133</v>
      </c>
      <c r="H572" t="s">
        <v>0</v>
      </c>
      <c r="I572">
        <v>1</v>
      </c>
      <c r="J572">
        <v>1</v>
      </c>
      <c r="K572">
        <v>24.35</v>
      </c>
      <c r="L572">
        <v>24.35</v>
      </c>
      <c r="M572">
        <v>0</v>
      </c>
      <c r="N572" s="3" t="str">
        <f t="shared" si="126"/>
        <v/>
      </c>
      <c r="O572" s="4" t="str">
        <f t="shared" si="126"/>
        <v/>
      </c>
      <c r="P572" s="4" t="str">
        <f t="shared" si="126"/>
        <v/>
      </c>
      <c r="Q572" s="4" t="str">
        <f t="shared" si="126"/>
        <v/>
      </c>
      <c r="R572" s="4" t="str">
        <f t="shared" si="126"/>
        <v/>
      </c>
      <c r="S572" s="4" t="str">
        <f t="shared" si="126"/>
        <v/>
      </c>
      <c r="T572" s="4" t="str">
        <f t="shared" si="126"/>
        <v/>
      </c>
      <c r="U572" s="4" t="str">
        <f t="shared" si="126"/>
        <v/>
      </c>
      <c r="V572" s="4" t="str">
        <f t="shared" si="117"/>
        <v/>
      </c>
      <c r="W572" s="4" t="str">
        <f t="shared" si="123"/>
        <v/>
      </c>
      <c r="X572" s="4" t="str">
        <f t="shared" si="123"/>
        <v/>
      </c>
      <c r="Y572" s="4" t="str">
        <f t="shared" si="123"/>
        <v/>
      </c>
      <c r="Z572" s="4" t="str">
        <f t="shared" si="123"/>
        <v/>
      </c>
      <c r="AA572" s="4" t="str">
        <f t="shared" si="123"/>
        <v/>
      </c>
      <c r="AB572" s="4" t="str">
        <f t="shared" si="123"/>
        <v/>
      </c>
      <c r="AC572" s="5" t="str">
        <f t="shared" si="123"/>
        <v/>
      </c>
      <c r="AD572" s="3" t="str">
        <f t="shared" si="127"/>
        <v/>
      </c>
      <c r="AE572" s="4" t="str">
        <f t="shared" si="127"/>
        <v/>
      </c>
      <c r="AF572" s="4" t="str">
        <f t="shared" si="127"/>
        <v/>
      </c>
      <c r="AG572" s="4" t="str">
        <f t="shared" si="127"/>
        <v/>
      </c>
      <c r="AH572" s="4" t="str">
        <f t="shared" si="127"/>
        <v/>
      </c>
      <c r="AI572" s="4" t="str">
        <f t="shared" si="127"/>
        <v/>
      </c>
      <c r="AJ572" s="4" t="str">
        <f t="shared" si="127"/>
        <v/>
      </c>
      <c r="AK572" s="4" t="str">
        <f t="shared" si="127"/>
        <v/>
      </c>
      <c r="AL572" s="4" t="str">
        <f t="shared" si="118"/>
        <v/>
      </c>
      <c r="AM572" s="4" t="str">
        <f t="shared" si="124"/>
        <v/>
      </c>
      <c r="AN572" s="4" t="str">
        <f t="shared" si="124"/>
        <v/>
      </c>
      <c r="AO572" s="4" t="str">
        <f t="shared" si="124"/>
        <v/>
      </c>
      <c r="AP572" s="4" t="str">
        <f t="shared" si="124"/>
        <v/>
      </c>
      <c r="AQ572" s="4" t="str">
        <f t="shared" si="124"/>
        <v/>
      </c>
      <c r="AR572" s="4" t="str">
        <f t="shared" si="124"/>
        <v/>
      </c>
      <c r="AS572" s="5" t="str">
        <f t="shared" si="124"/>
        <v/>
      </c>
      <c r="AT572" s="3" t="str">
        <f t="shared" si="128"/>
        <v/>
      </c>
      <c r="AU572" s="4" t="str">
        <f t="shared" si="128"/>
        <v/>
      </c>
      <c r="AV572" s="4">
        <f t="shared" si="128"/>
        <v>1</v>
      </c>
      <c r="AW572" s="4" t="str">
        <f t="shared" si="128"/>
        <v/>
      </c>
      <c r="AX572" s="4" t="str">
        <f t="shared" si="128"/>
        <v/>
      </c>
      <c r="AY572" s="4" t="str">
        <f t="shared" si="128"/>
        <v/>
      </c>
      <c r="AZ572" s="4" t="str">
        <f t="shared" si="128"/>
        <v/>
      </c>
      <c r="BA572" s="4" t="str">
        <f t="shared" si="128"/>
        <v/>
      </c>
      <c r="BB572" s="4" t="str">
        <f t="shared" si="119"/>
        <v/>
      </c>
      <c r="BC572" s="4" t="str">
        <f t="shared" si="125"/>
        <v/>
      </c>
      <c r="BD572" s="4" t="str">
        <f t="shared" si="125"/>
        <v/>
      </c>
      <c r="BE572" s="4" t="str">
        <f t="shared" si="125"/>
        <v/>
      </c>
      <c r="BF572" s="4" t="str">
        <f t="shared" si="125"/>
        <v/>
      </c>
      <c r="BG572" s="4" t="str">
        <f t="shared" si="125"/>
        <v/>
      </c>
      <c r="BH572" s="4" t="str">
        <f t="shared" si="125"/>
        <v/>
      </c>
      <c r="BI572" s="5" t="str">
        <f t="shared" si="125"/>
        <v/>
      </c>
    </row>
    <row r="573" spans="1:61" x14ac:dyDescent="0.25">
      <c r="A573">
        <v>730624</v>
      </c>
      <c r="B573" t="s">
        <v>15</v>
      </c>
      <c r="C573" t="s">
        <v>16</v>
      </c>
      <c r="D573">
        <v>68084</v>
      </c>
      <c r="E573">
        <v>537</v>
      </c>
      <c r="F573">
        <v>25</v>
      </c>
      <c r="G573">
        <v>20131</v>
      </c>
      <c r="H573" t="s">
        <v>0</v>
      </c>
      <c r="I573">
        <v>2</v>
      </c>
      <c r="J573">
        <v>1</v>
      </c>
      <c r="K573">
        <v>31.45</v>
      </c>
      <c r="L573">
        <v>31.45</v>
      </c>
      <c r="M573">
        <v>0</v>
      </c>
      <c r="N573" s="3" t="str">
        <f t="shared" si="126"/>
        <v/>
      </c>
      <c r="O573" s="4" t="str">
        <f t="shared" si="126"/>
        <v/>
      </c>
      <c r="P573" s="4" t="str">
        <f t="shared" si="126"/>
        <v/>
      </c>
      <c r="Q573" s="4" t="str">
        <f t="shared" si="126"/>
        <v/>
      </c>
      <c r="R573" s="4" t="str">
        <f t="shared" si="126"/>
        <v/>
      </c>
      <c r="S573" s="4" t="str">
        <f t="shared" si="126"/>
        <v/>
      </c>
      <c r="T573" s="4" t="str">
        <f t="shared" si="126"/>
        <v/>
      </c>
      <c r="U573" s="4" t="str">
        <f t="shared" si="126"/>
        <v/>
      </c>
      <c r="V573" s="4" t="str">
        <f t="shared" si="117"/>
        <v/>
      </c>
      <c r="W573" s="4" t="str">
        <f t="shared" si="123"/>
        <v/>
      </c>
      <c r="X573" s="4" t="str">
        <f t="shared" si="123"/>
        <v/>
      </c>
      <c r="Y573" s="4" t="str">
        <f t="shared" si="123"/>
        <v/>
      </c>
      <c r="Z573" s="4" t="str">
        <f t="shared" si="123"/>
        <v/>
      </c>
      <c r="AA573" s="4" t="str">
        <f t="shared" si="123"/>
        <v/>
      </c>
      <c r="AB573" s="4" t="str">
        <f t="shared" si="123"/>
        <v/>
      </c>
      <c r="AC573" s="5" t="str">
        <f t="shared" si="123"/>
        <v/>
      </c>
      <c r="AD573" s="3" t="str">
        <f t="shared" si="127"/>
        <v/>
      </c>
      <c r="AE573" s="4" t="str">
        <f t="shared" si="127"/>
        <v/>
      </c>
      <c r="AF573" s="4" t="str">
        <f t="shared" si="127"/>
        <v/>
      </c>
      <c r="AG573" s="4" t="str">
        <f t="shared" si="127"/>
        <v/>
      </c>
      <c r="AH573" s="4" t="str">
        <f t="shared" si="127"/>
        <v/>
      </c>
      <c r="AI573" s="4" t="str">
        <f t="shared" si="127"/>
        <v/>
      </c>
      <c r="AJ573" s="4" t="str">
        <f t="shared" si="127"/>
        <v/>
      </c>
      <c r="AK573" s="4" t="str">
        <f t="shared" si="127"/>
        <v/>
      </c>
      <c r="AL573" s="4" t="str">
        <f t="shared" si="118"/>
        <v/>
      </c>
      <c r="AM573" s="4" t="str">
        <f t="shared" si="124"/>
        <v/>
      </c>
      <c r="AN573" s="4" t="str">
        <f t="shared" si="124"/>
        <v/>
      </c>
      <c r="AO573" s="4" t="str">
        <f t="shared" si="124"/>
        <v/>
      </c>
      <c r="AP573" s="4" t="str">
        <f t="shared" si="124"/>
        <v/>
      </c>
      <c r="AQ573" s="4" t="str">
        <f t="shared" si="124"/>
        <v/>
      </c>
      <c r="AR573" s="4" t="str">
        <f t="shared" si="124"/>
        <v/>
      </c>
      <c r="AS573" s="5" t="str">
        <f t="shared" si="124"/>
        <v/>
      </c>
      <c r="AT573" s="3" t="str">
        <f t="shared" si="128"/>
        <v/>
      </c>
      <c r="AU573" s="4" t="str">
        <f t="shared" si="128"/>
        <v/>
      </c>
      <c r="AV573" s="4" t="str">
        <f t="shared" si="128"/>
        <v/>
      </c>
      <c r="AW573" s="4" t="str">
        <f t="shared" si="128"/>
        <v/>
      </c>
      <c r="AX573" s="4">
        <f t="shared" si="128"/>
        <v>1</v>
      </c>
      <c r="AY573" s="4" t="str">
        <f t="shared" si="128"/>
        <v/>
      </c>
      <c r="AZ573" s="4" t="str">
        <f t="shared" si="128"/>
        <v/>
      </c>
      <c r="BA573" s="4" t="str">
        <f t="shared" si="128"/>
        <v/>
      </c>
      <c r="BB573" s="4" t="str">
        <f t="shared" si="119"/>
        <v/>
      </c>
      <c r="BC573" s="4" t="str">
        <f t="shared" si="125"/>
        <v/>
      </c>
      <c r="BD573" s="4" t="str">
        <f t="shared" si="125"/>
        <v/>
      </c>
      <c r="BE573" s="4" t="str">
        <f t="shared" si="125"/>
        <v/>
      </c>
      <c r="BF573" s="4" t="str">
        <f t="shared" si="125"/>
        <v/>
      </c>
      <c r="BG573" s="4" t="str">
        <f t="shared" si="125"/>
        <v/>
      </c>
      <c r="BH573" s="4" t="str">
        <f t="shared" si="125"/>
        <v/>
      </c>
      <c r="BI573" s="5" t="str">
        <f t="shared" si="125"/>
        <v/>
      </c>
    </row>
    <row r="574" spans="1:61" x14ac:dyDescent="0.25">
      <c r="A574">
        <v>730625</v>
      </c>
      <c r="B574" t="s">
        <v>15</v>
      </c>
      <c r="C574" t="s">
        <v>16</v>
      </c>
      <c r="D574">
        <v>68084</v>
      </c>
      <c r="E574">
        <v>537</v>
      </c>
      <c r="F574">
        <v>25</v>
      </c>
      <c r="G574">
        <v>20132</v>
      </c>
      <c r="H574" t="s">
        <v>0</v>
      </c>
      <c r="I574">
        <v>30</v>
      </c>
      <c r="J574">
        <v>1</v>
      </c>
      <c r="K574">
        <v>602.91</v>
      </c>
      <c r="L574">
        <v>602.91</v>
      </c>
      <c r="M574">
        <v>0</v>
      </c>
      <c r="N574" s="3" t="str">
        <f t="shared" si="126"/>
        <v/>
      </c>
      <c r="O574" s="4" t="str">
        <f t="shared" si="126"/>
        <v/>
      </c>
      <c r="P574" s="4" t="str">
        <f t="shared" si="126"/>
        <v/>
      </c>
      <c r="Q574" s="4" t="str">
        <f t="shared" si="126"/>
        <v/>
      </c>
      <c r="R574" s="4" t="str">
        <f t="shared" si="126"/>
        <v/>
      </c>
      <c r="S574" s="4" t="str">
        <f t="shared" si="126"/>
        <v/>
      </c>
      <c r="T574" s="4" t="str">
        <f t="shared" si="126"/>
        <v/>
      </c>
      <c r="U574" s="4" t="str">
        <f t="shared" si="126"/>
        <v/>
      </c>
      <c r="V574" s="4" t="str">
        <f t="shared" si="117"/>
        <v/>
      </c>
      <c r="W574" s="4" t="str">
        <f t="shared" si="123"/>
        <v/>
      </c>
      <c r="X574" s="4" t="str">
        <f t="shared" si="123"/>
        <v/>
      </c>
      <c r="Y574" s="4" t="str">
        <f t="shared" si="123"/>
        <v/>
      </c>
      <c r="Z574" s="4" t="str">
        <f t="shared" si="123"/>
        <v/>
      </c>
      <c r="AA574" s="4" t="str">
        <f t="shared" si="123"/>
        <v/>
      </c>
      <c r="AB574" s="4" t="str">
        <f t="shared" si="123"/>
        <v/>
      </c>
      <c r="AC574" s="5" t="str">
        <f t="shared" si="123"/>
        <v/>
      </c>
      <c r="AD574" s="3" t="str">
        <f t="shared" si="127"/>
        <v/>
      </c>
      <c r="AE574" s="4" t="str">
        <f t="shared" si="127"/>
        <v/>
      </c>
      <c r="AF574" s="4" t="str">
        <f t="shared" si="127"/>
        <v/>
      </c>
      <c r="AG574" s="4" t="str">
        <f t="shared" si="127"/>
        <v/>
      </c>
      <c r="AH574" s="4" t="str">
        <f t="shared" si="127"/>
        <v/>
      </c>
      <c r="AI574" s="4" t="str">
        <f t="shared" si="127"/>
        <v/>
      </c>
      <c r="AJ574" s="4" t="str">
        <f t="shared" si="127"/>
        <v/>
      </c>
      <c r="AK574" s="4" t="str">
        <f t="shared" si="127"/>
        <v/>
      </c>
      <c r="AL574" s="4" t="str">
        <f t="shared" si="118"/>
        <v/>
      </c>
      <c r="AM574" s="4" t="str">
        <f t="shared" si="124"/>
        <v/>
      </c>
      <c r="AN574" s="4" t="str">
        <f t="shared" si="124"/>
        <v/>
      </c>
      <c r="AO574" s="4" t="str">
        <f t="shared" si="124"/>
        <v/>
      </c>
      <c r="AP574" s="4" t="str">
        <f t="shared" si="124"/>
        <v/>
      </c>
      <c r="AQ574" s="4" t="str">
        <f t="shared" si="124"/>
        <v/>
      </c>
      <c r="AR574" s="4" t="str">
        <f t="shared" si="124"/>
        <v/>
      </c>
      <c r="AS574" s="5" t="str">
        <f t="shared" si="124"/>
        <v/>
      </c>
      <c r="AT574" s="3" t="str">
        <f t="shared" si="128"/>
        <v/>
      </c>
      <c r="AU574" s="4" t="str">
        <f t="shared" si="128"/>
        <v/>
      </c>
      <c r="AV574" s="4" t="str">
        <f t="shared" si="128"/>
        <v/>
      </c>
      <c r="AW574" s="4" t="str">
        <f t="shared" si="128"/>
        <v/>
      </c>
      <c r="AX574" s="4" t="str">
        <f t="shared" si="128"/>
        <v/>
      </c>
      <c r="AY574" s="4">
        <f t="shared" si="128"/>
        <v>1</v>
      </c>
      <c r="AZ574" s="4" t="str">
        <f t="shared" si="128"/>
        <v/>
      </c>
      <c r="BA574" s="4" t="str">
        <f t="shared" si="128"/>
        <v/>
      </c>
      <c r="BB574" s="4" t="str">
        <f t="shared" si="119"/>
        <v/>
      </c>
      <c r="BC574" s="4" t="str">
        <f t="shared" si="125"/>
        <v/>
      </c>
      <c r="BD574" s="4" t="str">
        <f t="shared" si="125"/>
        <v/>
      </c>
      <c r="BE574" s="4" t="str">
        <f t="shared" si="125"/>
        <v/>
      </c>
      <c r="BF574" s="4" t="str">
        <f t="shared" si="125"/>
        <v/>
      </c>
      <c r="BG574" s="4" t="str">
        <f t="shared" si="125"/>
        <v/>
      </c>
      <c r="BH574" s="4" t="str">
        <f t="shared" si="125"/>
        <v/>
      </c>
      <c r="BI574" s="5" t="str">
        <f t="shared" si="125"/>
        <v/>
      </c>
    </row>
    <row r="575" spans="1:61" x14ac:dyDescent="0.25">
      <c r="A575">
        <v>730626</v>
      </c>
      <c r="B575" t="s">
        <v>15</v>
      </c>
      <c r="C575" t="s">
        <v>16</v>
      </c>
      <c r="D575">
        <v>68084</v>
      </c>
      <c r="E575">
        <v>537</v>
      </c>
      <c r="F575">
        <v>25</v>
      </c>
      <c r="G575">
        <v>20134</v>
      </c>
      <c r="H575" t="s">
        <v>0</v>
      </c>
      <c r="I575">
        <v>5</v>
      </c>
      <c r="J575">
        <v>5</v>
      </c>
      <c r="K575">
        <v>127.55</v>
      </c>
      <c r="L575">
        <v>71.66</v>
      </c>
      <c r="M575">
        <v>55.89</v>
      </c>
      <c r="N575" s="3" t="str">
        <f t="shared" si="126"/>
        <v/>
      </c>
      <c r="O575" s="4" t="str">
        <f t="shared" si="126"/>
        <v/>
      </c>
      <c r="P575" s="4" t="str">
        <f t="shared" si="126"/>
        <v/>
      </c>
      <c r="Q575" s="4" t="str">
        <f t="shared" si="126"/>
        <v/>
      </c>
      <c r="R575" s="4" t="str">
        <f t="shared" si="126"/>
        <v/>
      </c>
      <c r="S575" s="4" t="str">
        <f t="shared" si="126"/>
        <v/>
      </c>
      <c r="T575" s="4" t="str">
        <f t="shared" si="126"/>
        <v/>
      </c>
      <c r="U575" s="4" t="str">
        <f t="shared" si="126"/>
        <v/>
      </c>
      <c r="V575" s="4" t="str">
        <f t="shared" si="117"/>
        <v/>
      </c>
      <c r="W575" s="4" t="str">
        <f t="shared" si="123"/>
        <v/>
      </c>
      <c r="X575" s="4" t="str">
        <f t="shared" si="123"/>
        <v/>
      </c>
      <c r="Y575" s="4" t="str">
        <f t="shared" si="123"/>
        <v/>
      </c>
      <c r="Z575" s="4" t="str">
        <f t="shared" si="123"/>
        <v/>
      </c>
      <c r="AA575" s="4" t="str">
        <f t="shared" si="123"/>
        <v/>
      </c>
      <c r="AB575" s="4" t="str">
        <f t="shared" si="123"/>
        <v/>
      </c>
      <c r="AC575" s="5" t="str">
        <f t="shared" si="123"/>
        <v/>
      </c>
      <c r="AD575" s="3" t="str">
        <f t="shared" si="127"/>
        <v/>
      </c>
      <c r="AE575" s="4" t="str">
        <f t="shared" si="127"/>
        <v/>
      </c>
      <c r="AF575" s="4" t="str">
        <f t="shared" si="127"/>
        <v/>
      </c>
      <c r="AG575" s="4" t="str">
        <f t="shared" si="127"/>
        <v/>
      </c>
      <c r="AH575" s="4" t="str">
        <f t="shared" si="127"/>
        <v/>
      </c>
      <c r="AI575" s="4" t="str">
        <f t="shared" si="127"/>
        <v/>
      </c>
      <c r="AJ575" s="4" t="str">
        <f t="shared" si="127"/>
        <v/>
      </c>
      <c r="AK575" s="4" t="str">
        <f t="shared" si="127"/>
        <v/>
      </c>
      <c r="AL575" s="4" t="str">
        <f t="shared" si="118"/>
        <v/>
      </c>
      <c r="AM575" s="4" t="str">
        <f t="shared" si="124"/>
        <v/>
      </c>
      <c r="AN575" s="4" t="str">
        <f t="shared" si="124"/>
        <v/>
      </c>
      <c r="AO575" s="4" t="str">
        <f t="shared" si="124"/>
        <v/>
      </c>
      <c r="AP575" s="4" t="str">
        <f t="shared" si="124"/>
        <v/>
      </c>
      <c r="AQ575" s="4" t="str">
        <f t="shared" si="124"/>
        <v/>
      </c>
      <c r="AR575" s="4" t="str">
        <f t="shared" si="124"/>
        <v/>
      </c>
      <c r="AS575" s="5" t="str">
        <f t="shared" si="124"/>
        <v/>
      </c>
      <c r="AT575" s="3" t="str">
        <f t="shared" si="128"/>
        <v/>
      </c>
      <c r="AU575" s="4" t="str">
        <f t="shared" si="128"/>
        <v/>
      </c>
      <c r="AV575" s="4" t="str">
        <f t="shared" si="128"/>
        <v/>
      </c>
      <c r="AW575" s="4" t="str">
        <f t="shared" si="128"/>
        <v/>
      </c>
      <c r="AX575" s="4" t="str">
        <f t="shared" si="128"/>
        <v/>
      </c>
      <c r="AY575" s="4" t="str">
        <f t="shared" si="128"/>
        <v/>
      </c>
      <c r="AZ575" s="4" t="str">
        <f t="shared" si="128"/>
        <v/>
      </c>
      <c r="BA575" s="4">
        <f t="shared" si="128"/>
        <v>1</v>
      </c>
      <c r="BB575" s="4" t="str">
        <f t="shared" si="119"/>
        <v/>
      </c>
      <c r="BC575" s="4" t="str">
        <f t="shared" si="125"/>
        <v/>
      </c>
      <c r="BD575" s="4" t="str">
        <f t="shared" si="125"/>
        <v/>
      </c>
      <c r="BE575" s="4" t="str">
        <f t="shared" si="125"/>
        <v/>
      </c>
      <c r="BF575" s="4" t="str">
        <f t="shared" si="125"/>
        <v/>
      </c>
      <c r="BG575" s="4" t="str">
        <f t="shared" si="125"/>
        <v/>
      </c>
      <c r="BH575" s="4" t="str">
        <f t="shared" si="125"/>
        <v/>
      </c>
      <c r="BI575" s="5" t="str">
        <f t="shared" si="125"/>
        <v/>
      </c>
    </row>
    <row r="576" spans="1:61" x14ac:dyDescent="0.25">
      <c r="A576">
        <v>357614</v>
      </c>
      <c r="B576" t="s">
        <v>14</v>
      </c>
      <c r="C576" t="s">
        <v>16</v>
      </c>
      <c r="D576">
        <v>68084</v>
      </c>
      <c r="E576">
        <v>609</v>
      </c>
      <c r="F576">
        <v>1</v>
      </c>
      <c r="G576">
        <v>20123</v>
      </c>
      <c r="H576" t="s">
        <v>0</v>
      </c>
      <c r="I576">
        <v>1033</v>
      </c>
      <c r="J576">
        <v>36</v>
      </c>
      <c r="K576">
        <v>1123.58</v>
      </c>
      <c r="L576">
        <v>758.04</v>
      </c>
      <c r="M576">
        <v>365.54</v>
      </c>
      <c r="N576" s="3" t="str">
        <f t="shared" si="126"/>
        <v/>
      </c>
      <c r="O576" s="4" t="str">
        <f t="shared" si="126"/>
        <v/>
      </c>
      <c r="P576" s="4" t="str">
        <f t="shared" si="126"/>
        <v/>
      </c>
      <c r="Q576" s="4" t="str">
        <f t="shared" si="126"/>
        <v/>
      </c>
      <c r="R576" s="4" t="str">
        <f t="shared" si="126"/>
        <v/>
      </c>
      <c r="S576" s="4" t="str">
        <f t="shared" si="126"/>
        <v/>
      </c>
      <c r="T576" s="4" t="str">
        <f t="shared" si="126"/>
        <v/>
      </c>
      <c r="U576" s="4" t="str">
        <f t="shared" si="126"/>
        <v/>
      </c>
      <c r="V576" s="4" t="str">
        <f t="shared" si="117"/>
        <v/>
      </c>
      <c r="W576" s="4" t="str">
        <f t="shared" si="123"/>
        <v/>
      </c>
      <c r="X576" s="4" t="str">
        <f t="shared" si="123"/>
        <v/>
      </c>
      <c r="Y576" s="4" t="str">
        <f t="shared" si="123"/>
        <v/>
      </c>
      <c r="Z576" s="4" t="str">
        <f t="shared" si="123"/>
        <v/>
      </c>
      <c r="AA576" s="4" t="str">
        <f t="shared" si="123"/>
        <v/>
      </c>
      <c r="AB576" s="4" t="str">
        <f t="shared" si="123"/>
        <v/>
      </c>
      <c r="AC576" s="5" t="str">
        <f t="shared" si="123"/>
        <v/>
      </c>
      <c r="AD576" s="3" t="str">
        <f t="shared" si="127"/>
        <v/>
      </c>
      <c r="AE576" s="4" t="str">
        <f t="shared" si="127"/>
        <v/>
      </c>
      <c r="AF576" s="4">
        <f t="shared" si="127"/>
        <v>1</v>
      </c>
      <c r="AG576" s="4" t="str">
        <f t="shared" si="127"/>
        <v/>
      </c>
      <c r="AH576" s="4" t="str">
        <f t="shared" si="127"/>
        <v/>
      </c>
      <c r="AI576" s="4" t="str">
        <f t="shared" si="127"/>
        <v/>
      </c>
      <c r="AJ576" s="4" t="str">
        <f t="shared" si="127"/>
        <v/>
      </c>
      <c r="AK576" s="4" t="str">
        <f t="shared" si="127"/>
        <v/>
      </c>
      <c r="AL576" s="4" t="str">
        <f t="shared" si="118"/>
        <v/>
      </c>
      <c r="AM576" s="4" t="str">
        <f t="shared" si="124"/>
        <v/>
      </c>
      <c r="AN576" s="4" t="str">
        <f t="shared" si="124"/>
        <v/>
      </c>
      <c r="AO576" s="4" t="str">
        <f t="shared" si="124"/>
        <v/>
      </c>
      <c r="AP576" s="4" t="str">
        <f t="shared" si="124"/>
        <v/>
      </c>
      <c r="AQ576" s="4" t="str">
        <f t="shared" si="124"/>
        <v/>
      </c>
      <c r="AR576" s="4" t="str">
        <f t="shared" si="124"/>
        <v/>
      </c>
      <c r="AS576" s="5" t="str">
        <f t="shared" si="124"/>
        <v/>
      </c>
      <c r="AT576" s="3" t="str">
        <f t="shared" si="128"/>
        <v/>
      </c>
      <c r="AU576" s="4" t="str">
        <f t="shared" si="128"/>
        <v/>
      </c>
      <c r="AV576" s="4" t="str">
        <f t="shared" si="128"/>
        <v/>
      </c>
      <c r="AW576" s="4" t="str">
        <f t="shared" si="128"/>
        <v/>
      </c>
      <c r="AX576" s="4" t="str">
        <f t="shared" si="128"/>
        <v/>
      </c>
      <c r="AY576" s="4" t="str">
        <f t="shared" si="128"/>
        <v/>
      </c>
      <c r="AZ576" s="4" t="str">
        <f t="shared" si="128"/>
        <v/>
      </c>
      <c r="BA576" s="4" t="str">
        <f t="shared" si="128"/>
        <v/>
      </c>
      <c r="BB576" s="4" t="str">
        <f t="shared" si="119"/>
        <v/>
      </c>
      <c r="BC576" s="4" t="str">
        <f t="shared" si="125"/>
        <v/>
      </c>
      <c r="BD576" s="4" t="str">
        <f t="shared" si="125"/>
        <v/>
      </c>
      <c r="BE576" s="4" t="str">
        <f t="shared" si="125"/>
        <v/>
      </c>
      <c r="BF576" s="4" t="str">
        <f t="shared" si="125"/>
        <v/>
      </c>
      <c r="BG576" s="4" t="str">
        <f t="shared" si="125"/>
        <v/>
      </c>
      <c r="BH576" s="4" t="str">
        <f t="shared" si="125"/>
        <v/>
      </c>
      <c r="BI576" s="5" t="str">
        <f t="shared" si="125"/>
        <v/>
      </c>
    </row>
    <row r="577" spans="1:61" x14ac:dyDescent="0.25">
      <c r="A577">
        <v>357615</v>
      </c>
      <c r="B577" t="s">
        <v>14</v>
      </c>
      <c r="C577" t="s">
        <v>16</v>
      </c>
      <c r="D577">
        <v>68084</v>
      </c>
      <c r="E577">
        <v>609</v>
      </c>
      <c r="F577">
        <v>1</v>
      </c>
      <c r="G577">
        <v>20124</v>
      </c>
      <c r="H577" t="s">
        <v>0</v>
      </c>
      <c r="I577">
        <v>2902</v>
      </c>
      <c r="J577">
        <v>126</v>
      </c>
      <c r="K577">
        <v>1640.78</v>
      </c>
      <c r="L577">
        <v>1606.78</v>
      </c>
      <c r="M577">
        <v>34</v>
      </c>
      <c r="N577" s="3" t="str">
        <f t="shared" si="126"/>
        <v/>
      </c>
      <c r="O577" s="4" t="str">
        <f t="shared" si="126"/>
        <v/>
      </c>
      <c r="P577" s="4" t="str">
        <f t="shared" si="126"/>
        <v/>
      </c>
      <c r="Q577" s="4" t="str">
        <f t="shared" si="126"/>
        <v/>
      </c>
      <c r="R577" s="4" t="str">
        <f t="shared" si="126"/>
        <v/>
      </c>
      <c r="S577" s="4" t="str">
        <f t="shared" si="126"/>
        <v/>
      </c>
      <c r="T577" s="4" t="str">
        <f t="shared" si="126"/>
        <v/>
      </c>
      <c r="U577" s="4" t="str">
        <f t="shared" si="126"/>
        <v/>
      </c>
      <c r="V577" s="4" t="str">
        <f t="shared" si="117"/>
        <v/>
      </c>
      <c r="W577" s="4" t="str">
        <f t="shared" si="123"/>
        <v/>
      </c>
      <c r="X577" s="4" t="str">
        <f t="shared" si="123"/>
        <v/>
      </c>
      <c r="Y577" s="4" t="str">
        <f t="shared" si="123"/>
        <v/>
      </c>
      <c r="Z577" s="4" t="str">
        <f t="shared" si="123"/>
        <v/>
      </c>
      <c r="AA577" s="4" t="str">
        <f t="shared" si="123"/>
        <v/>
      </c>
      <c r="AB577" s="4" t="str">
        <f t="shared" si="123"/>
        <v/>
      </c>
      <c r="AC577" s="5" t="str">
        <f t="shared" si="123"/>
        <v/>
      </c>
      <c r="AD577" s="3" t="str">
        <f t="shared" si="127"/>
        <v/>
      </c>
      <c r="AE577" s="4" t="str">
        <f t="shared" si="127"/>
        <v/>
      </c>
      <c r="AF577" s="4" t="str">
        <f t="shared" si="127"/>
        <v/>
      </c>
      <c r="AG577" s="4">
        <f t="shared" si="127"/>
        <v>1</v>
      </c>
      <c r="AH577" s="4" t="str">
        <f t="shared" si="127"/>
        <v/>
      </c>
      <c r="AI577" s="4" t="str">
        <f t="shared" si="127"/>
        <v/>
      </c>
      <c r="AJ577" s="4" t="str">
        <f t="shared" si="127"/>
        <v/>
      </c>
      <c r="AK577" s="4" t="str">
        <f t="shared" si="127"/>
        <v/>
      </c>
      <c r="AL577" s="4" t="str">
        <f t="shared" si="118"/>
        <v/>
      </c>
      <c r="AM577" s="4" t="str">
        <f t="shared" si="124"/>
        <v/>
      </c>
      <c r="AN577" s="4" t="str">
        <f t="shared" si="124"/>
        <v/>
      </c>
      <c r="AO577" s="4" t="str">
        <f t="shared" si="124"/>
        <v/>
      </c>
      <c r="AP577" s="4" t="str">
        <f t="shared" si="124"/>
        <v/>
      </c>
      <c r="AQ577" s="4" t="str">
        <f t="shared" si="124"/>
        <v/>
      </c>
      <c r="AR577" s="4" t="str">
        <f t="shared" si="124"/>
        <v/>
      </c>
      <c r="AS577" s="5" t="str">
        <f t="shared" si="124"/>
        <v/>
      </c>
      <c r="AT577" s="3" t="str">
        <f t="shared" si="128"/>
        <v/>
      </c>
      <c r="AU577" s="4" t="str">
        <f t="shared" si="128"/>
        <v/>
      </c>
      <c r="AV577" s="4" t="str">
        <f t="shared" si="128"/>
        <v/>
      </c>
      <c r="AW577" s="4" t="str">
        <f t="shared" si="128"/>
        <v/>
      </c>
      <c r="AX577" s="4" t="str">
        <f t="shared" si="128"/>
        <v/>
      </c>
      <c r="AY577" s="4" t="str">
        <f t="shared" si="128"/>
        <v/>
      </c>
      <c r="AZ577" s="4" t="str">
        <f t="shared" si="128"/>
        <v/>
      </c>
      <c r="BA577" s="4" t="str">
        <f t="shared" si="128"/>
        <v/>
      </c>
      <c r="BB577" s="4" t="str">
        <f t="shared" si="119"/>
        <v/>
      </c>
      <c r="BC577" s="4" t="str">
        <f t="shared" si="125"/>
        <v/>
      </c>
      <c r="BD577" s="4" t="str">
        <f t="shared" si="125"/>
        <v/>
      </c>
      <c r="BE577" s="4" t="str">
        <f t="shared" si="125"/>
        <v/>
      </c>
      <c r="BF577" s="4" t="str">
        <f t="shared" si="125"/>
        <v/>
      </c>
      <c r="BG577" s="4" t="str">
        <f t="shared" si="125"/>
        <v/>
      </c>
      <c r="BH577" s="4" t="str">
        <f t="shared" si="125"/>
        <v/>
      </c>
      <c r="BI577" s="5" t="str">
        <f t="shared" si="125"/>
        <v/>
      </c>
    </row>
    <row r="578" spans="1:61" x14ac:dyDescent="0.25">
      <c r="A578">
        <v>357616</v>
      </c>
      <c r="B578" t="s">
        <v>14</v>
      </c>
      <c r="C578" t="s">
        <v>16</v>
      </c>
      <c r="D578">
        <v>68084</v>
      </c>
      <c r="E578">
        <v>609</v>
      </c>
      <c r="F578">
        <v>11</v>
      </c>
      <c r="G578">
        <v>20123</v>
      </c>
      <c r="H578" t="s">
        <v>0</v>
      </c>
      <c r="I578">
        <v>210</v>
      </c>
      <c r="J578">
        <v>7</v>
      </c>
      <c r="K578">
        <v>932.95</v>
      </c>
      <c r="L578">
        <v>932.95</v>
      </c>
      <c r="M578">
        <v>0</v>
      </c>
      <c r="N578" s="3" t="str">
        <f t="shared" si="126"/>
        <v/>
      </c>
      <c r="O578" s="4" t="str">
        <f t="shared" si="126"/>
        <v/>
      </c>
      <c r="P578" s="4" t="str">
        <f t="shared" si="126"/>
        <v/>
      </c>
      <c r="Q578" s="4" t="str">
        <f t="shared" si="126"/>
        <v/>
      </c>
      <c r="R578" s="4" t="str">
        <f t="shared" si="126"/>
        <v/>
      </c>
      <c r="S578" s="4" t="str">
        <f t="shared" si="126"/>
        <v/>
      </c>
      <c r="T578" s="4" t="str">
        <f t="shared" si="126"/>
        <v/>
      </c>
      <c r="U578" s="4" t="str">
        <f t="shared" si="126"/>
        <v/>
      </c>
      <c r="V578" s="4" t="str">
        <f t="shared" si="117"/>
        <v/>
      </c>
      <c r="W578" s="4" t="str">
        <f t="shared" si="123"/>
        <v/>
      </c>
      <c r="X578" s="4" t="str">
        <f t="shared" si="123"/>
        <v/>
      </c>
      <c r="Y578" s="4" t="str">
        <f t="shared" si="123"/>
        <v/>
      </c>
      <c r="Z578" s="4" t="str">
        <f t="shared" si="123"/>
        <v/>
      </c>
      <c r="AA578" s="4" t="str">
        <f t="shared" si="123"/>
        <v/>
      </c>
      <c r="AB578" s="4" t="str">
        <f t="shared" si="123"/>
        <v/>
      </c>
      <c r="AC578" s="5" t="str">
        <f t="shared" si="123"/>
        <v/>
      </c>
      <c r="AD578" s="3" t="str">
        <f t="shared" si="127"/>
        <v/>
      </c>
      <c r="AE578" s="4" t="str">
        <f t="shared" si="127"/>
        <v/>
      </c>
      <c r="AF578" s="4">
        <f t="shared" si="127"/>
        <v>1</v>
      </c>
      <c r="AG578" s="4" t="str">
        <f t="shared" si="127"/>
        <v/>
      </c>
      <c r="AH578" s="4" t="str">
        <f t="shared" si="127"/>
        <v/>
      </c>
      <c r="AI578" s="4" t="str">
        <f t="shared" si="127"/>
        <v/>
      </c>
      <c r="AJ578" s="4" t="str">
        <f t="shared" si="127"/>
        <v/>
      </c>
      <c r="AK578" s="4" t="str">
        <f t="shared" si="127"/>
        <v/>
      </c>
      <c r="AL578" s="4" t="str">
        <f t="shared" si="118"/>
        <v/>
      </c>
      <c r="AM578" s="4" t="str">
        <f t="shared" si="124"/>
        <v/>
      </c>
      <c r="AN578" s="4" t="str">
        <f t="shared" si="124"/>
        <v/>
      </c>
      <c r="AO578" s="4" t="str">
        <f t="shared" si="124"/>
        <v/>
      </c>
      <c r="AP578" s="4" t="str">
        <f t="shared" si="124"/>
        <v/>
      </c>
      <c r="AQ578" s="4" t="str">
        <f t="shared" si="124"/>
        <v/>
      </c>
      <c r="AR578" s="4" t="str">
        <f t="shared" si="124"/>
        <v/>
      </c>
      <c r="AS578" s="5" t="str">
        <f t="shared" si="124"/>
        <v/>
      </c>
      <c r="AT578" s="3" t="str">
        <f t="shared" si="128"/>
        <v/>
      </c>
      <c r="AU578" s="4" t="str">
        <f t="shared" si="128"/>
        <v/>
      </c>
      <c r="AV578" s="4" t="str">
        <f t="shared" si="128"/>
        <v/>
      </c>
      <c r="AW578" s="4" t="str">
        <f t="shared" si="128"/>
        <v/>
      </c>
      <c r="AX578" s="4" t="str">
        <f t="shared" si="128"/>
        <v/>
      </c>
      <c r="AY578" s="4" t="str">
        <f t="shared" si="128"/>
        <v/>
      </c>
      <c r="AZ578" s="4" t="str">
        <f t="shared" si="128"/>
        <v/>
      </c>
      <c r="BA578" s="4" t="str">
        <f t="shared" si="128"/>
        <v/>
      </c>
      <c r="BB578" s="4" t="str">
        <f t="shared" si="119"/>
        <v/>
      </c>
      <c r="BC578" s="4" t="str">
        <f t="shared" si="125"/>
        <v/>
      </c>
      <c r="BD578" s="4" t="str">
        <f t="shared" si="125"/>
        <v/>
      </c>
      <c r="BE578" s="4" t="str">
        <f t="shared" si="125"/>
        <v/>
      </c>
      <c r="BF578" s="4" t="str">
        <f t="shared" si="125"/>
        <v/>
      </c>
      <c r="BG578" s="4" t="str">
        <f t="shared" si="125"/>
        <v/>
      </c>
      <c r="BH578" s="4" t="str">
        <f t="shared" si="125"/>
        <v/>
      </c>
      <c r="BI578" s="5" t="str">
        <f t="shared" si="125"/>
        <v/>
      </c>
    </row>
    <row r="579" spans="1:61" x14ac:dyDescent="0.25">
      <c r="A579">
        <v>357617</v>
      </c>
      <c r="B579" t="s">
        <v>14</v>
      </c>
      <c r="C579" t="s">
        <v>16</v>
      </c>
      <c r="D579">
        <v>68084</v>
      </c>
      <c r="E579">
        <v>609</v>
      </c>
      <c r="F579">
        <v>11</v>
      </c>
      <c r="G579">
        <v>20124</v>
      </c>
      <c r="H579" t="s">
        <v>0</v>
      </c>
      <c r="I579">
        <v>38</v>
      </c>
      <c r="J579">
        <v>9</v>
      </c>
      <c r="K579">
        <v>27.66</v>
      </c>
      <c r="L579">
        <v>27.66</v>
      </c>
      <c r="M579">
        <v>0</v>
      </c>
      <c r="N579" s="3" t="str">
        <f t="shared" si="126"/>
        <v/>
      </c>
      <c r="O579" s="4" t="str">
        <f t="shared" si="126"/>
        <v/>
      </c>
      <c r="P579" s="4" t="str">
        <f t="shared" si="126"/>
        <v/>
      </c>
      <c r="Q579" s="4" t="str">
        <f t="shared" si="126"/>
        <v/>
      </c>
      <c r="R579" s="4" t="str">
        <f t="shared" si="126"/>
        <v/>
      </c>
      <c r="S579" s="4" t="str">
        <f t="shared" si="126"/>
        <v/>
      </c>
      <c r="T579" s="4" t="str">
        <f t="shared" si="126"/>
        <v/>
      </c>
      <c r="U579" s="4" t="str">
        <f t="shared" si="126"/>
        <v/>
      </c>
      <c r="V579" s="4" t="str">
        <f t="shared" si="117"/>
        <v/>
      </c>
      <c r="W579" s="4" t="str">
        <f t="shared" si="123"/>
        <v/>
      </c>
      <c r="X579" s="4" t="str">
        <f t="shared" si="123"/>
        <v/>
      </c>
      <c r="Y579" s="4" t="str">
        <f t="shared" si="123"/>
        <v/>
      </c>
      <c r="Z579" s="4" t="str">
        <f t="shared" si="123"/>
        <v/>
      </c>
      <c r="AA579" s="4" t="str">
        <f t="shared" si="123"/>
        <v/>
      </c>
      <c r="AB579" s="4" t="str">
        <f t="shared" si="123"/>
        <v/>
      </c>
      <c r="AC579" s="5" t="str">
        <f t="shared" si="123"/>
        <v/>
      </c>
      <c r="AD579" s="3" t="str">
        <f t="shared" si="127"/>
        <v/>
      </c>
      <c r="AE579" s="4" t="str">
        <f t="shared" si="127"/>
        <v/>
      </c>
      <c r="AF579" s="4" t="str">
        <f t="shared" si="127"/>
        <v/>
      </c>
      <c r="AG579" s="4">
        <f t="shared" si="127"/>
        <v>1</v>
      </c>
      <c r="AH579" s="4" t="str">
        <f t="shared" si="127"/>
        <v/>
      </c>
      <c r="AI579" s="4" t="str">
        <f t="shared" si="127"/>
        <v/>
      </c>
      <c r="AJ579" s="4" t="str">
        <f t="shared" si="127"/>
        <v/>
      </c>
      <c r="AK579" s="4" t="str">
        <f t="shared" si="127"/>
        <v/>
      </c>
      <c r="AL579" s="4" t="str">
        <f t="shared" si="118"/>
        <v/>
      </c>
      <c r="AM579" s="4" t="str">
        <f t="shared" si="124"/>
        <v/>
      </c>
      <c r="AN579" s="4" t="str">
        <f t="shared" si="124"/>
        <v/>
      </c>
      <c r="AO579" s="4" t="str">
        <f t="shared" si="124"/>
        <v/>
      </c>
      <c r="AP579" s="4" t="str">
        <f t="shared" si="124"/>
        <v/>
      </c>
      <c r="AQ579" s="4" t="str">
        <f t="shared" si="124"/>
        <v/>
      </c>
      <c r="AR579" s="4" t="str">
        <f t="shared" si="124"/>
        <v/>
      </c>
      <c r="AS579" s="5" t="str">
        <f t="shared" si="124"/>
        <v/>
      </c>
      <c r="AT579" s="3" t="str">
        <f t="shared" si="128"/>
        <v/>
      </c>
      <c r="AU579" s="4" t="str">
        <f t="shared" si="128"/>
        <v/>
      </c>
      <c r="AV579" s="4" t="str">
        <f t="shared" si="128"/>
        <v/>
      </c>
      <c r="AW579" s="4" t="str">
        <f t="shared" si="128"/>
        <v/>
      </c>
      <c r="AX579" s="4" t="str">
        <f t="shared" si="128"/>
        <v/>
      </c>
      <c r="AY579" s="4" t="str">
        <f t="shared" si="128"/>
        <v/>
      </c>
      <c r="AZ579" s="4" t="str">
        <f t="shared" si="128"/>
        <v/>
      </c>
      <c r="BA579" s="4" t="str">
        <f t="shared" si="128"/>
        <v/>
      </c>
      <c r="BB579" s="4" t="str">
        <f t="shared" si="119"/>
        <v/>
      </c>
      <c r="BC579" s="4" t="str">
        <f t="shared" si="125"/>
        <v/>
      </c>
      <c r="BD579" s="4" t="str">
        <f t="shared" si="125"/>
        <v/>
      </c>
      <c r="BE579" s="4" t="str">
        <f t="shared" si="125"/>
        <v/>
      </c>
      <c r="BF579" s="4" t="str">
        <f t="shared" si="125"/>
        <v/>
      </c>
      <c r="BG579" s="4" t="str">
        <f t="shared" si="125"/>
        <v/>
      </c>
      <c r="BH579" s="4" t="str">
        <f t="shared" si="125"/>
        <v/>
      </c>
      <c r="BI579" s="5" t="str">
        <f t="shared" si="125"/>
        <v/>
      </c>
    </row>
    <row r="580" spans="1:61" x14ac:dyDescent="0.25">
      <c r="A580">
        <v>477676</v>
      </c>
      <c r="B580" t="s">
        <v>15</v>
      </c>
      <c r="C580" t="s">
        <v>16</v>
      </c>
      <c r="D580">
        <v>68084</v>
      </c>
      <c r="E580">
        <v>609</v>
      </c>
      <c r="F580">
        <v>1</v>
      </c>
      <c r="G580">
        <v>20123</v>
      </c>
      <c r="H580" t="s">
        <v>0</v>
      </c>
      <c r="I580">
        <v>30</v>
      </c>
      <c r="J580">
        <v>1</v>
      </c>
      <c r="K580">
        <v>25.39</v>
      </c>
      <c r="L580">
        <v>25.39</v>
      </c>
      <c r="M580">
        <v>0</v>
      </c>
      <c r="N580" s="3" t="str">
        <f t="shared" si="126"/>
        <v/>
      </c>
      <c r="O580" s="4" t="str">
        <f t="shared" si="126"/>
        <v/>
      </c>
      <c r="P580" s="4" t="str">
        <f t="shared" si="126"/>
        <v/>
      </c>
      <c r="Q580" s="4" t="str">
        <f t="shared" si="126"/>
        <v/>
      </c>
      <c r="R580" s="4" t="str">
        <f t="shared" si="126"/>
        <v/>
      </c>
      <c r="S580" s="4" t="str">
        <f t="shared" si="126"/>
        <v/>
      </c>
      <c r="T580" s="4" t="str">
        <f t="shared" si="126"/>
        <v/>
      </c>
      <c r="U580" s="4" t="str">
        <f t="shared" si="126"/>
        <v/>
      </c>
      <c r="V580" s="4" t="str">
        <f t="shared" si="117"/>
        <v/>
      </c>
      <c r="W580" s="4" t="str">
        <f t="shared" si="123"/>
        <v/>
      </c>
      <c r="X580" s="4" t="str">
        <f t="shared" si="123"/>
        <v/>
      </c>
      <c r="Y580" s="4" t="str">
        <f t="shared" si="123"/>
        <v/>
      </c>
      <c r="Z580" s="4" t="str">
        <f t="shared" si="123"/>
        <v/>
      </c>
      <c r="AA580" s="4" t="str">
        <f t="shared" si="123"/>
        <v/>
      </c>
      <c r="AB580" s="4" t="str">
        <f t="shared" si="123"/>
        <v/>
      </c>
      <c r="AC580" s="5" t="str">
        <f t="shared" si="123"/>
        <v/>
      </c>
      <c r="AD580" s="3" t="str">
        <f t="shared" si="127"/>
        <v/>
      </c>
      <c r="AE580" s="4" t="str">
        <f t="shared" si="127"/>
        <v/>
      </c>
      <c r="AF580" s="4" t="str">
        <f t="shared" si="127"/>
        <v/>
      </c>
      <c r="AG580" s="4" t="str">
        <f t="shared" si="127"/>
        <v/>
      </c>
      <c r="AH580" s="4" t="str">
        <f t="shared" si="127"/>
        <v/>
      </c>
      <c r="AI580" s="4" t="str">
        <f t="shared" si="127"/>
        <v/>
      </c>
      <c r="AJ580" s="4">
        <f t="shared" si="127"/>
        <v>1</v>
      </c>
      <c r="AK580" s="4" t="str">
        <f t="shared" si="127"/>
        <v/>
      </c>
      <c r="AL580" s="4" t="str">
        <f t="shared" si="118"/>
        <v/>
      </c>
      <c r="AM580" s="4" t="str">
        <f t="shared" si="124"/>
        <v/>
      </c>
      <c r="AN580" s="4" t="str">
        <f t="shared" si="124"/>
        <v/>
      </c>
      <c r="AO580" s="4" t="str">
        <f t="shared" si="124"/>
        <v/>
      </c>
      <c r="AP580" s="4" t="str">
        <f t="shared" si="124"/>
        <v/>
      </c>
      <c r="AQ580" s="4" t="str">
        <f t="shared" si="124"/>
        <v/>
      </c>
      <c r="AR580" s="4" t="str">
        <f t="shared" si="124"/>
        <v/>
      </c>
      <c r="AS580" s="5" t="str">
        <f t="shared" si="124"/>
        <v/>
      </c>
      <c r="AT580" s="3" t="str">
        <f t="shared" si="128"/>
        <v/>
      </c>
      <c r="AU580" s="4" t="str">
        <f t="shared" si="128"/>
        <v/>
      </c>
      <c r="AV580" s="4" t="str">
        <f t="shared" si="128"/>
        <v/>
      </c>
      <c r="AW580" s="4" t="str">
        <f t="shared" si="128"/>
        <v/>
      </c>
      <c r="AX580" s="4" t="str">
        <f t="shared" si="128"/>
        <v/>
      </c>
      <c r="AY580" s="4" t="str">
        <f t="shared" si="128"/>
        <v/>
      </c>
      <c r="AZ580" s="4" t="str">
        <f t="shared" si="128"/>
        <v/>
      </c>
      <c r="BA580" s="4" t="str">
        <f t="shared" si="128"/>
        <v/>
      </c>
      <c r="BB580" s="4" t="str">
        <f t="shared" si="119"/>
        <v/>
      </c>
      <c r="BC580" s="4" t="str">
        <f t="shared" si="125"/>
        <v/>
      </c>
      <c r="BD580" s="4" t="str">
        <f t="shared" si="125"/>
        <v/>
      </c>
      <c r="BE580" s="4" t="str">
        <f t="shared" si="125"/>
        <v/>
      </c>
      <c r="BF580" s="4" t="str">
        <f t="shared" si="125"/>
        <v/>
      </c>
      <c r="BG580" s="4" t="str">
        <f t="shared" si="125"/>
        <v/>
      </c>
      <c r="BH580" s="4" t="str">
        <f t="shared" si="125"/>
        <v/>
      </c>
      <c r="BI580" s="5" t="str">
        <f t="shared" si="125"/>
        <v/>
      </c>
    </row>
    <row r="581" spans="1:61" x14ac:dyDescent="0.25">
      <c r="A581">
        <v>477677</v>
      </c>
      <c r="B581" t="s">
        <v>15</v>
      </c>
      <c r="C581" t="s">
        <v>16</v>
      </c>
      <c r="D581">
        <v>68084</v>
      </c>
      <c r="E581">
        <v>609</v>
      </c>
      <c r="F581">
        <v>1</v>
      </c>
      <c r="G581">
        <v>20124</v>
      </c>
      <c r="H581" t="s">
        <v>0</v>
      </c>
      <c r="I581">
        <v>290</v>
      </c>
      <c r="J581">
        <v>23</v>
      </c>
      <c r="K581">
        <v>1722.58</v>
      </c>
      <c r="L581">
        <v>1719.58</v>
      </c>
      <c r="M581">
        <v>3</v>
      </c>
      <c r="N581" s="3" t="str">
        <f t="shared" si="126"/>
        <v/>
      </c>
      <c r="O581" s="4" t="str">
        <f t="shared" si="126"/>
        <v/>
      </c>
      <c r="P581" s="4" t="str">
        <f t="shared" si="126"/>
        <v/>
      </c>
      <c r="Q581" s="4" t="str">
        <f t="shared" si="126"/>
        <v/>
      </c>
      <c r="R581" s="4" t="str">
        <f t="shared" si="126"/>
        <v/>
      </c>
      <c r="S581" s="4" t="str">
        <f t="shared" si="126"/>
        <v/>
      </c>
      <c r="T581" s="4" t="str">
        <f t="shared" si="126"/>
        <v/>
      </c>
      <c r="U581" s="4" t="str">
        <f t="shared" si="126"/>
        <v/>
      </c>
      <c r="V581" s="4" t="str">
        <f t="shared" si="117"/>
        <v/>
      </c>
      <c r="W581" s="4" t="str">
        <f t="shared" si="123"/>
        <v/>
      </c>
      <c r="X581" s="4" t="str">
        <f t="shared" si="123"/>
        <v/>
      </c>
      <c r="Y581" s="4" t="str">
        <f t="shared" si="123"/>
        <v/>
      </c>
      <c r="Z581" s="4" t="str">
        <f t="shared" si="123"/>
        <v/>
      </c>
      <c r="AA581" s="4" t="str">
        <f t="shared" si="123"/>
        <v/>
      </c>
      <c r="AB581" s="4" t="str">
        <f t="shared" si="123"/>
        <v/>
      </c>
      <c r="AC581" s="5" t="str">
        <f t="shared" si="123"/>
        <v/>
      </c>
      <c r="AD581" s="3" t="str">
        <f t="shared" si="127"/>
        <v/>
      </c>
      <c r="AE581" s="4" t="str">
        <f t="shared" si="127"/>
        <v/>
      </c>
      <c r="AF581" s="4" t="str">
        <f t="shared" si="127"/>
        <v/>
      </c>
      <c r="AG581" s="4" t="str">
        <f t="shared" si="127"/>
        <v/>
      </c>
      <c r="AH581" s="4" t="str">
        <f t="shared" si="127"/>
        <v/>
      </c>
      <c r="AI581" s="4" t="str">
        <f t="shared" si="127"/>
        <v/>
      </c>
      <c r="AJ581" s="4" t="str">
        <f t="shared" si="127"/>
        <v/>
      </c>
      <c r="AK581" s="4">
        <f t="shared" si="127"/>
        <v>1</v>
      </c>
      <c r="AL581" s="4" t="str">
        <f t="shared" si="118"/>
        <v/>
      </c>
      <c r="AM581" s="4" t="str">
        <f t="shared" si="124"/>
        <v/>
      </c>
      <c r="AN581" s="4" t="str">
        <f t="shared" si="124"/>
        <v/>
      </c>
      <c r="AO581" s="4" t="str">
        <f t="shared" si="124"/>
        <v/>
      </c>
      <c r="AP581" s="4" t="str">
        <f t="shared" si="124"/>
        <v/>
      </c>
      <c r="AQ581" s="4" t="str">
        <f t="shared" si="124"/>
        <v/>
      </c>
      <c r="AR581" s="4" t="str">
        <f t="shared" si="124"/>
        <v/>
      </c>
      <c r="AS581" s="5" t="str">
        <f t="shared" si="124"/>
        <v/>
      </c>
      <c r="AT581" s="3" t="str">
        <f t="shared" si="128"/>
        <v/>
      </c>
      <c r="AU581" s="4" t="str">
        <f t="shared" si="128"/>
        <v/>
      </c>
      <c r="AV581" s="4" t="str">
        <f t="shared" si="128"/>
        <v/>
      </c>
      <c r="AW581" s="4" t="str">
        <f t="shared" si="128"/>
        <v/>
      </c>
      <c r="AX581" s="4" t="str">
        <f t="shared" si="128"/>
        <v/>
      </c>
      <c r="AY581" s="4" t="str">
        <f t="shared" si="128"/>
        <v/>
      </c>
      <c r="AZ581" s="4" t="str">
        <f t="shared" si="128"/>
        <v/>
      </c>
      <c r="BA581" s="4" t="str">
        <f t="shared" si="128"/>
        <v/>
      </c>
      <c r="BB581" s="4" t="str">
        <f t="shared" si="119"/>
        <v/>
      </c>
      <c r="BC581" s="4" t="str">
        <f t="shared" si="125"/>
        <v/>
      </c>
      <c r="BD581" s="4" t="str">
        <f t="shared" si="125"/>
        <v/>
      </c>
      <c r="BE581" s="4" t="str">
        <f t="shared" si="125"/>
        <v/>
      </c>
      <c r="BF581" s="4" t="str">
        <f t="shared" si="125"/>
        <v/>
      </c>
      <c r="BG581" s="4" t="str">
        <f t="shared" si="125"/>
        <v/>
      </c>
      <c r="BH581" s="4" t="str">
        <f t="shared" si="125"/>
        <v/>
      </c>
      <c r="BI581" s="5" t="str">
        <f t="shared" si="125"/>
        <v/>
      </c>
    </row>
    <row r="582" spans="1:61" x14ac:dyDescent="0.25">
      <c r="A582">
        <v>604372</v>
      </c>
      <c r="B582" t="s">
        <v>14</v>
      </c>
      <c r="C582" t="s">
        <v>16</v>
      </c>
      <c r="D582">
        <v>68084</v>
      </c>
      <c r="E582">
        <v>609</v>
      </c>
      <c r="F582">
        <v>1</v>
      </c>
      <c r="G582">
        <v>20131</v>
      </c>
      <c r="H582" t="s">
        <v>0</v>
      </c>
      <c r="I582">
        <v>2910</v>
      </c>
      <c r="J582">
        <v>119</v>
      </c>
      <c r="K582">
        <v>1457.02</v>
      </c>
      <c r="L582">
        <v>1423.02</v>
      </c>
      <c r="M582">
        <v>34</v>
      </c>
      <c r="N582" s="3" t="str">
        <f t="shared" si="126"/>
        <v/>
      </c>
      <c r="O582" s="4" t="str">
        <f t="shared" si="126"/>
        <v/>
      </c>
      <c r="P582" s="4" t="str">
        <f t="shared" si="126"/>
        <v/>
      </c>
      <c r="Q582" s="4" t="str">
        <f t="shared" si="126"/>
        <v/>
      </c>
      <c r="R582" s="4" t="str">
        <f t="shared" si="126"/>
        <v/>
      </c>
      <c r="S582" s="4" t="str">
        <f t="shared" si="126"/>
        <v/>
      </c>
      <c r="T582" s="4" t="str">
        <f t="shared" si="126"/>
        <v/>
      </c>
      <c r="U582" s="4" t="str">
        <f t="shared" si="126"/>
        <v/>
      </c>
      <c r="V582" s="4" t="str">
        <f t="shared" si="117"/>
        <v/>
      </c>
      <c r="W582" s="4" t="str">
        <f t="shared" si="123"/>
        <v/>
      </c>
      <c r="X582" s="4" t="str">
        <f t="shared" si="123"/>
        <v/>
      </c>
      <c r="Y582" s="4" t="str">
        <f t="shared" si="123"/>
        <v/>
      </c>
      <c r="Z582" s="4" t="str">
        <f t="shared" si="123"/>
        <v/>
      </c>
      <c r="AA582" s="4" t="str">
        <f t="shared" si="123"/>
        <v/>
      </c>
      <c r="AB582" s="4" t="str">
        <f t="shared" si="123"/>
        <v/>
      </c>
      <c r="AC582" s="5" t="str">
        <f t="shared" si="123"/>
        <v/>
      </c>
      <c r="AD582" s="3" t="str">
        <f t="shared" si="127"/>
        <v/>
      </c>
      <c r="AE582" s="4" t="str">
        <f t="shared" si="127"/>
        <v/>
      </c>
      <c r="AF582" s="4" t="str">
        <f t="shared" si="127"/>
        <v/>
      </c>
      <c r="AG582" s="4" t="str">
        <f t="shared" si="127"/>
        <v/>
      </c>
      <c r="AH582" s="4" t="str">
        <f t="shared" si="127"/>
        <v/>
      </c>
      <c r="AI582" s="4" t="str">
        <f t="shared" si="127"/>
        <v/>
      </c>
      <c r="AJ582" s="4" t="str">
        <f t="shared" si="127"/>
        <v/>
      </c>
      <c r="AK582" s="4" t="str">
        <f t="shared" si="127"/>
        <v/>
      </c>
      <c r="AL582" s="4" t="str">
        <f t="shared" si="118"/>
        <v/>
      </c>
      <c r="AM582" s="4" t="str">
        <f t="shared" si="124"/>
        <v/>
      </c>
      <c r="AN582" s="4" t="str">
        <f t="shared" si="124"/>
        <v/>
      </c>
      <c r="AO582" s="4" t="str">
        <f t="shared" si="124"/>
        <v/>
      </c>
      <c r="AP582" s="4" t="str">
        <f t="shared" si="124"/>
        <v/>
      </c>
      <c r="AQ582" s="4" t="str">
        <f t="shared" si="124"/>
        <v/>
      </c>
      <c r="AR582" s="4" t="str">
        <f t="shared" si="124"/>
        <v/>
      </c>
      <c r="AS582" s="5" t="str">
        <f t="shared" si="124"/>
        <v/>
      </c>
      <c r="AT582" s="3">
        <f t="shared" si="128"/>
        <v>1</v>
      </c>
      <c r="AU582" s="4" t="str">
        <f t="shared" si="128"/>
        <v/>
      </c>
      <c r="AV582" s="4" t="str">
        <f t="shared" si="128"/>
        <v/>
      </c>
      <c r="AW582" s="4" t="str">
        <f t="shared" si="128"/>
        <v/>
      </c>
      <c r="AX582" s="4" t="str">
        <f t="shared" si="128"/>
        <v/>
      </c>
      <c r="AY582" s="4" t="str">
        <f t="shared" si="128"/>
        <v/>
      </c>
      <c r="AZ582" s="4" t="str">
        <f t="shared" si="128"/>
        <v/>
      </c>
      <c r="BA582" s="4" t="str">
        <f t="shared" si="128"/>
        <v/>
      </c>
      <c r="BB582" s="4" t="str">
        <f t="shared" si="119"/>
        <v/>
      </c>
      <c r="BC582" s="4" t="str">
        <f t="shared" si="125"/>
        <v/>
      </c>
      <c r="BD582" s="4" t="str">
        <f t="shared" si="125"/>
        <v/>
      </c>
      <c r="BE582" s="4" t="str">
        <f t="shared" si="125"/>
        <v/>
      </c>
      <c r="BF582" s="4" t="str">
        <f t="shared" si="125"/>
        <v/>
      </c>
      <c r="BG582" s="4" t="str">
        <f t="shared" si="125"/>
        <v/>
      </c>
      <c r="BH582" s="4" t="str">
        <f t="shared" si="125"/>
        <v/>
      </c>
      <c r="BI582" s="5" t="str">
        <f t="shared" si="125"/>
        <v/>
      </c>
    </row>
    <row r="583" spans="1:61" x14ac:dyDescent="0.25">
      <c r="A583">
        <v>604373</v>
      </c>
      <c r="B583" t="s">
        <v>14</v>
      </c>
      <c r="C583" t="s">
        <v>16</v>
      </c>
      <c r="D583">
        <v>68084</v>
      </c>
      <c r="E583">
        <v>609</v>
      </c>
      <c r="F583">
        <v>1</v>
      </c>
      <c r="G583">
        <v>20132</v>
      </c>
      <c r="H583" t="s">
        <v>0</v>
      </c>
      <c r="I583">
        <v>3160</v>
      </c>
      <c r="J583">
        <v>168</v>
      </c>
      <c r="K583">
        <v>1585.15</v>
      </c>
      <c r="L583">
        <v>1576.71</v>
      </c>
      <c r="M583">
        <v>8.44</v>
      </c>
      <c r="N583" s="3" t="str">
        <f t="shared" si="126"/>
        <v/>
      </c>
      <c r="O583" s="4" t="str">
        <f t="shared" si="126"/>
        <v/>
      </c>
      <c r="P583" s="4" t="str">
        <f t="shared" si="126"/>
        <v/>
      </c>
      <c r="Q583" s="4" t="str">
        <f t="shared" si="126"/>
        <v/>
      </c>
      <c r="R583" s="4" t="str">
        <f t="shared" si="126"/>
        <v/>
      </c>
      <c r="S583" s="4" t="str">
        <f t="shared" si="126"/>
        <v/>
      </c>
      <c r="T583" s="4" t="str">
        <f t="shared" si="126"/>
        <v/>
      </c>
      <c r="U583" s="4" t="str">
        <f t="shared" si="126"/>
        <v/>
      </c>
      <c r="V583" s="4" t="str">
        <f t="shared" si="117"/>
        <v/>
      </c>
      <c r="W583" s="4" t="str">
        <f t="shared" si="123"/>
        <v/>
      </c>
      <c r="X583" s="4" t="str">
        <f t="shared" si="123"/>
        <v/>
      </c>
      <c r="Y583" s="4" t="str">
        <f t="shared" si="123"/>
        <v/>
      </c>
      <c r="Z583" s="4" t="str">
        <f t="shared" si="123"/>
        <v/>
      </c>
      <c r="AA583" s="4" t="str">
        <f t="shared" si="123"/>
        <v/>
      </c>
      <c r="AB583" s="4" t="str">
        <f t="shared" si="123"/>
        <v/>
      </c>
      <c r="AC583" s="5" t="str">
        <f t="shared" si="123"/>
        <v/>
      </c>
      <c r="AD583" s="3" t="str">
        <f t="shared" si="127"/>
        <v/>
      </c>
      <c r="AE583" s="4" t="str">
        <f t="shared" si="127"/>
        <v/>
      </c>
      <c r="AF583" s="4" t="str">
        <f t="shared" si="127"/>
        <v/>
      </c>
      <c r="AG583" s="4" t="str">
        <f t="shared" si="127"/>
        <v/>
      </c>
      <c r="AH583" s="4" t="str">
        <f t="shared" si="127"/>
        <v/>
      </c>
      <c r="AI583" s="4" t="str">
        <f t="shared" si="127"/>
        <v/>
      </c>
      <c r="AJ583" s="4" t="str">
        <f t="shared" si="127"/>
        <v/>
      </c>
      <c r="AK583" s="4" t="str">
        <f t="shared" si="127"/>
        <v/>
      </c>
      <c r="AL583" s="4" t="str">
        <f t="shared" si="118"/>
        <v/>
      </c>
      <c r="AM583" s="4" t="str">
        <f t="shared" si="124"/>
        <v/>
      </c>
      <c r="AN583" s="4" t="str">
        <f t="shared" si="124"/>
        <v/>
      </c>
      <c r="AO583" s="4" t="str">
        <f t="shared" si="124"/>
        <v/>
      </c>
      <c r="AP583" s="4" t="str">
        <f t="shared" si="124"/>
        <v/>
      </c>
      <c r="AQ583" s="4" t="str">
        <f t="shared" si="124"/>
        <v/>
      </c>
      <c r="AR583" s="4" t="str">
        <f t="shared" si="124"/>
        <v/>
      </c>
      <c r="AS583" s="5" t="str">
        <f t="shared" si="124"/>
        <v/>
      </c>
      <c r="AT583" s="3" t="str">
        <f t="shared" si="128"/>
        <v/>
      </c>
      <c r="AU583" s="4">
        <f t="shared" si="128"/>
        <v>1</v>
      </c>
      <c r="AV583" s="4" t="str">
        <f t="shared" si="128"/>
        <v/>
      </c>
      <c r="AW583" s="4" t="str">
        <f t="shared" si="128"/>
        <v/>
      </c>
      <c r="AX583" s="4" t="str">
        <f t="shared" si="128"/>
        <v/>
      </c>
      <c r="AY583" s="4" t="str">
        <f t="shared" si="128"/>
        <v/>
      </c>
      <c r="AZ583" s="4" t="str">
        <f t="shared" si="128"/>
        <v/>
      </c>
      <c r="BA583" s="4" t="str">
        <f t="shared" si="128"/>
        <v/>
      </c>
      <c r="BB583" s="4" t="str">
        <f t="shared" si="119"/>
        <v/>
      </c>
      <c r="BC583" s="4" t="str">
        <f t="shared" si="125"/>
        <v/>
      </c>
      <c r="BD583" s="4" t="str">
        <f t="shared" si="125"/>
        <v/>
      </c>
      <c r="BE583" s="4" t="str">
        <f t="shared" si="125"/>
        <v/>
      </c>
      <c r="BF583" s="4" t="str">
        <f t="shared" si="125"/>
        <v/>
      </c>
      <c r="BG583" s="4" t="str">
        <f t="shared" si="125"/>
        <v/>
      </c>
      <c r="BH583" s="4" t="str">
        <f t="shared" si="125"/>
        <v/>
      </c>
      <c r="BI583" s="5" t="str">
        <f t="shared" si="125"/>
        <v/>
      </c>
    </row>
    <row r="584" spans="1:61" x14ac:dyDescent="0.25">
      <c r="A584">
        <v>604374</v>
      </c>
      <c r="B584" t="s">
        <v>14</v>
      </c>
      <c r="C584" t="s">
        <v>16</v>
      </c>
      <c r="D584">
        <v>68084</v>
      </c>
      <c r="E584">
        <v>609</v>
      </c>
      <c r="F584">
        <v>1</v>
      </c>
      <c r="G584">
        <v>20133</v>
      </c>
      <c r="H584" t="s">
        <v>0</v>
      </c>
      <c r="I584">
        <v>2564</v>
      </c>
      <c r="J584">
        <v>108</v>
      </c>
      <c r="K584">
        <v>1301.55</v>
      </c>
      <c r="L584">
        <v>1299.55</v>
      </c>
      <c r="M584">
        <v>2</v>
      </c>
      <c r="N584" s="3" t="str">
        <f t="shared" si="126"/>
        <v/>
      </c>
      <c r="O584" s="4" t="str">
        <f t="shared" si="126"/>
        <v/>
      </c>
      <c r="P584" s="4" t="str">
        <f t="shared" si="126"/>
        <v/>
      </c>
      <c r="Q584" s="4" t="str">
        <f t="shared" si="126"/>
        <v/>
      </c>
      <c r="R584" s="4" t="str">
        <f t="shared" si="126"/>
        <v/>
      </c>
      <c r="S584" s="4" t="str">
        <f t="shared" si="126"/>
        <v/>
      </c>
      <c r="T584" s="4" t="str">
        <f t="shared" si="126"/>
        <v/>
      </c>
      <c r="U584" s="4" t="str">
        <f t="shared" si="126"/>
        <v/>
      </c>
      <c r="V584" s="4" t="str">
        <f t="shared" si="117"/>
        <v/>
      </c>
      <c r="W584" s="4" t="str">
        <f t="shared" si="123"/>
        <v/>
      </c>
      <c r="X584" s="4" t="str">
        <f t="shared" si="123"/>
        <v/>
      </c>
      <c r="Y584" s="4" t="str">
        <f t="shared" si="123"/>
        <v/>
      </c>
      <c r="Z584" s="4" t="str">
        <f t="shared" si="123"/>
        <v/>
      </c>
      <c r="AA584" s="4" t="str">
        <f t="shared" si="123"/>
        <v/>
      </c>
      <c r="AB584" s="4" t="str">
        <f t="shared" si="123"/>
        <v/>
      </c>
      <c r="AC584" s="5" t="str">
        <f t="shared" si="123"/>
        <v/>
      </c>
      <c r="AD584" s="3" t="str">
        <f t="shared" si="127"/>
        <v/>
      </c>
      <c r="AE584" s="4" t="str">
        <f t="shared" si="127"/>
        <v/>
      </c>
      <c r="AF584" s="4" t="str">
        <f t="shared" si="127"/>
        <v/>
      </c>
      <c r="AG584" s="4" t="str">
        <f t="shared" si="127"/>
        <v/>
      </c>
      <c r="AH584" s="4" t="str">
        <f t="shared" si="127"/>
        <v/>
      </c>
      <c r="AI584" s="4" t="str">
        <f t="shared" si="127"/>
        <v/>
      </c>
      <c r="AJ584" s="4" t="str">
        <f t="shared" si="127"/>
        <v/>
      </c>
      <c r="AK584" s="4" t="str">
        <f t="shared" si="127"/>
        <v/>
      </c>
      <c r="AL584" s="4" t="str">
        <f t="shared" si="118"/>
        <v/>
      </c>
      <c r="AM584" s="4" t="str">
        <f t="shared" si="124"/>
        <v/>
      </c>
      <c r="AN584" s="4" t="str">
        <f t="shared" si="124"/>
        <v/>
      </c>
      <c r="AO584" s="4" t="str">
        <f t="shared" si="124"/>
        <v/>
      </c>
      <c r="AP584" s="4" t="str">
        <f t="shared" si="124"/>
        <v/>
      </c>
      <c r="AQ584" s="4" t="str">
        <f t="shared" si="124"/>
        <v/>
      </c>
      <c r="AR584" s="4" t="str">
        <f t="shared" si="124"/>
        <v/>
      </c>
      <c r="AS584" s="5" t="str">
        <f t="shared" si="124"/>
        <v/>
      </c>
      <c r="AT584" s="3" t="str">
        <f t="shared" si="128"/>
        <v/>
      </c>
      <c r="AU584" s="4" t="str">
        <f t="shared" si="128"/>
        <v/>
      </c>
      <c r="AV584" s="4">
        <f t="shared" si="128"/>
        <v>1</v>
      </c>
      <c r="AW584" s="4" t="str">
        <f t="shared" si="128"/>
        <v/>
      </c>
      <c r="AX584" s="4" t="str">
        <f t="shared" si="128"/>
        <v/>
      </c>
      <c r="AY584" s="4" t="str">
        <f t="shared" si="128"/>
        <v/>
      </c>
      <c r="AZ584" s="4" t="str">
        <f t="shared" si="128"/>
        <v/>
      </c>
      <c r="BA584" s="4" t="str">
        <f t="shared" si="128"/>
        <v/>
      </c>
      <c r="BB584" s="4" t="str">
        <f t="shared" si="119"/>
        <v/>
      </c>
      <c r="BC584" s="4" t="str">
        <f t="shared" si="125"/>
        <v/>
      </c>
      <c r="BD584" s="4" t="str">
        <f t="shared" si="125"/>
        <v/>
      </c>
      <c r="BE584" s="4" t="str">
        <f t="shared" si="125"/>
        <v/>
      </c>
      <c r="BF584" s="4" t="str">
        <f t="shared" si="125"/>
        <v/>
      </c>
      <c r="BG584" s="4" t="str">
        <f t="shared" si="125"/>
        <v/>
      </c>
      <c r="BH584" s="4" t="str">
        <f t="shared" si="125"/>
        <v/>
      </c>
      <c r="BI584" s="5" t="str">
        <f t="shared" si="125"/>
        <v/>
      </c>
    </row>
    <row r="585" spans="1:61" x14ac:dyDescent="0.25">
      <c r="A585">
        <v>604375</v>
      </c>
      <c r="B585" t="s">
        <v>14</v>
      </c>
      <c r="C585" t="s">
        <v>16</v>
      </c>
      <c r="D585">
        <v>68084</v>
      </c>
      <c r="E585">
        <v>609</v>
      </c>
      <c r="F585">
        <v>1</v>
      </c>
      <c r="G585">
        <v>20134</v>
      </c>
      <c r="H585" t="s">
        <v>0</v>
      </c>
      <c r="I585">
        <v>3229</v>
      </c>
      <c r="J585">
        <v>118</v>
      </c>
      <c r="K585">
        <v>2432.98</v>
      </c>
      <c r="L585">
        <v>2432.98</v>
      </c>
      <c r="M585">
        <v>0</v>
      </c>
      <c r="N585" s="3" t="str">
        <f t="shared" si="126"/>
        <v/>
      </c>
      <c r="O585" s="4" t="str">
        <f t="shared" si="126"/>
        <v/>
      </c>
      <c r="P585" s="4" t="str">
        <f t="shared" si="126"/>
        <v/>
      </c>
      <c r="Q585" s="4" t="str">
        <f t="shared" si="126"/>
        <v/>
      </c>
      <c r="R585" s="4" t="str">
        <f t="shared" si="126"/>
        <v/>
      </c>
      <c r="S585" s="4" t="str">
        <f t="shared" si="126"/>
        <v/>
      </c>
      <c r="T585" s="4" t="str">
        <f t="shared" si="126"/>
        <v/>
      </c>
      <c r="U585" s="4" t="str">
        <f t="shared" si="126"/>
        <v/>
      </c>
      <c r="V585" s="4" t="str">
        <f t="shared" ref="V585:V602" si="129">IF(AND($B585=V$3, $G585=V$2, LEFT($H585, 6)=V$1), 1, "")</f>
        <v/>
      </c>
      <c r="W585" s="4" t="str">
        <f t="shared" si="123"/>
        <v/>
      </c>
      <c r="X585" s="4" t="str">
        <f t="shared" si="123"/>
        <v/>
      </c>
      <c r="Y585" s="4" t="str">
        <f t="shared" si="123"/>
        <v/>
      </c>
      <c r="Z585" s="4" t="str">
        <f t="shared" si="123"/>
        <v/>
      </c>
      <c r="AA585" s="4" t="str">
        <f t="shared" si="123"/>
        <v/>
      </c>
      <c r="AB585" s="4" t="str">
        <f t="shared" si="123"/>
        <v/>
      </c>
      <c r="AC585" s="5" t="str">
        <f t="shared" si="123"/>
        <v/>
      </c>
      <c r="AD585" s="3" t="str">
        <f t="shared" si="127"/>
        <v/>
      </c>
      <c r="AE585" s="4" t="str">
        <f t="shared" si="127"/>
        <v/>
      </c>
      <c r="AF585" s="4" t="str">
        <f t="shared" si="127"/>
        <v/>
      </c>
      <c r="AG585" s="4" t="str">
        <f t="shared" si="127"/>
        <v/>
      </c>
      <c r="AH585" s="4" t="str">
        <f t="shared" si="127"/>
        <v/>
      </c>
      <c r="AI585" s="4" t="str">
        <f t="shared" si="127"/>
        <v/>
      </c>
      <c r="AJ585" s="4" t="str">
        <f t="shared" si="127"/>
        <v/>
      </c>
      <c r="AK585" s="4" t="str">
        <f t="shared" si="127"/>
        <v/>
      </c>
      <c r="AL585" s="4" t="str">
        <f t="shared" ref="AL585:AL602" si="130">IF(AND($B585=AL$3, $G585=AL$2, LEFT($H585, 6)=AL$1), 1, "")</f>
        <v/>
      </c>
      <c r="AM585" s="4" t="str">
        <f t="shared" si="124"/>
        <v/>
      </c>
      <c r="AN585" s="4" t="str">
        <f t="shared" si="124"/>
        <v/>
      </c>
      <c r="AO585" s="4" t="str">
        <f t="shared" si="124"/>
        <v/>
      </c>
      <c r="AP585" s="4" t="str">
        <f t="shared" si="124"/>
        <v/>
      </c>
      <c r="AQ585" s="4" t="str">
        <f t="shared" si="124"/>
        <v/>
      </c>
      <c r="AR585" s="4" t="str">
        <f t="shared" si="124"/>
        <v/>
      </c>
      <c r="AS585" s="5" t="str">
        <f t="shared" si="124"/>
        <v/>
      </c>
      <c r="AT585" s="3" t="str">
        <f t="shared" si="128"/>
        <v/>
      </c>
      <c r="AU585" s="4" t="str">
        <f t="shared" si="128"/>
        <v/>
      </c>
      <c r="AV585" s="4" t="str">
        <f t="shared" si="128"/>
        <v/>
      </c>
      <c r="AW585" s="4">
        <f t="shared" si="128"/>
        <v>1</v>
      </c>
      <c r="AX585" s="4" t="str">
        <f t="shared" si="128"/>
        <v/>
      </c>
      <c r="AY585" s="4" t="str">
        <f t="shared" si="128"/>
        <v/>
      </c>
      <c r="AZ585" s="4" t="str">
        <f t="shared" si="128"/>
        <v/>
      </c>
      <c r="BA585" s="4" t="str">
        <f t="shared" si="128"/>
        <v/>
      </c>
      <c r="BB585" s="4" t="str">
        <f t="shared" ref="BB585:BB602" si="131">IF(AND($B585=BB$3, $G585=BB$2, LEFT($H585, 6)=BB$1), 1, "")</f>
        <v/>
      </c>
      <c r="BC585" s="4" t="str">
        <f t="shared" si="125"/>
        <v/>
      </c>
      <c r="BD585" s="4" t="str">
        <f t="shared" si="125"/>
        <v/>
      </c>
      <c r="BE585" s="4" t="str">
        <f t="shared" si="125"/>
        <v/>
      </c>
      <c r="BF585" s="4" t="str">
        <f t="shared" si="125"/>
        <v/>
      </c>
      <c r="BG585" s="4" t="str">
        <f t="shared" si="125"/>
        <v/>
      </c>
      <c r="BH585" s="4" t="str">
        <f t="shared" si="125"/>
        <v/>
      </c>
      <c r="BI585" s="5" t="str">
        <f t="shared" si="125"/>
        <v/>
      </c>
    </row>
    <row r="586" spans="1:61" x14ac:dyDescent="0.25">
      <c r="A586">
        <v>604376</v>
      </c>
      <c r="B586" t="s">
        <v>14</v>
      </c>
      <c r="C586" t="s">
        <v>16</v>
      </c>
      <c r="D586">
        <v>68084</v>
      </c>
      <c r="E586">
        <v>609</v>
      </c>
      <c r="F586">
        <v>11</v>
      </c>
      <c r="G586">
        <v>20131</v>
      </c>
      <c r="H586" t="s">
        <v>0</v>
      </c>
      <c r="I586">
        <v>46</v>
      </c>
      <c r="J586">
        <v>17</v>
      </c>
      <c r="K586">
        <v>63.64</v>
      </c>
      <c r="L586">
        <v>63.64</v>
      </c>
      <c r="M586">
        <v>0</v>
      </c>
      <c r="N586" s="3" t="str">
        <f t="shared" si="126"/>
        <v/>
      </c>
      <c r="O586" s="4" t="str">
        <f t="shared" si="126"/>
        <v/>
      </c>
      <c r="P586" s="4" t="str">
        <f t="shared" si="126"/>
        <v/>
      </c>
      <c r="Q586" s="4" t="str">
        <f t="shared" si="126"/>
        <v/>
      </c>
      <c r="R586" s="4" t="str">
        <f t="shared" si="126"/>
        <v/>
      </c>
      <c r="S586" s="4" t="str">
        <f t="shared" si="126"/>
        <v/>
      </c>
      <c r="T586" s="4" t="str">
        <f t="shared" si="126"/>
        <v/>
      </c>
      <c r="U586" s="4" t="str">
        <f t="shared" si="126"/>
        <v/>
      </c>
      <c r="V586" s="4" t="str">
        <f t="shared" si="129"/>
        <v/>
      </c>
      <c r="W586" s="4" t="str">
        <f t="shared" si="123"/>
        <v/>
      </c>
      <c r="X586" s="4" t="str">
        <f t="shared" si="123"/>
        <v/>
      </c>
      <c r="Y586" s="4" t="str">
        <f t="shared" si="123"/>
        <v/>
      </c>
      <c r="Z586" s="4" t="str">
        <f t="shared" si="123"/>
        <v/>
      </c>
      <c r="AA586" s="4" t="str">
        <f t="shared" si="123"/>
        <v/>
      </c>
      <c r="AB586" s="4" t="str">
        <f t="shared" si="123"/>
        <v/>
      </c>
      <c r="AC586" s="5" t="str">
        <f t="shared" si="123"/>
        <v/>
      </c>
      <c r="AD586" s="3" t="str">
        <f t="shared" si="127"/>
        <v/>
      </c>
      <c r="AE586" s="4" t="str">
        <f t="shared" si="127"/>
        <v/>
      </c>
      <c r="AF586" s="4" t="str">
        <f t="shared" si="127"/>
        <v/>
      </c>
      <c r="AG586" s="4" t="str">
        <f t="shared" si="127"/>
        <v/>
      </c>
      <c r="AH586" s="4" t="str">
        <f t="shared" si="127"/>
        <v/>
      </c>
      <c r="AI586" s="4" t="str">
        <f t="shared" si="127"/>
        <v/>
      </c>
      <c r="AJ586" s="4" t="str">
        <f t="shared" si="127"/>
        <v/>
      </c>
      <c r="AK586" s="4" t="str">
        <f t="shared" si="127"/>
        <v/>
      </c>
      <c r="AL586" s="4" t="str">
        <f t="shared" si="130"/>
        <v/>
      </c>
      <c r="AM586" s="4" t="str">
        <f t="shared" si="124"/>
        <v/>
      </c>
      <c r="AN586" s="4" t="str">
        <f t="shared" si="124"/>
        <v/>
      </c>
      <c r="AO586" s="4" t="str">
        <f t="shared" si="124"/>
        <v/>
      </c>
      <c r="AP586" s="4" t="str">
        <f t="shared" si="124"/>
        <v/>
      </c>
      <c r="AQ586" s="4" t="str">
        <f t="shared" si="124"/>
        <v/>
      </c>
      <c r="AR586" s="4" t="str">
        <f t="shared" si="124"/>
        <v/>
      </c>
      <c r="AS586" s="5" t="str">
        <f t="shared" si="124"/>
        <v/>
      </c>
      <c r="AT586" s="3">
        <f t="shared" si="128"/>
        <v>1</v>
      </c>
      <c r="AU586" s="4" t="str">
        <f t="shared" si="128"/>
        <v/>
      </c>
      <c r="AV586" s="4" t="str">
        <f t="shared" si="128"/>
        <v/>
      </c>
      <c r="AW586" s="4" t="str">
        <f t="shared" si="128"/>
        <v/>
      </c>
      <c r="AX586" s="4" t="str">
        <f t="shared" si="128"/>
        <v/>
      </c>
      <c r="AY586" s="4" t="str">
        <f t="shared" si="128"/>
        <v/>
      </c>
      <c r="AZ586" s="4" t="str">
        <f t="shared" si="128"/>
        <v/>
      </c>
      <c r="BA586" s="4" t="str">
        <f t="shared" si="128"/>
        <v/>
      </c>
      <c r="BB586" s="4" t="str">
        <f t="shared" si="131"/>
        <v/>
      </c>
      <c r="BC586" s="4" t="str">
        <f t="shared" si="125"/>
        <v/>
      </c>
      <c r="BD586" s="4" t="str">
        <f t="shared" si="125"/>
        <v/>
      </c>
      <c r="BE586" s="4" t="str">
        <f t="shared" si="125"/>
        <v/>
      </c>
      <c r="BF586" s="4" t="str">
        <f t="shared" si="125"/>
        <v/>
      </c>
      <c r="BG586" s="4" t="str">
        <f t="shared" si="125"/>
        <v/>
      </c>
      <c r="BH586" s="4" t="str">
        <f t="shared" si="125"/>
        <v/>
      </c>
      <c r="BI586" s="5" t="str">
        <f t="shared" si="125"/>
        <v/>
      </c>
    </row>
    <row r="587" spans="1:61" x14ac:dyDescent="0.25">
      <c r="A587">
        <v>604377</v>
      </c>
      <c r="B587" t="s">
        <v>14</v>
      </c>
      <c r="C587" t="s">
        <v>16</v>
      </c>
      <c r="D587">
        <v>68084</v>
      </c>
      <c r="E587">
        <v>609</v>
      </c>
      <c r="F587">
        <v>11</v>
      </c>
      <c r="G587">
        <v>20132</v>
      </c>
      <c r="H587" t="s">
        <v>0</v>
      </c>
      <c r="I587">
        <v>183</v>
      </c>
      <c r="J587">
        <v>9</v>
      </c>
      <c r="K587">
        <v>79.5</v>
      </c>
      <c r="L587">
        <v>79.5</v>
      </c>
      <c r="M587">
        <v>0</v>
      </c>
      <c r="N587" s="3" t="str">
        <f t="shared" si="126"/>
        <v/>
      </c>
      <c r="O587" s="4" t="str">
        <f t="shared" si="126"/>
        <v/>
      </c>
      <c r="P587" s="4" t="str">
        <f t="shared" si="126"/>
        <v/>
      </c>
      <c r="Q587" s="4" t="str">
        <f t="shared" si="126"/>
        <v/>
      </c>
      <c r="R587" s="4" t="str">
        <f t="shared" si="126"/>
        <v/>
      </c>
      <c r="S587" s="4" t="str">
        <f t="shared" si="126"/>
        <v/>
      </c>
      <c r="T587" s="4" t="str">
        <f t="shared" si="126"/>
        <v/>
      </c>
      <c r="U587" s="4" t="str">
        <f t="shared" si="126"/>
        <v/>
      </c>
      <c r="V587" s="4" t="str">
        <f t="shared" si="129"/>
        <v/>
      </c>
      <c r="W587" s="4" t="str">
        <f t="shared" si="123"/>
        <v/>
      </c>
      <c r="X587" s="4" t="str">
        <f t="shared" si="123"/>
        <v/>
      </c>
      <c r="Y587" s="4" t="str">
        <f t="shared" si="123"/>
        <v/>
      </c>
      <c r="Z587" s="4" t="str">
        <f t="shared" si="123"/>
        <v/>
      </c>
      <c r="AA587" s="4" t="str">
        <f t="shared" si="123"/>
        <v/>
      </c>
      <c r="AB587" s="4" t="str">
        <f t="shared" si="123"/>
        <v/>
      </c>
      <c r="AC587" s="5" t="str">
        <f t="shared" si="123"/>
        <v/>
      </c>
      <c r="AD587" s="3" t="str">
        <f t="shared" si="127"/>
        <v/>
      </c>
      <c r="AE587" s="4" t="str">
        <f t="shared" si="127"/>
        <v/>
      </c>
      <c r="AF587" s="4" t="str">
        <f t="shared" si="127"/>
        <v/>
      </c>
      <c r="AG587" s="4" t="str">
        <f t="shared" si="127"/>
        <v/>
      </c>
      <c r="AH587" s="4" t="str">
        <f t="shared" si="127"/>
        <v/>
      </c>
      <c r="AI587" s="4" t="str">
        <f t="shared" si="127"/>
        <v/>
      </c>
      <c r="AJ587" s="4" t="str">
        <f t="shared" si="127"/>
        <v/>
      </c>
      <c r="AK587" s="4" t="str">
        <f t="shared" si="127"/>
        <v/>
      </c>
      <c r="AL587" s="4" t="str">
        <f t="shared" si="130"/>
        <v/>
      </c>
      <c r="AM587" s="4" t="str">
        <f t="shared" si="124"/>
        <v/>
      </c>
      <c r="AN587" s="4" t="str">
        <f t="shared" si="124"/>
        <v/>
      </c>
      <c r="AO587" s="4" t="str">
        <f t="shared" si="124"/>
        <v/>
      </c>
      <c r="AP587" s="4" t="str">
        <f t="shared" si="124"/>
        <v/>
      </c>
      <c r="AQ587" s="4" t="str">
        <f t="shared" si="124"/>
        <v/>
      </c>
      <c r="AR587" s="4" t="str">
        <f t="shared" si="124"/>
        <v/>
      </c>
      <c r="AS587" s="5" t="str">
        <f t="shared" si="124"/>
        <v/>
      </c>
      <c r="AT587" s="3" t="str">
        <f t="shared" si="128"/>
        <v/>
      </c>
      <c r="AU587" s="4">
        <f t="shared" si="128"/>
        <v>1</v>
      </c>
      <c r="AV587" s="4" t="str">
        <f t="shared" si="128"/>
        <v/>
      </c>
      <c r="AW587" s="4" t="str">
        <f t="shared" si="128"/>
        <v/>
      </c>
      <c r="AX587" s="4" t="str">
        <f t="shared" si="128"/>
        <v/>
      </c>
      <c r="AY587" s="4" t="str">
        <f t="shared" si="128"/>
        <v/>
      </c>
      <c r="AZ587" s="4" t="str">
        <f t="shared" si="128"/>
        <v/>
      </c>
      <c r="BA587" s="4" t="str">
        <f t="shared" si="128"/>
        <v/>
      </c>
      <c r="BB587" s="4" t="str">
        <f t="shared" si="131"/>
        <v/>
      </c>
      <c r="BC587" s="4" t="str">
        <f t="shared" si="125"/>
        <v/>
      </c>
      <c r="BD587" s="4" t="str">
        <f t="shared" si="125"/>
        <v/>
      </c>
      <c r="BE587" s="4" t="str">
        <f t="shared" si="125"/>
        <v/>
      </c>
      <c r="BF587" s="4" t="str">
        <f t="shared" si="125"/>
        <v/>
      </c>
      <c r="BG587" s="4" t="str">
        <f t="shared" si="125"/>
        <v/>
      </c>
      <c r="BH587" s="4" t="str">
        <f t="shared" si="125"/>
        <v/>
      </c>
      <c r="BI587" s="5" t="str">
        <f t="shared" si="125"/>
        <v/>
      </c>
    </row>
    <row r="588" spans="1:61" x14ac:dyDescent="0.25">
      <c r="A588">
        <v>604378</v>
      </c>
      <c r="B588" t="s">
        <v>14</v>
      </c>
      <c r="C588" t="s">
        <v>16</v>
      </c>
      <c r="D588">
        <v>68084</v>
      </c>
      <c r="E588">
        <v>609</v>
      </c>
      <c r="F588">
        <v>11</v>
      </c>
      <c r="G588">
        <v>20133</v>
      </c>
      <c r="H588" t="s">
        <v>0</v>
      </c>
      <c r="I588">
        <v>212</v>
      </c>
      <c r="J588">
        <v>9</v>
      </c>
      <c r="K588">
        <v>94.98</v>
      </c>
      <c r="L588">
        <v>94.98</v>
      </c>
      <c r="M588">
        <v>0</v>
      </c>
      <c r="N588" s="3" t="str">
        <f t="shared" si="126"/>
        <v/>
      </c>
      <c r="O588" s="4" t="str">
        <f t="shared" si="126"/>
        <v/>
      </c>
      <c r="P588" s="4" t="str">
        <f t="shared" si="126"/>
        <v/>
      </c>
      <c r="Q588" s="4" t="str">
        <f t="shared" si="126"/>
        <v/>
      </c>
      <c r="R588" s="4" t="str">
        <f t="shared" si="126"/>
        <v/>
      </c>
      <c r="S588" s="4" t="str">
        <f t="shared" si="126"/>
        <v/>
      </c>
      <c r="T588" s="4" t="str">
        <f t="shared" si="126"/>
        <v/>
      </c>
      <c r="U588" s="4" t="str">
        <f t="shared" si="126"/>
        <v/>
      </c>
      <c r="V588" s="4" t="str">
        <f t="shared" si="129"/>
        <v/>
      </c>
      <c r="W588" s="4" t="str">
        <f t="shared" si="123"/>
        <v/>
      </c>
      <c r="X588" s="4" t="str">
        <f t="shared" si="123"/>
        <v/>
      </c>
      <c r="Y588" s="4" t="str">
        <f t="shared" si="123"/>
        <v/>
      </c>
      <c r="Z588" s="4" t="str">
        <f t="shared" si="123"/>
        <v/>
      </c>
      <c r="AA588" s="4" t="str">
        <f t="shared" si="123"/>
        <v/>
      </c>
      <c r="AB588" s="4" t="str">
        <f t="shared" si="123"/>
        <v/>
      </c>
      <c r="AC588" s="5" t="str">
        <f t="shared" si="123"/>
        <v/>
      </c>
      <c r="AD588" s="3" t="str">
        <f t="shared" si="127"/>
        <v/>
      </c>
      <c r="AE588" s="4" t="str">
        <f t="shared" si="127"/>
        <v/>
      </c>
      <c r="AF588" s="4" t="str">
        <f t="shared" si="127"/>
        <v/>
      </c>
      <c r="AG588" s="4" t="str">
        <f t="shared" si="127"/>
        <v/>
      </c>
      <c r="AH588" s="4" t="str">
        <f t="shared" si="127"/>
        <v/>
      </c>
      <c r="AI588" s="4" t="str">
        <f t="shared" si="127"/>
        <v/>
      </c>
      <c r="AJ588" s="4" t="str">
        <f t="shared" si="127"/>
        <v/>
      </c>
      <c r="AK588" s="4" t="str">
        <f t="shared" si="127"/>
        <v/>
      </c>
      <c r="AL588" s="4" t="str">
        <f t="shared" si="130"/>
        <v/>
      </c>
      <c r="AM588" s="4" t="str">
        <f t="shared" si="124"/>
        <v/>
      </c>
      <c r="AN588" s="4" t="str">
        <f t="shared" si="124"/>
        <v/>
      </c>
      <c r="AO588" s="4" t="str">
        <f t="shared" si="124"/>
        <v/>
      </c>
      <c r="AP588" s="4" t="str">
        <f t="shared" si="124"/>
        <v/>
      </c>
      <c r="AQ588" s="4" t="str">
        <f t="shared" si="124"/>
        <v/>
      </c>
      <c r="AR588" s="4" t="str">
        <f t="shared" si="124"/>
        <v/>
      </c>
      <c r="AS588" s="5" t="str">
        <f t="shared" si="124"/>
        <v/>
      </c>
      <c r="AT588" s="3" t="str">
        <f t="shared" si="128"/>
        <v/>
      </c>
      <c r="AU588" s="4" t="str">
        <f t="shared" si="128"/>
        <v/>
      </c>
      <c r="AV588" s="4">
        <f t="shared" si="128"/>
        <v>1</v>
      </c>
      <c r="AW588" s="4" t="str">
        <f t="shared" si="128"/>
        <v/>
      </c>
      <c r="AX588" s="4" t="str">
        <f t="shared" si="128"/>
        <v/>
      </c>
      <c r="AY588" s="4" t="str">
        <f t="shared" si="128"/>
        <v/>
      </c>
      <c r="AZ588" s="4" t="str">
        <f t="shared" si="128"/>
        <v/>
      </c>
      <c r="BA588" s="4" t="str">
        <f t="shared" si="128"/>
        <v/>
      </c>
      <c r="BB588" s="4" t="str">
        <f t="shared" si="131"/>
        <v/>
      </c>
      <c r="BC588" s="4" t="str">
        <f t="shared" si="125"/>
        <v/>
      </c>
      <c r="BD588" s="4" t="str">
        <f t="shared" si="125"/>
        <v/>
      </c>
      <c r="BE588" s="4" t="str">
        <f t="shared" si="125"/>
        <v/>
      </c>
      <c r="BF588" s="4" t="str">
        <f t="shared" si="125"/>
        <v/>
      </c>
      <c r="BG588" s="4" t="str">
        <f t="shared" si="125"/>
        <v/>
      </c>
      <c r="BH588" s="4" t="str">
        <f t="shared" si="125"/>
        <v/>
      </c>
      <c r="BI588" s="5" t="str">
        <f t="shared" si="125"/>
        <v/>
      </c>
    </row>
    <row r="589" spans="1:61" x14ac:dyDescent="0.25">
      <c r="A589">
        <v>604379</v>
      </c>
      <c r="B589" t="s">
        <v>14</v>
      </c>
      <c r="C589" t="s">
        <v>16</v>
      </c>
      <c r="D589">
        <v>68084</v>
      </c>
      <c r="E589">
        <v>609</v>
      </c>
      <c r="F589">
        <v>11</v>
      </c>
      <c r="G589">
        <v>20134</v>
      </c>
      <c r="H589" t="s">
        <v>0</v>
      </c>
      <c r="I589">
        <v>300</v>
      </c>
      <c r="J589">
        <v>10</v>
      </c>
      <c r="K589">
        <v>124.97</v>
      </c>
      <c r="L589">
        <v>124.97</v>
      </c>
      <c r="M589">
        <v>0</v>
      </c>
      <c r="N589" s="3" t="str">
        <f t="shared" si="126"/>
        <v/>
      </c>
      <c r="O589" s="4" t="str">
        <f t="shared" si="126"/>
        <v/>
      </c>
      <c r="P589" s="4" t="str">
        <f t="shared" si="126"/>
        <v/>
      </c>
      <c r="Q589" s="4" t="str">
        <f t="shared" si="126"/>
        <v/>
      </c>
      <c r="R589" s="4" t="str">
        <f t="shared" si="126"/>
        <v/>
      </c>
      <c r="S589" s="4" t="str">
        <f t="shared" si="126"/>
        <v/>
      </c>
      <c r="T589" s="4" t="str">
        <f t="shared" si="126"/>
        <v/>
      </c>
      <c r="U589" s="4" t="str">
        <f t="shared" si="126"/>
        <v/>
      </c>
      <c r="V589" s="4" t="str">
        <f t="shared" si="129"/>
        <v/>
      </c>
      <c r="W589" s="4" t="str">
        <f t="shared" si="123"/>
        <v/>
      </c>
      <c r="X589" s="4" t="str">
        <f t="shared" si="123"/>
        <v/>
      </c>
      <c r="Y589" s="4" t="str">
        <f t="shared" si="123"/>
        <v/>
      </c>
      <c r="Z589" s="4" t="str">
        <f t="shared" si="123"/>
        <v/>
      </c>
      <c r="AA589" s="4" t="str">
        <f t="shared" si="123"/>
        <v/>
      </c>
      <c r="AB589" s="4" t="str">
        <f t="shared" si="123"/>
        <v/>
      </c>
      <c r="AC589" s="5" t="str">
        <f t="shared" si="123"/>
        <v/>
      </c>
      <c r="AD589" s="3" t="str">
        <f t="shared" si="127"/>
        <v/>
      </c>
      <c r="AE589" s="4" t="str">
        <f t="shared" si="127"/>
        <v/>
      </c>
      <c r="AF589" s="4" t="str">
        <f t="shared" si="127"/>
        <v/>
      </c>
      <c r="AG589" s="4" t="str">
        <f t="shared" si="127"/>
        <v/>
      </c>
      <c r="AH589" s="4" t="str">
        <f t="shared" si="127"/>
        <v/>
      </c>
      <c r="AI589" s="4" t="str">
        <f t="shared" si="127"/>
        <v/>
      </c>
      <c r="AJ589" s="4" t="str">
        <f t="shared" si="127"/>
        <v/>
      </c>
      <c r="AK589" s="4" t="str">
        <f t="shared" si="127"/>
        <v/>
      </c>
      <c r="AL589" s="4" t="str">
        <f t="shared" si="130"/>
        <v/>
      </c>
      <c r="AM589" s="4" t="str">
        <f t="shared" si="124"/>
        <v/>
      </c>
      <c r="AN589" s="4" t="str">
        <f t="shared" si="124"/>
        <v/>
      </c>
      <c r="AO589" s="4" t="str">
        <f t="shared" si="124"/>
        <v/>
      </c>
      <c r="AP589" s="4" t="str">
        <f t="shared" si="124"/>
        <v/>
      </c>
      <c r="AQ589" s="4" t="str">
        <f t="shared" si="124"/>
        <v/>
      </c>
      <c r="AR589" s="4" t="str">
        <f t="shared" si="124"/>
        <v/>
      </c>
      <c r="AS589" s="5" t="str">
        <f t="shared" si="124"/>
        <v/>
      </c>
      <c r="AT589" s="3" t="str">
        <f t="shared" si="128"/>
        <v/>
      </c>
      <c r="AU589" s="4" t="str">
        <f t="shared" si="128"/>
        <v/>
      </c>
      <c r="AV589" s="4" t="str">
        <f t="shared" si="128"/>
        <v/>
      </c>
      <c r="AW589" s="4">
        <f t="shared" si="128"/>
        <v>1</v>
      </c>
      <c r="AX589" s="4" t="str">
        <f t="shared" si="128"/>
        <v/>
      </c>
      <c r="AY589" s="4" t="str">
        <f t="shared" si="128"/>
        <v/>
      </c>
      <c r="AZ589" s="4" t="str">
        <f t="shared" si="128"/>
        <v/>
      </c>
      <c r="BA589" s="4" t="str">
        <f t="shared" si="128"/>
        <v/>
      </c>
      <c r="BB589" s="4" t="str">
        <f t="shared" si="131"/>
        <v/>
      </c>
      <c r="BC589" s="4" t="str">
        <f t="shared" si="125"/>
        <v/>
      </c>
      <c r="BD589" s="4" t="str">
        <f t="shared" si="125"/>
        <v/>
      </c>
      <c r="BE589" s="4" t="str">
        <f t="shared" si="125"/>
        <v/>
      </c>
      <c r="BF589" s="4" t="str">
        <f t="shared" si="125"/>
        <v/>
      </c>
      <c r="BG589" s="4" t="str">
        <f t="shared" si="125"/>
        <v/>
      </c>
      <c r="BH589" s="4" t="str">
        <f t="shared" si="125"/>
        <v/>
      </c>
      <c r="BI589" s="5" t="str">
        <f t="shared" si="125"/>
        <v/>
      </c>
    </row>
    <row r="590" spans="1:61" x14ac:dyDescent="0.25">
      <c r="A590">
        <v>730781</v>
      </c>
      <c r="B590" t="s">
        <v>15</v>
      </c>
      <c r="C590" t="s">
        <v>16</v>
      </c>
      <c r="D590">
        <v>68084</v>
      </c>
      <c r="E590">
        <v>609</v>
      </c>
      <c r="F590">
        <v>1</v>
      </c>
      <c r="G590">
        <v>20131</v>
      </c>
      <c r="H590" t="s">
        <v>0</v>
      </c>
      <c r="I590">
        <v>70</v>
      </c>
      <c r="J590">
        <v>12</v>
      </c>
      <c r="K590">
        <v>15274.5</v>
      </c>
      <c r="L590">
        <v>15274.5</v>
      </c>
      <c r="M590">
        <v>0</v>
      </c>
      <c r="N590" s="3" t="str">
        <f t="shared" si="126"/>
        <v/>
      </c>
      <c r="O590" s="4" t="str">
        <f t="shared" si="126"/>
        <v/>
      </c>
      <c r="P590" s="4" t="str">
        <f t="shared" si="126"/>
        <v/>
      </c>
      <c r="Q590" s="4" t="str">
        <f t="shared" si="126"/>
        <v/>
      </c>
      <c r="R590" s="4" t="str">
        <f t="shared" si="126"/>
        <v/>
      </c>
      <c r="S590" s="4" t="str">
        <f t="shared" si="126"/>
        <v/>
      </c>
      <c r="T590" s="4" t="str">
        <f t="shared" si="126"/>
        <v/>
      </c>
      <c r="U590" s="4" t="str">
        <f t="shared" si="126"/>
        <v/>
      </c>
      <c r="V590" s="4" t="str">
        <f t="shared" si="129"/>
        <v/>
      </c>
      <c r="W590" s="4" t="str">
        <f t="shared" si="123"/>
        <v/>
      </c>
      <c r="X590" s="4" t="str">
        <f t="shared" si="123"/>
        <v/>
      </c>
      <c r="Y590" s="4" t="str">
        <f t="shared" si="123"/>
        <v/>
      </c>
      <c r="Z590" s="4" t="str">
        <f t="shared" si="123"/>
        <v/>
      </c>
      <c r="AA590" s="4" t="str">
        <f t="shared" si="123"/>
        <v/>
      </c>
      <c r="AB590" s="4" t="str">
        <f t="shared" si="123"/>
        <v/>
      </c>
      <c r="AC590" s="5" t="str">
        <f t="shared" si="123"/>
        <v/>
      </c>
      <c r="AD590" s="3" t="str">
        <f t="shared" si="127"/>
        <v/>
      </c>
      <c r="AE590" s="4" t="str">
        <f t="shared" si="127"/>
        <v/>
      </c>
      <c r="AF590" s="4" t="str">
        <f t="shared" si="127"/>
        <v/>
      </c>
      <c r="AG590" s="4" t="str">
        <f t="shared" si="127"/>
        <v/>
      </c>
      <c r="AH590" s="4" t="str">
        <f t="shared" si="127"/>
        <v/>
      </c>
      <c r="AI590" s="4" t="str">
        <f t="shared" si="127"/>
        <v/>
      </c>
      <c r="AJ590" s="4" t="str">
        <f t="shared" si="127"/>
        <v/>
      </c>
      <c r="AK590" s="4" t="str">
        <f t="shared" si="127"/>
        <v/>
      </c>
      <c r="AL590" s="4" t="str">
        <f t="shared" si="130"/>
        <v/>
      </c>
      <c r="AM590" s="4" t="str">
        <f t="shared" si="124"/>
        <v/>
      </c>
      <c r="AN590" s="4" t="str">
        <f t="shared" si="124"/>
        <v/>
      </c>
      <c r="AO590" s="4" t="str">
        <f t="shared" si="124"/>
        <v/>
      </c>
      <c r="AP590" s="4" t="str">
        <f t="shared" si="124"/>
        <v/>
      </c>
      <c r="AQ590" s="4" t="str">
        <f t="shared" si="124"/>
        <v/>
      </c>
      <c r="AR590" s="4" t="str">
        <f t="shared" si="124"/>
        <v/>
      </c>
      <c r="AS590" s="5" t="str">
        <f t="shared" si="124"/>
        <v/>
      </c>
      <c r="AT590" s="3" t="str">
        <f t="shared" si="128"/>
        <v/>
      </c>
      <c r="AU590" s="4" t="str">
        <f t="shared" si="128"/>
        <v/>
      </c>
      <c r="AV590" s="4" t="str">
        <f t="shared" si="128"/>
        <v/>
      </c>
      <c r="AW590" s="4" t="str">
        <f t="shared" si="128"/>
        <v/>
      </c>
      <c r="AX590" s="4">
        <f t="shared" si="128"/>
        <v>1</v>
      </c>
      <c r="AY590" s="4" t="str">
        <f t="shared" si="128"/>
        <v/>
      </c>
      <c r="AZ590" s="4" t="str">
        <f t="shared" si="128"/>
        <v/>
      </c>
      <c r="BA590" s="4" t="str">
        <f t="shared" si="128"/>
        <v/>
      </c>
      <c r="BB590" s="4" t="str">
        <f t="shared" si="131"/>
        <v/>
      </c>
      <c r="BC590" s="4" t="str">
        <f t="shared" si="125"/>
        <v/>
      </c>
      <c r="BD590" s="4" t="str">
        <f t="shared" si="125"/>
        <v/>
      </c>
      <c r="BE590" s="4" t="str">
        <f t="shared" si="125"/>
        <v/>
      </c>
      <c r="BF590" s="4" t="str">
        <f t="shared" si="125"/>
        <v/>
      </c>
      <c r="BG590" s="4" t="str">
        <f t="shared" si="125"/>
        <v/>
      </c>
      <c r="BH590" s="4" t="str">
        <f t="shared" si="125"/>
        <v/>
      </c>
      <c r="BI590" s="5" t="str">
        <f t="shared" si="125"/>
        <v/>
      </c>
    </row>
    <row r="591" spans="1:61" x14ac:dyDescent="0.25">
      <c r="A591">
        <v>730782</v>
      </c>
      <c r="B591" t="s">
        <v>15</v>
      </c>
      <c r="C591" t="s">
        <v>16</v>
      </c>
      <c r="D591">
        <v>68084</v>
      </c>
      <c r="E591">
        <v>609</v>
      </c>
      <c r="F591">
        <v>1</v>
      </c>
      <c r="G591">
        <v>20132</v>
      </c>
      <c r="H591" t="s">
        <v>0</v>
      </c>
      <c r="I591">
        <v>116</v>
      </c>
      <c r="J591">
        <v>14</v>
      </c>
      <c r="K591">
        <v>4373.88</v>
      </c>
      <c r="L591">
        <v>4372.95</v>
      </c>
      <c r="M591">
        <v>0.93</v>
      </c>
      <c r="N591" s="3" t="str">
        <f t="shared" si="126"/>
        <v/>
      </c>
      <c r="O591" s="4" t="str">
        <f t="shared" si="126"/>
        <v/>
      </c>
      <c r="P591" s="4" t="str">
        <f t="shared" si="126"/>
        <v/>
      </c>
      <c r="Q591" s="4" t="str">
        <f t="shared" si="126"/>
        <v/>
      </c>
      <c r="R591" s="4" t="str">
        <f t="shared" si="126"/>
        <v/>
      </c>
      <c r="S591" s="4" t="str">
        <f t="shared" si="126"/>
        <v/>
      </c>
      <c r="T591" s="4" t="str">
        <f t="shared" si="126"/>
        <v/>
      </c>
      <c r="U591" s="4" t="str">
        <f t="shared" si="126"/>
        <v/>
      </c>
      <c r="V591" s="4" t="str">
        <f t="shared" si="129"/>
        <v/>
      </c>
      <c r="W591" s="4" t="str">
        <f t="shared" si="123"/>
        <v/>
      </c>
      <c r="X591" s="4" t="str">
        <f t="shared" si="123"/>
        <v/>
      </c>
      <c r="Y591" s="4" t="str">
        <f t="shared" si="123"/>
        <v/>
      </c>
      <c r="Z591" s="4" t="str">
        <f t="shared" si="123"/>
        <v/>
      </c>
      <c r="AA591" s="4" t="str">
        <f t="shared" si="123"/>
        <v/>
      </c>
      <c r="AB591" s="4" t="str">
        <f t="shared" si="123"/>
        <v/>
      </c>
      <c r="AC591" s="5" t="str">
        <f t="shared" si="123"/>
        <v/>
      </c>
      <c r="AD591" s="3" t="str">
        <f t="shared" si="127"/>
        <v/>
      </c>
      <c r="AE591" s="4" t="str">
        <f t="shared" si="127"/>
        <v/>
      </c>
      <c r="AF591" s="4" t="str">
        <f t="shared" si="127"/>
        <v/>
      </c>
      <c r="AG591" s="4" t="str">
        <f t="shared" si="127"/>
        <v/>
      </c>
      <c r="AH591" s="4" t="str">
        <f t="shared" si="127"/>
        <v/>
      </c>
      <c r="AI591" s="4" t="str">
        <f t="shared" si="127"/>
        <v/>
      </c>
      <c r="AJ591" s="4" t="str">
        <f t="shared" si="127"/>
        <v/>
      </c>
      <c r="AK591" s="4" t="str">
        <f t="shared" si="127"/>
        <v/>
      </c>
      <c r="AL591" s="4" t="str">
        <f t="shared" si="130"/>
        <v/>
      </c>
      <c r="AM591" s="4" t="str">
        <f t="shared" si="124"/>
        <v/>
      </c>
      <c r="AN591" s="4" t="str">
        <f t="shared" si="124"/>
        <v/>
      </c>
      <c r="AO591" s="4" t="str">
        <f t="shared" si="124"/>
        <v/>
      </c>
      <c r="AP591" s="4" t="str">
        <f t="shared" si="124"/>
        <v/>
      </c>
      <c r="AQ591" s="4" t="str">
        <f t="shared" si="124"/>
        <v/>
      </c>
      <c r="AR591" s="4" t="str">
        <f t="shared" si="124"/>
        <v/>
      </c>
      <c r="AS591" s="5" t="str">
        <f t="shared" si="124"/>
        <v/>
      </c>
      <c r="AT591" s="3" t="str">
        <f t="shared" si="128"/>
        <v/>
      </c>
      <c r="AU591" s="4" t="str">
        <f t="shared" si="128"/>
        <v/>
      </c>
      <c r="AV591" s="4" t="str">
        <f t="shared" si="128"/>
        <v/>
      </c>
      <c r="AW591" s="4" t="str">
        <f t="shared" si="128"/>
        <v/>
      </c>
      <c r="AX591" s="4" t="str">
        <f t="shared" si="128"/>
        <v/>
      </c>
      <c r="AY591" s="4">
        <f t="shared" si="128"/>
        <v>1</v>
      </c>
      <c r="AZ591" s="4" t="str">
        <f t="shared" si="128"/>
        <v/>
      </c>
      <c r="BA591" s="4" t="str">
        <f t="shared" si="128"/>
        <v/>
      </c>
      <c r="BB591" s="4" t="str">
        <f t="shared" si="131"/>
        <v/>
      </c>
      <c r="BC591" s="4" t="str">
        <f t="shared" si="125"/>
        <v/>
      </c>
      <c r="BD591" s="4" t="str">
        <f t="shared" si="125"/>
        <v/>
      </c>
      <c r="BE591" s="4" t="str">
        <f t="shared" si="125"/>
        <v/>
      </c>
      <c r="BF591" s="4" t="str">
        <f t="shared" si="125"/>
        <v/>
      </c>
      <c r="BG591" s="4" t="str">
        <f t="shared" si="125"/>
        <v/>
      </c>
      <c r="BH591" s="4" t="str">
        <f t="shared" si="125"/>
        <v/>
      </c>
      <c r="BI591" s="5" t="str">
        <f t="shared" si="125"/>
        <v/>
      </c>
    </row>
    <row r="592" spans="1:61" x14ac:dyDescent="0.25">
      <c r="A592">
        <v>730783</v>
      </c>
      <c r="B592" t="s">
        <v>15</v>
      </c>
      <c r="C592" t="s">
        <v>16</v>
      </c>
      <c r="D592">
        <v>68084</v>
      </c>
      <c r="E592">
        <v>609</v>
      </c>
      <c r="F592">
        <v>1</v>
      </c>
      <c r="G592">
        <v>20133</v>
      </c>
      <c r="H592" t="s">
        <v>0</v>
      </c>
      <c r="I592">
        <v>120</v>
      </c>
      <c r="J592">
        <v>23</v>
      </c>
      <c r="K592">
        <v>922.98</v>
      </c>
      <c r="L592">
        <v>914.92</v>
      </c>
      <c r="M592">
        <v>8.06</v>
      </c>
      <c r="N592" s="3" t="str">
        <f t="shared" si="126"/>
        <v/>
      </c>
      <c r="O592" s="4" t="str">
        <f t="shared" si="126"/>
        <v/>
      </c>
      <c r="P592" s="4" t="str">
        <f t="shared" si="126"/>
        <v/>
      </c>
      <c r="Q592" s="4" t="str">
        <f t="shared" si="126"/>
        <v/>
      </c>
      <c r="R592" s="4" t="str">
        <f t="shared" si="126"/>
        <v/>
      </c>
      <c r="S592" s="4" t="str">
        <f t="shared" si="126"/>
        <v/>
      </c>
      <c r="T592" s="4" t="str">
        <f t="shared" si="126"/>
        <v/>
      </c>
      <c r="U592" s="4" t="str">
        <f t="shared" si="126"/>
        <v/>
      </c>
      <c r="V592" s="4" t="str">
        <f t="shared" si="129"/>
        <v/>
      </c>
      <c r="W592" s="4" t="str">
        <f t="shared" si="123"/>
        <v/>
      </c>
      <c r="X592" s="4" t="str">
        <f t="shared" si="123"/>
        <v/>
      </c>
      <c r="Y592" s="4" t="str">
        <f t="shared" si="123"/>
        <v/>
      </c>
      <c r="Z592" s="4" t="str">
        <f t="shared" si="123"/>
        <v/>
      </c>
      <c r="AA592" s="4" t="str">
        <f t="shared" si="123"/>
        <v/>
      </c>
      <c r="AB592" s="4" t="str">
        <f t="shared" si="123"/>
        <v/>
      </c>
      <c r="AC592" s="5" t="str">
        <f t="shared" si="123"/>
        <v/>
      </c>
      <c r="AD592" s="3" t="str">
        <f t="shared" si="127"/>
        <v/>
      </c>
      <c r="AE592" s="4" t="str">
        <f t="shared" si="127"/>
        <v/>
      </c>
      <c r="AF592" s="4" t="str">
        <f t="shared" si="127"/>
        <v/>
      </c>
      <c r="AG592" s="4" t="str">
        <f t="shared" si="127"/>
        <v/>
      </c>
      <c r="AH592" s="4" t="str">
        <f t="shared" si="127"/>
        <v/>
      </c>
      <c r="AI592" s="4" t="str">
        <f t="shared" si="127"/>
        <v/>
      </c>
      <c r="AJ592" s="4" t="str">
        <f t="shared" si="127"/>
        <v/>
      </c>
      <c r="AK592" s="4" t="str">
        <f t="shared" si="127"/>
        <v/>
      </c>
      <c r="AL592" s="4" t="str">
        <f t="shared" si="130"/>
        <v/>
      </c>
      <c r="AM592" s="4" t="str">
        <f t="shared" si="124"/>
        <v/>
      </c>
      <c r="AN592" s="4" t="str">
        <f t="shared" si="124"/>
        <v/>
      </c>
      <c r="AO592" s="4" t="str">
        <f t="shared" si="124"/>
        <v/>
      </c>
      <c r="AP592" s="4" t="str">
        <f t="shared" si="124"/>
        <v/>
      </c>
      <c r="AQ592" s="4" t="str">
        <f t="shared" si="124"/>
        <v/>
      </c>
      <c r="AR592" s="4" t="str">
        <f t="shared" si="124"/>
        <v/>
      </c>
      <c r="AS592" s="5" t="str">
        <f t="shared" si="124"/>
        <v/>
      </c>
      <c r="AT592" s="3" t="str">
        <f t="shared" si="128"/>
        <v/>
      </c>
      <c r="AU592" s="4" t="str">
        <f t="shared" si="128"/>
        <v/>
      </c>
      <c r="AV592" s="4" t="str">
        <f t="shared" si="128"/>
        <v/>
      </c>
      <c r="AW592" s="4" t="str">
        <f t="shared" si="128"/>
        <v/>
      </c>
      <c r="AX592" s="4" t="str">
        <f t="shared" si="128"/>
        <v/>
      </c>
      <c r="AY592" s="4" t="str">
        <f t="shared" si="128"/>
        <v/>
      </c>
      <c r="AZ592" s="4">
        <f t="shared" si="128"/>
        <v>1</v>
      </c>
      <c r="BA592" s="4" t="str">
        <f t="shared" si="128"/>
        <v/>
      </c>
      <c r="BB592" s="4" t="str">
        <f t="shared" si="131"/>
        <v/>
      </c>
      <c r="BC592" s="4" t="str">
        <f t="shared" si="125"/>
        <v/>
      </c>
      <c r="BD592" s="4" t="str">
        <f t="shared" si="125"/>
        <v/>
      </c>
      <c r="BE592" s="4" t="str">
        <f t="shared" si="125"/>
        <v/>
      </c>
      <c r="BF592" s="4" t="str">
        <f t="shared" si="125"/>
        <v/>
      </c>
      <c r="BG592" s="4" t="str">
        <f t="shared" si="125"/>
        <v/>
      </c>
      <c r="BH592" s="4" t="str">
        <f t="shared" si="125"/>
        <v/>
      </c>
      <c r="BI592" s="5" t="str">
        <f t="shared" si="125"/>
        <v/>
      </c>
    </row>
    <row r="593" spans="1:61" x14ac:dyDescent="0.25">
      <c r="A593">
        <v>730784</v>
      </c>
      <c r="B593" t="s">
        <v>15</v>
      </c>
      <c r="C593" t="s">
        <v>16</v>
      </c>
      <c r="D593">
        <v>68084</v>
      </c>
      <c r="E593">
        <v>609</v>
      </c>
      <c r="F593">
        <v>1</v>
      </c>
      <c r="G593">
        <v>20134</v>
      </c>
      <c r="H593" t="s">
        <v>0</v>
      </c>
      <c r="I593">
        <v>66</v>
      </c>
      <c r="J593">
        <v>21</v>
      </c>
      <c r="K593">
        <v>7627.76</v>
      </c>
      <c r="L593">
        <v>7620.86</v>
      </c>
      <c r="M593">
        <v>6.9</v>
      </c>
      <c r="N593" s="3" t="str">
        <f t="shared" si="126"/>
        <v/>
      </c>
      <c r="O593" s="4" t="str">
        <f t="shared" si="126"/>
        <v/>
      </c>
      <c r="P593" s="4" t="str">
        <f t="shared" si="126"/>
        <v/>
      </c>
      <c r="Q593" s="4" t="str">
        <f t="shared" si="126"/>
        <v/>
      </c>
      <c r="R593" s="4" t="str">
        <f t="shared" si="126"/>
        <v/>
      </c>
      <c r="S593" s="4" t="str">
        <f t="shared" si="126"/>
        <v/>
      </c>
      <c r="T593" s="4" t="str">
        <f t="shared" ref="N593:U602" si="132">IF(AND($B593=T$3, $G593=T$2, $H593=T$1), 1, "")</f>
        <v/>
      </c>
      <c r="U593" s="4" t="str">
        <f t="shared" si="132"/>
        <v/>
      </c>
      <c r="V593" s="4" t="str">
        <f t="shared" si="129"/>
        <v/>
      </c>
      <c r="W593" s="4" t="str">
        <f t="shared" si="123"/>
        <v/>
      </c>
      <c r="X593" s="4" t="str">
        <f t="shared" si="123"/>
        <v/>
      </c>
      <c r="Y593" s="4" t="str">
        <f t="shared" si="123"/>
        <v/>
      </c>
      <c r="Z593" s="4" t="str">
        <f t="shared" si="123"/>
        <v/>
      </c>
      <c r="AA593" s="4" t="str">
        <f t="shared" si="123"/>
        <v/>
      </c>
      <c r="AB593" s="4" t="str">
        <f t="shared" ref="W593:AC602" si="133">IF(AND($B593=AB$3, $G593=AB$2, LEFT($H593, 6)=AB$1), 1, "")</f>
        <v/>
      </c>
      <c r="AC593" s="5" t="str">
        <f t="shared" si="133"/>
        <v/>
      </c>
      <c r="AD593" s="3" t="str">
        <f t="shared" si="127"/>
        <v/>
      </c>
      <c r="AE593" s="4" t="str">
        <f t="shared" si="127"/>
        <v/>
      </c>
      <c r="AF593" s="4" t="str">
        <f t="shared" si="127"/>
        <v/>
      </c>
      <c r="AG593" s="4" t="str">
        <f t="shared" si="127"/>
        <v/>
      </c>
      <c r="AH593" s="4" t="str">
        <f t="shared" si="127"/>
        <v/>
      </c>
      <c r="AI593" s="4" t="str">
        <f t="shared" si="127"/>
        <v/>
      </c>
      <c r="AJ593" s="4" t="str">
        <f t="shared" ref="AD593:AK602" si="134">IF(AND($B593=AJ$3, $G593=AJ$2, $H593=AJ$1), 1, "")</f>
        <v/>
      </c>
      <c r="AK593" s="4" t="str">
        <f t="shared" si="134"/>
        <v/>
      </c>
      <c r="AL593" s="4" t="str">
        <f t="shared" si="130"/>
        <v/>
      </c>
      <c r="AM593" s="4" t="str">
        <f t="shared" si="124"/>
        <v/>
      </c>
      <c r="AN593" s="4" t="str">
        <f t="shared" si="124"/>
        <v/>
      </c>
      <c r="AO593" s="4" t="str">
        <f t="shared" si="124"/>
        <v/>
      </c>
      <c r="AP593" s="4" t="str">
        <f t="shared" si="124"/>
        <v/>
      </c>
      <c r="AQ593" s="4" t="str">
        <f t="shared" si="124"/>
        <v/>
      </c>
      <c r="AR593" s="4" t="str">
        <f t="shared" ref="AM593:AS602" si="135">IF(AND($B593=AR$3, $G593=AR$2, LEFT($H593, 6)=AR$1), 1, "")</f>
        <v/>
      </c>
      <c r="AS593" s="5" t="str">
        <f t="shared" si="135"/>
        <v/>
      </c>
      <c r="AT593" s="3" t="str">
        <f t="shared" si="128"/>
        <v/>
      </c>
      <c r="AU593" s="4" t="str">
        <f t="shared" si="128"/>
        <v/>
      </c>
      <c r="AV593" s="4" t="str">
        <f t="shared" si="128"/>
        <v/>
      </c>
      <c r="AW593" s="4" t="str">
        <f t="shared" si="128"/>
        <v/>
      </c>
      <c r="AX593" s="4" t="str">
        <f t="shared" si="128"/>
        <v/>
      </c>
      <c r="AY593" s="4" t="str">
        <f t="shared" si="128"/>
        <v/>
      </c>
      <c r="AZ593" s="4" t="str">
        <f t="shared" ref="AT593:BA602" si="136">IF(AND($B593=AZ$3, $G593=AZ$2, $H593=AZ$1), 1, "")</f>
        <v/>
      </c>
      <c r="BA593" s="4">
        <f t="shared" si="136"/>
        <v>1</v>
      </c>
      <c r="BB593" s="4" t="str">
        <f t="shared" si="131"/>
        <v/>
      </c>
      <c r="BC593" s="4" t="str">
        <f t="shared" si="125"/>
        <v/>
      </c>
      <c r="BD593" s="4" t="str">
        <f t="shared" si="125"/>
        <v/>
      </c>
      <c r="BE593" s="4" t="str">
        <f t="shared" si="125"/>
        <v/>
      </c>
      <c r="BF593" s="4" t="str">
        <f t="shared" si="125"/>
        <v/>
      </c>
      <c r="BG593" s="4" t="str">
        <f t="shared" si="125"/>
        <v/>
      </c>
      <c r="BH593" s="4" t="str">
        <f t="shared" ref="BC593:BI602" si="137">IF(AND($B593=BH$3, $G593=BH$2, LEFT($H593, 6)=BH$1), 1, "")</f>
        <v/>
      </c>
      <c r="BI593" s="5" t="str">
        <f t="shared" si="137"/>
        <v/>
      </c>
    </row>
    <row r="594" spans="1:61" x14ac:dyDescent="0.25">
      <c r="A594">
        <v>730785</v>
      </c>
      <c r="B594" t="s">
        <v>15</v>
      </c>
      <c r="C594" t="s">
        <v>16</v>
      </c>
      <c r="D594">
        <v>68084</v>
      </c>
      <c r="E594">
        <v>609</v>
      </c>
      <c r="F594">
        <v>11</v>
      </c>
      <c r="G594">
        <v>20131</v>
      </c>
      <c r="H594" t="s">
        <v>0</v>
      </c>
      <c r="I594">
        <v>4</v>
      </c>
      <c r="J594">
        <v>3</v>
      </c>
      <c r="K594">
        <v>12649.86</v>
      </c>
      <c r="L594">
        <v>12649.86</v>
      </c>
      <c r="M594">
        <v>0</v>
      </c>
      <c r="N594" s="3" t="str">
        <f t="shared" si="132"/>
        <v/>
      </c>
      <c r="O594" s="4" t="str">
        <f t="shared" si="132"/>
        <v/>
      </c>
      <c r="P594" s="4" t="str">
        <f t="shared" si="132"/>
        <v/>
      </c>
      <c r="Q594" s="4" t="str">
        <f t="shared" si="132"/>
        <v/>
      </c>
      <c r="R594" s="4" t="str">
        <f t="shared" si="132"/>
        <v/>
      </c>
      <c r="S594" s="4" t="str">
        <f t="shared" si="132"/>
        <v/>
      </c>
      <c r="T594" s="4" t="str">
        <f t="shared" si="132"/>
        <v/>
      </c>
      <c r="U594" s="4" t="str">
        <f t="shared" si="132"/>
        <v/>
      </c>
      <c r="V594" s="4" t="str">
        <f t="shared" si="129"/>
        <v/>
      </c>
      <c r="W594" s="4" t="str">
        <f t="shared" si="133"/>
        <v/>
      </c>
      <c r="X594" s="4" t="str">
        <f t="shared" si="133"/>
        <v/>
      </c>
      <c r="Y594" s="4" t="str">
        <f t="shared" si="133"/>
        <v/>
      </c>
      <c r="Z594" s="4" t="str">
        <f t="shared" si="133"/>
        <v/>
      </c>
      <c r="AA594" s="4" t="str">
        <f t="shared" si="133"/>
        <v/>
      </c>
      <c r="AB594" s="4" t="str">
        <f t="shared" si="133"/>
        <v/>
      </c>
      <c r="AC594" s="5" t="str">
        <f t="shared" si="133"/>
        <v/>
      </c>
      <c r="AD594" s="3" t="str">
        <f t="shared" si="134"/>
        <v/>
      </c>
      <c r="AE594" s="4" t="str">
        <f t="shared" si="134"/>
        <v/>
      </c>
      <c r="AF594" s="4" t="str">
        <f t="shared" si="134"/>
        <v/>
      </c>
      <c r="AG594" s="4" t="str">
        <f t="shared" si="134"/>
        <v/>
      </c>
      <c r="AH594" s="4" t="str">
        <f t="shared" si="134"/>
        <v/>
      </c>
      <c r="AI594" s="4" t="str">
        <f t="shared" si="134"/>
        <v/>
      </c>
      <c r="AJ594" s="4" t="str">
        <f t="shared" si="134"/>
        <v/>
      </c>
      <c r="AK594" s="4" t="str">
        <f t="shared" si="134"/>
        <v/>
      </c>
      <c r="AL594" s="4" t="str">
        <f t="shared" si="130"/>
        <v/>
      </c>
      <c r="AM594" s="4" t="str">
        <f t="shared" si="135"/>
        <v/>
      </c>
      <c r="AN594" s="4" t="str">
        <f t="shared" si="135"/>
        <v/>
      </c>
      <c r="AO594" s="4" t="str">
        <f t="shared" si="135"/>
        <v/>
      </c>
      <c r="AP594" s="4" t="str">
        <f t="shared" si="135"/>
        <v/>
      </c>
      <c r="AQ594" s="4" t="str">
        <f t="shared" si="135"/>
        <v/>
      </c>
      <c r="AR594" s="4" t="str">
        <f t="shared" si="135"/>
        <v/>
      </c>
      <c r="AS594" s="5" t="str">
        <f t="shared" si="135"/>
        <v/>
      </c>
      <c r="AT594" s="3" t="str">
        <f t="shared" si="136"/>
        <v/>
      </c>
      <c r="AU594" s="4" t="str">
        <f t="shared" si="136"/>
        <v/>
      </c>
      <c r="AV594" s="4" t="str">
        <f t="shared" si="136"/>
        <v/>
      </c>
      <c r="AW594" s="4" t="str">
        <f t="shared" si="136"/>
        <v/>
      </c>
      <c r="AX594" s="4">
        <f t="shared" si="136"/>
        <v>1</v>
      </c>
      <c r="AY594" s="4" t="str">
        <f t="shared" si="136"/>
        <v/>
      </c>
      <c r="AZ594" s="4" t="str">
        <f t="shared" si="136"/>
        <v/>
      </c>
      <c r="BA594" s="4" t="str">
        <f t="shared" si="136"/>
        <v/>
      </c>
      <c r="BB594" s="4" t="str">
        <f t="shared" si="131"/>
        <v/>
      </c>
      <c r="BC594" s="4" t="str">
        <f t="shared" si="137"/>
        <v/>
      </c>
      <c r="BD594" s="4" t="str">
        <f t="shared" si="137"/>
        <v/>
      </c>
      <c r="BE594" s="4" t="str">
        <f t="shared" si="137"/>
        <v/>
      </c>
      <c r="BF594" s="4" t="str">
        <f t="shared" si="137"/>
        <v/>
      </c>
      <c r="BG594" s="4" t="str">
        <f t="shared" si="137"/>
        <v/>
      </c>
      <c r="BH594" s="4" t="str">
        <f t="shared" si="137"/>
        <v/>
      </c>
      <c r="BI594" s="5" t="str">
        <f t="shared" si="137"/>
        <v/>
      </c>
    </row>
    <row r="595" spans="1:61" x14ac:dyDescent="0.25">
      <c r="A595">
        <v>608191</v>
      </c>
      <c r="B595" t="s">
        <v>14</v>
      </c>
      <c r="C595" t="s">
        <v>16</v>
      </c>
      <c r="D595">
        <v>68645</v>
      </c>
      <c r="E595">
        <v>443</v>
      </c>
      <c r="F595">
        <v>70</v>
      </c>
      <c r="G595">
        <v>20131</v>
      </c>
      <c r="H595" t="s">
        <v>0</v>
      </c>
      <c r="I595">
        <v>188901</v>
      </c>
      <c r="J595">
        <v>5783</v>
      </c>
      <c r="K595">
        <v>82742.27</v>
      </c>
      <c r="L595">
        <v>75025.2</v>
      </c>
      <c r="M595">
        <v>7717.07</v>
      </c>
      <c r="N595" s="3" t="str">
        <f t="shared" si="132"/>
        <v/>
      </c>
      <c r="O595" s="4" t="str">
        <f t="shared" si="132"/>
        <v/>
      </c>
      <c r="P595" s="4" t="str">
        <f t="shared" si="132"/>
        <v/>
      </c>
      <c r="Q595" s="4" t="str">
        <f t="shared" si="132"/>
        <v/>
      </c>
      <c r="R595" s="4" t="str">
        <f t="shared" si="132"/>
        <v/>
      </c>
      <c r="S595" s="4" t="str">
        <f t="shared" si="132"/>
        <v/>
      </c>
      <c r="T595" s="4" t="str">
        <f t="shared" si="132"/>
        <v/>
      </c>
      <c r="U595" s="4" t="str">
        <f t="shared" si="132"/>
        <v/>
      </c>
      <c r="V595" s="4" t="str">
        <f t="shared" si="129"/>
        <v/>
      </c>
      <c r="W595" s="4" t="str">
        <f t="shared" si="133"/>
        <v/>
      </c>
      <c r="X595" s="4" t="str">
        <f t="shared" si="133"/>
        <v/>
      </c>
      <c r="Y595" s="4" t="str">
        <f t="shared" si="133"/>
        <v/>
      </c>
      <c r="Z595" s="4" t="str">
        <f t="shared" si="133"/>
        <v/>
      </c>
      <c r="AA595" s="4" t="str">
        <f t="shared" si="133"/>
        <v/>
      </c>
      <c r="AB595" s="4" t="str">
        <f t="shared" si="133"/>
        <v/>
      </c>
      <c r="AC595" s="5" t="str">
        <f t="shared" si="133"/>
        <v/>
      </c>
      <c r="AD595" s="3" t="str">
        <f t="shared" si="134"/>
        <v/>
      </c>
      <c r="AE595" s="4" t="str">
        <f t="shared" si="134"/>
        <v/>
      </c>
      <c r="AF595" s="4" t="str">
        <f t="shared" si="134"/>
        <v/>
      </c>
      <c r="AG595" s="4" t="str">
        <f t="shared" si="134"/>
        <v/>
      </c>
      <c r="AH595" s="4" t="str">
        <f t="shared" si="134"/>
        <v/>
      </c>
      <c r="AI595" s="4" t="str">
        <f t="shared" si="134"/>
        <v/>
      </c>
      <c r="AJ595" s="4" t="str">
        <f t="shared" si="134"/>
        <v/>
      </c>
      <c r="AK595" s="4" t="str">
        <f t="shared" si="134"/>
        <v/>
      </c>
      <c r="AL595" s="4" t="str">
        <f t="shared" si="130"/>
        <v/>
      </c>
      <c r="AM595" s="4" t="str">
        <f t="shared" si="135"/>
        <v/>
      </c>
      <c r="AN595" s="4" t="str">
        <f t="shared" si="135"/>
        <v/>
      </c>
      <c r="AO595" s="4" t="str">
        <f t="shared" si="135"/>
        <v/>
      </c>
      <c r="AP595" s="4" t="str">
        <f t="shared" si="135"/>
        <v/>
      </c>
      <c r="AQ595" s="4" t="str">
        <f t="shared" si="135"/>
        <v/>
      </c>
      <c r="AR595" s="4" t="str">
        <f t="shared" si="135"/>
        <v/>
      </c>
      <c r="AS595" s="5" t="str">
        <f t="shared" si="135"/>
        <v/>
      </c>
      <c r="AT595" s="3">
        <f t="shared" si="136"/>
        <v>1</v>
      </c>
      <c r="AU595" s="4" t="str">
        <f t="shared" si="136"/>
        <v/>
      </c>
      <c r="AV595" s="4" t="str">
        <f t="shared" si="136"/>
        <v/>
      </c>
      <c r="AW595" s="4" t="str">
        <f t="shared" si="136"/>
        <v/>
      </c>
      <c r="AX595" s="4" t="str">
        <f t="shared" si="136"/>
        <v/>
      </c>
      <c r="AY595" s="4" t="str">
        <f t="shared" si="136"/>
        <v/>
      </c>
      <c r="AZ595" s="4" t="str">
        <f t="shared" si="136"/>
        <v/>
      </c>
      <c r="BA595" s="4" t="str">
        <f t="shared" si="136"/>
        <v/>
      </c>
      <c r="BB595" s="4" t="str">
        <f t="shared" si="131"/>
        <v/>
      </c>
      <c r="BC595" s="4" t="str">
        <f t="shared" si="137"/>
        <v/>
      </c>
      <c r="BD595" s="4" t="str">
        <f t="shared" si="137"/>
        <v/>
      </c>
      <c r="BE595" s="4" t="str">
        <f t="shared" si="137"/>
        <v/>
      </c>
      <c r="BF595" s="4" t="str">
        <f t="shared" si="137"/>
        <v/>
      </c>
      <c r="BG595" s="4" t="str">
        <f t="shared" si="137"/>
        <v/>
      </c>
      <c r="BH595" s="4" t="str">
        <f t="shared" si="137"/>
        <v/>
      </c>
      <c r="BI595" s="5" t="str">
        <f t="shared" si="137"/>
        <v/>
      </c>
    </row>
    <row r="596" spans="1:61" x14ac:dyDescent="0.25">
      <c r="A596">
        <v>608192</v>
      </c>
      <c r="B596" t="s">
        <v>14</v>
      </c>
      <c r="C596" t="s">
        <v>16</v>
      </c>
      <c r="D596">
        <v>68645</v>
      </c>
      <c r="E596">
        <v>443</v>
      </c>
      <c r="F596">
        <v>70</v>
      </c>
      <c r="G596">
        <v>20132</v>
      </c>
      <c r="H596" t="s">
        <v>0</v>
      </c>
      <c r="I596">
        <v>467428</v>
      </c>
      <c r="J596">
        <v>14446</v>
      </c>
      <c r="K596">
        <v>184312.69</v>
      </c>
      <c r="L596">
        <v>169887.06</v>
      </c>
      <c r="M596">
        <v>14425.63</v>
      </c>
      <c r="N596" s="3" t="str">
        <f t="shared" si="132"/>
        <v/>
      </c>
      <c r="O596" s="4" t="str">
        <f t="shared" si="132"/>
        <v/>
      </c>
      <c r="P596" s="4" t="str">
        <f t="shared" si="132"/>
        <v/>
      </c>
      <c r="Q596" s="4" t="str">
        <f t="shared" si="132"/>
        <v/>
      </c>
      <c r="R596" s="4" t="str">
        <f t="shared" si="132"/>
        <v/>
      </c>
      <c r="S596" s="4" t="str">
        <f t="shared" si="132"/>
        <v/>
      </c>
      <c r="T596" s="4" t="str">
        <f t="shared" si="132"/>
        <v/>
      </c>
      <c r="U596" s="4" t="str">
        <f t="shared" si="132"/>
        <v/>
      </c>
      <c r="V596" s="4" t="str">
        <f t="shared" si="129"/>
        <v/>
      </c>
      <c r="W596" s="4" t="str">
        <f t="shared" si="133"/>
        <v/>
      </c>
      <c r="X596" s="4" t="str">
        <f t="shared" si="133"/>
        <v/>
      </c>
      <c r="Y596" s="4" t="str">
        <f t="shared" si="133"/>
        <v/>
      </c>
      <c r="Z596" s="4" t="str">
        <f t="shared" si="133"/>
        <v/>
      </c>
      <c r="AA596" s="4" t="str">
        <f t="shared" si="133"/>
        <v/>
      </c>
      <c r="AB596" s="4" t="str">
        <f t="shared" si="133"/>
        <v/>
      </c>
      <c r="AC596" s="5" t="str">
        <f t="shared" si="133"/>
        <v/>
      </c>
      <c r="AD596" s="3" t="str">
        <f t="shared" si="134"/>
        <v/>
      </c>
      <c r="AE596" s="4" t="str">
        <f t="shared" si="134"/>
        <v/>
      </c>
      <c r="AF596" s="4" t="str">
        <f t="shared" si="134"/>
        <v/>
      </c>
      <c r="AG596" s="4" t="str">
        <f t="shared" si="134"/>
        <v/>
      </c>
      <c r="AH596" s="4" t="str">
        <f t="shared" si="134"/>
        <v/>
      </c>
      <c r="AI596" s="4" t="str">
        <f t="shared" si="134"/>
        <v/>
      </c>
      <c r="AJ596" s="4" t="str">
        <f t="shared" si="134"/>
        <v/>
      </c>
      <c r="AK596" s="4" t="str">
        <f t="shared" si="134"/>
        <v/>
      </c>
      <c r="AL596" s="4" t="str">
        <f t="shared" si="130"/>
        <v/>
      </c>
      <c r="AM596" s="4" t="str">
        <f t="shared" si="135"/>
        <v/>
      </c>
      <c r="AN596" s="4" t="str">
        <f t="shared" si="135"/>
        <v/>
      </c>
      <c r="AO596" s="4" t="str">
        <f t="shared" si="135"/>
        <v/>
      </c>
      <c r="AP596" s="4" t="str">
        <f t="shared" si="135"/>
        <v/>
      </c>
      <c r="AQ596" s="4" t="str">
        <f t="shared" si="135"/>
        <v/>
      </c>
      <c r="AR596" s="4" t="str">
        <f t="shared" si="135"/>
        <v/>
      </c>
      <c r="AS596" s="5" t="str">
        <f t="shared" si="135"/>
        <v/>
      </c>
      <c r="AT596" s="3" t="str">
        <f t="shared" si="136"/>
        <v/>
      </c>
      <c r="AU596" s="4">
        <f t="shared" si="136"/>
        <v>1</v>
      </c>
      <c r="AV596" s="4" t="str">
        <f t="shared" si="136"/>
        <v/>
      </c>
      <c r="AW596" s="4" t="str">
        <f t="shared" si="136"/>
        <v/>
      </c>
      <c r="AX596" s="4" t="str">
        <f t="shared" si="136"/>
        <v/>
      </c>
      <c r="AY596" s="4" t="str">
        <f t="shared" si="136"/>
        <v/>
      </c>
      <c r="AZ596" s="4" t="str">
        <f t="shared" si="136"/>
        <v/>
      </c>
      <c r="BA596" s="4" t="str">
        <f t="shared" si="136"/>
        <v/>
      </c>
      <c r="BB596" s="4" t="str">
        <f t="shared" si="131"/>
        <v/>
      </c>
      <c r="BC596" s="4" t="str">
        <f t="shared" si="137"/>
        <v/>
      </c>
      <c r="BD596" s="4" t="str">
        <f t="shared" si="137"/>
        <v/>
      </c>
      <c r="BE596" s="4" t="str">
        <f t="shared" si="137"/>
        <v/>
      </c>
      <c r="BF596" s="4" t="str">
        <f t="shared" si="137"/>
        <v/>
      </c>
      <c r="BG596" s="4" t="str">
        <f t="shared" si="137"/>
        <v/>
      </c>
      <c r="BH596" s="4" t="str">
        <f t="shared" si="137"/>
        <v/>
      </c>
      <c r="BI596" s="5" t="str">
        <f t="shared" si="137"/>
        <v/>
      </c>
    </row>
    <row r="597" spans="1:61" x14ac:dyDescent="0.25">
      <c r="A597">
        <v>608193</v>
      </c>
      <c r="B597" t="s">
        <v>14</v>
      </c>
      <c r="C597" t="s">
        <v>16</v>
      </c>
      <c r="D597">
        <v>68645</v>
      </c>
      <c r="E597">
        <v>443</v>
      </c>
      <c r="F597">
        <v>70</v>
      </c>
      <c r="G597">
        <v>20133</v>
      </c>
      <c r="H597" t="s">
        <v>0</v>
      </c>
      <c r="I597">
        <v>506772.00099999999</v>
      </c>
      <c r="J597">
        <v>15623</v>
      </c>
      <c r="K597">
        <v>197195.72</v>
      </c>
      <c r="L597">
        <v>183058.91</v>
      </c>
      <c r="M597">
        <v>14136.81</v>
      </c>
      <c r="N597" s="3" t="str">
        <f t="shared" si="132"/>
        <v/>
      </c>
      <c r="O597" s="4" t="str">
        <f t="shared" si="132"/>
        <v/>
      </c>
      <c r="P597" s="4" t="str">
        <f t="shared" si="132"/>
        <v/>
      </c>
      <c r="Q597" s="4" t="str">
        <f t="shared" si="132"/>
        <v/>
      </c>
      <c r="R597" s="4" t="str">
        <f t="shared" si="132"/>
        <v/>
      </c>
      <c r="S597" s="4" t="str">
        <f t="shared" si="132"/>
        <v/>
      </c>
      <c r="T597" s="4" t="str">
        <f t="shared" si="132"/>
        <v/>
      </c>
      <c r="U597" s="4" t="str">
        <f t="shared" si="132"/>
        <v/>
      </c>
      <c r="V597" s="4" t="str">
        <f t="shared" si="129"/>
        <v/>
      </c>
      <c r="W597" s="4" t="str">
        <f t="shared" si="133"/>
        <v/>
      </c>
      <c r="X597" s="4" t="str">
        <f t="shared" si="133"/>
        <v/>
      </c>
      <c r="Y597" s="4" t="str">
        <f t="shared" si="133"/>
        <v/>
      </c>
      <c r="Z597" s="4" t="str">
        <f t="shared" si="133"/>
        <v/>
      </c>
      <c r="AA597" s="4" t="str">
        <f t="shared" si="133"/>
        <v/>
      </c>
      <c r="AB597" s="4" t="str">
        <f t="shared" si="133"/>
        <v/>
      </c>
      <c r="AC597" s="5" t="str">
        <f t="shared" si="133"/>
        <v/>
      </c>
      <c r="AD597" s="3" t="str">
        <f t="shared" si="134"/>
        <v/>
      </c>
      <c r="AE597" s="4" t="str">
        <f t="shared" si="134"/>
        <v/>
      </c>
      <c r="AF597" s="4" t="str">
        <f t="shared" si="134"/>
        <v/>
      </c>
      <c r="AG597" s="4" t="str">
        <f t="shared" si="134"/>
        <v/>
      </c>
      <c r="AH597" s="4" t="str">
        <f t="shared" si="134"/>
        <v/>
      </c>
      <c r="AI597" s="4" t="str">
        <f t="shared" si="134"/>
        <v/>
      </c>
      <c r="AJ597" s="4" t="str">
        <f t="shared" si="134"/>
        <v/>
      </c>
      <c r="AK597" s="4" t="str">
        <f t="shared" si="134"/>
        <v/>
      </c>
      <c r="AL597" s="4" t="str">
        <f t="shared" si="130"/>
        <v/>
      </c>
      <c r="AM597" s="4" t="str">
        <f t="shared" si="135"/>
        <v/>
      </c>
      <c r="AN597" s="4" t="str">
        <f t="shared" si="135"/>
        <v/>
      </c>
      <c r="AO597" s="4" t="str">
        <f t="shared" si="135"/>
        <v/>
      </c>
      <c r="AP597" s="4" t="str">
        <f t="shared" si="135"/>
        <v/>
      </c>
      <c r="AQ597" s="4" t="str">
        <f t="shared" si="135"/>
        <v/>
      </c>
      <c r="AR597" s="4" t="str">
        <f t="shared" si="135"/>
        <v/>
      </c>
      <c r="AS597" s="5" t="str">
        <f t="shared" si="135"/>
        <v/>
      </c>
      <c r="AT597" s="3" t="str">
        <f t="shared" si="136"/>
        <v/>
      </c>
      <c r="AU597" s="4" t="str">
        <f t="shared" si="136"/>
        <v/>
      </c>
      <c r="AV597" s="4">
        <f t="shared" si="136"/>
        <v>1</v>
      </c>
      <c r="AW597" s="4" t="str">
        <f t="shared" si="136"/>
        <v/>
      </c>
      <c r="AX597" s="4" t="str">
        <f t="shared" si="136"/>
        <v/>
      </c>
      <c r="AY597" s="4" t="str">
        <f t="shared" si="136"/>
        <v/>
      </c>
      <c r="AZ597" s="4" t="str">
        <f t="shared" si="136"/>
        <v/>
      </c>
      <c r="BA597" s="4" t="str">
        <f t="shared" si="136"/>
        <v/>
      </c>
      <c r="BB597" s="4" t="str">
        <f t="shared" si="131"/>
        <v/>
      </c>
      <c r="BC597" s="4" t="str">
        <f t="shared" si="137"/>
        <v/>
      </c>
      <c r="BD597" s="4" t="str">
        <f t="shared" si="137"/>
        <v/>
      </c>
      <c r="BE597" s="4" t="str">
        <f t="shared" si="137"/>
        <v/>
      </c>
      <c r="BF597" s="4" t="str">
        <f t="shared" si="137"/>
        <v/>
      </c>
      <c r="BG597" s="4" t="str">
        <f t="shared" si="137"/>
        <v/>
      </c>
      <c r="BH597" s="4" t="str">
        <f t="shared" si="137"/>
        <v/>
      </c>
      <c r="BI597" s="5" t="str">
        <f t="shared" si="137"/>
        <v/>
      </c>
    </row>
    <row r="598" spans="1:61" x14ac:dyDescent="0.25">
      <c r="A598">
        <v>608194</v>
      </c>
      <c r="B598" t="s">
        <v>14</v>
      </c>
      <c r="C598" t="s">
        <v>16</v>
      </c>
      <c r="D598">
        <v>68645</v>
      </c>
      <c r="E598">
        <v>443</v>
      </c>
      <c r="F598">
        <v>70</v>
      </c>
      <c r="G598">
        <v>20134</v>
      </c>
      <c r="H598" t="s">
        <v>0</v>
      </c>
      <c r="I598">
        <v>537038.03</v>
      </c>
      <c r="J598">
        <v>16206</v>
      </c>
      <c r="K598">
        <v>196510.92</v>
      </c>
      <c r="L598">
        <v>181910.87</v>
      </c>
      <c r="M598">
        <v>14600.05</v>
      </c>
      <c r="N598" s="3" t="str">
        <f t="shared" si="132"/>
        <v/>
      </c>
      <c r="O598" s="4" t="str">
        <f t="shared" si="132"/>
        <v/>
      </c>
      <c r="P598" s="4" t="str">
        <f t="shared" si="132"/>
        <v/>
      </c>
      <c r="Q598" s="4" t="str">
        <f t="shared" si="132"/>
        <v/>
      </c>
      <c r="R598" s="4" t="str">
        <f t="shared" si="132"/>
        <v/>
      </c>
      <c r="S598" s="4" t="str">
        <f t="shared" si="132"/>
        <v/>
      </c>
      <c r="T598" s="4" t="str">
        <f t="shared" si="132"/>
        <v/>
      </c>
      <c r="U598" s="4" t="str">
        <f t="shared" si="132"/>
        <v/>
      </c>
      <c r="V598" s="4" t="str">
        <f t="shared" si="129"/>
        <v/>
      </c>
      <c r="W598" s="4" t="str">
        <f t="shared" si="133"/>
        <v/>
      </c>
      <c r="X598" s="4" t="str">
        <f t="shared" si="133"/>
        <v/>
      </c>
      <c r="Y598" s="4" t="str">
        <f t="shared" si="133"/>
        <v/>
      </c>
      <c r="Z598" s="4" t="str">
        <f t="shared" si="133"/>
        <v/>
      </c>
      <c r="AA598" s="4" t="str">
        <f t="shared" si="133"/>
        <v/>
      </c>
      <c r="AB598" s="4" t="str">
        <f t="shared" si="133"/>
        <v/>
      </c>
      <c r="AC598" s="5" t="str">
        <f t="shared" si="133"/>
        <v/>
      </c>
      <c r="AD598" s="3" t="str">
        <f t="shared" si="134"/>
        <v/>
      </c>
      <c r="AE598" s="4" t="str">
        <f t="shared" si="134"/>
        <v/>
      </c>
      <c r="AF598" s="4" t="str">
        <f t="shared" si="134"/>
        <v/>
      </c>
      <c r="AG598" s="4" t="str">
        <f t="shared" si="134"/>
        <v/>
      </c>
      <c r="AH598" s="4" t="str">
        <f t="shared" si="134"/>
        <v/>
      </c>
      <c r="AI598" s="4" t="str">
        <f t="shared" si="134"/>
        <v/>
      </c>
      <c r="AJ598" s="4" t="str">
        <f t="shared" si="134"/>
        <v/>
      </c>
      <c r="AK598" s="4" t="str">
        <f t="shared" si="134"/>
        <v/>
      </c>
      <c r="AL598" s="4" t="str">
        <f t="shared" si="130"/>
        <v/>
      </c>
      <c r="AM598" s="4" t="str">
        <f t="shared" si="135"/>
        <v/>
      </c>
      <c r="AN598" s="4" t="str">
        <f t="shared" si="135"/>
        <v/>
      </c>
      <c r="AO598" s="4" t="str">
        <f t="shared" si="135"/>
        <v/>
      </c>
      <c r="AP598" s="4" t="str">
        <f t="shared" si="135"/>
        <v/>
      </c>
      <c r="AQ598" s="4" t="str">
        <f t="shared" si="135"/>
        <v/>
      </c>
      <c r="AR598" s="4" t="str">
        <f t="shared" si="135"/>
        <v/>
      </c>
      <c r="AS598" s="5" t="str">
        <f t="shared" si="135"/>
        <v/>
      </c>
      <c r="AT598" s="3" t="str">
        <f t="shared" si="136"/>
        <v/>
      </c>
      <c r="AU598" s="4" t="str">
        <f t="shared" si="136"/>
        <v/>
      </c>
      <c r="AV598" s="4" t="str">
        <f t="shared" si="136"/>
        <v/>
      </c>
      <c r="AW598" s="4">
        <f t="shared" si="136"/>
        <v>1</v>
      </c>
      <c r="AX598" s="4" t="str">
        <f t="shared" si="136"/>
        <v/>
      </c>
      <c r="AY598" s="4" t="str">
        <f t="shared" si="136"/>
        <v/>
      </c>
      <c r="AZ598" s="4" t="str">
        <f t="shared" si="136"/>
        <v/>
      </c>
      <c r="BA598" s="4" t="str">
        <f t="shared" si="136"/>
        <v/>
      </c>
      <c r="BB598" s="4" t="str">
        <f t="shared" si="131"/>
        <v/>
      </c>
      <c r="BC598" s="4" t="str">
        <f t="shared" si="137"/>
        <v/>
      </c>
      <c r="BD598" s="4" t="str">
        <f t="shared" si="137"/>
        <v/>
      </c>
      <c r="BE598" s="4" t="str">
        <f t="shared" si="137"/>
        <v/>
      </c>
      <c r="BF598" s="4" t="str">
        <f t="shared" si="137"/>
        <v/>
      </c>
      <c r="BG598" s="4" t="str">
        <f t="shared" si="137"/>
        <v/>
      </c>
      <c r="BH598" s="4" t="str">
        <f t="shared" si="137"/>
        <v/>
      </c>
      <c r="BI598" s="5" t="str">
        <f t="shared" si="137"/>
        <v/>
      </c>
    </row>
    <row r="599" spans="1:61" x14ac:dyDescent="0.25">
      <c r="A599">
        <v>734545</v>
      </c>
      <c r="B599" t="s">
        <v>15</v>
      </c>
      <c r="C599" t="s">
        <v>16</v>
      </c>
      <c r="D599">
        <v>68645</v>
      </c>
      <c r="E599">
        <v>443</v>
      </c>
      <c r="F599">
        <v>70</v>
      </c>
      <c r="G599">
        <v>20131</v>
      </c>
      <c r="H599" t="s">
        <v>0</v>
      </c>
      <c r="I599">
        <v>140986</v>
      </c>
      <c r="J599">
        <v>4641</v>
      </c>
      <c r="K599">
        <v>136753.69</v>
      </c>
      <c r="L599">
        <v>135374.49</v>
      </c>
      <c r="M599">
        <v>1379.2</v>
      </c>
      <c r="N599" s="3" t="str">
        <f t="shared" si="132"/>
        <v/>
      </c>
      <c r="O599" s="4" t="str">
        <f t="shared" si="132"/>
        <v/>
      </c>
      <c r="P599" s="4" t="str">
        <f t="shared" si="132"/>
        <v/>
      </c>
      <c r="Q599" s="4" t="str">
        <f t="shared" si="132"/>
        <v/>
      </c>
      <c r="R599" s="4" t="str">
        <f t="shared" si="132"/>
        <v/>
      </c>
      <c r="S599" s="4" t="str">
        <f t="shared" si="132"/>
        <v/>
      </c>
      <c r="T599" s="4" t="str">
        <f t="shared" si="132"/>
        <v/>
      </c>
      <c r="U599" s="4" t="str">
        <f t="shared" si="132"/>
        <v/>
      </c>
      <c r="V599" s="4" t="str">
        <f t="shared" si="129"/>
        <v/>
      </c>
      <c r="W599" s="4" t="str">
        <f t="shared" si="133"/>
        <v/>
      </c>
      <c r="X599" s="4" t="str">
        <f t="shared" si="133"/>
        <v/>
      </c>
      <c r="Y599" s="4" t="str">
        <f t="shared" si="133"/>
        <v/>
      </c>
      <c r="Z599" s="4" t="str">
        <f t="shared" si="133"/>
        <v/>
      </c>
      <c r="AA599" s="4" t="str">
        <f t="shared" si="133"/>
        <v/>
      </c>
      <c r="AB599" s="4" t="str">
        <f t="shared" si="133"/>
        <v/>
      </c>
      <c r="AC599" s="5" t="str">
        <f t="shared" si="133"/>
        <v/>
      </c>
      <c r="AD599" s="3" t="str">
        <f t="shared" si="134"/>
        <v/>
      </c>
      <c r="AE599" s="4" t="str">
        <f t="shared" si="134"/>
        <v/>
      </c>
      <c r="AF599" s="4" t="str">
        <f t="shared" si="134"/>
        <v/>
      </c>
      <c r="AG599" s="4" t="str">
        <f t="shared" si="134"/>
        <v/>
      </c>
      <c r="AH599" s="4" t="str">
        <f t="shared" si="134"/>
        <v/>
      </c>
      <c r="AI599" s="4" t="str">
        <f t="shared" si="134"/>
        <v/>
      </c>
      <c r="AJ599" s="4" t="str">
        <f t="shared" si="134"/>
        <v/>
      </c>
      <c r="AK599" s="4" t="str">
        <f t="shared" si="134"/>
        <v/>
      </c>
      <c r="AL599" s="4" t="str">
        <f t="shared" si="130"/>
        <v/>
      </c>
      <c r="AM599" s="4" t="str">
        <f t="shared" si="135"/>
        <v/>
      </c>
      <c r="AN599" s="4" t="str">
        <f t="shared" si="135"/>
        <v/>
      </c>
      <c r="AO599" s="4" t="str">
        <f t="shared" si="135"/>
        <v/>
      </c>
      <c r="AP599" s="4" t="str">
        <f t="shared" si="135"/>
        <v/>
      </c>
      <c r="AQ599" s="4" t="str">
        <f t="shared" si="135"/>
        <v/>
      </c>
      <c r="AR599" s="4" t="str">
        <f t="shared" si="135"/>
        <v/>
      </c>
      <c r="AS599" s="5" t="str">
        <f t="shared" si="135"/>
        <v/>
      </c>
      <c r="AT599" s="3" t="str">
        <f t="shared" si="136"/>
        <v/>
      </c>
      <c r="AU599" s="4" t="str">
        <f t="shared" si="136"/>
        <v/>
      </c>
      <c r="AV599" s="4" t="str">
        <f t="shared" si="136"/>
        <v/>
      </c>
      <c r="AW599" s="4" t="str">
        <f t="shared" si="136"/>
        <v/>
      </c>
      <c r="AX599" s="4">
        <f t="shared" si="136"/>
        <v>1</v>
      </c>
      <c r="AY599" s="4" t="str">
        <f t="shared" si="136"/>
        <v/>
      </c>
      <c r="AZ599" s="4" t="str">
        <f t="shared" si="136"/>
        <v/>
      </c>
      <c r="BA599" s="4" t="str">
        <f t="shared" si="136"/>
        <v/>
      </c>
      <c r="BB599" s="4" t="str">
        <f t="shared" si="131"/>
        <v/>
      </c>
      <c r="BC599" s="4" t="str">
        <f t="shared" si="137"/>
        <v/>
      </c>
      <c r="BD599" s="4" t="str">
        <f t="shared" si="137"/>
        <v/>
      </c>
      <c r="BE599" s="4" t="str">
        <f t="shared" si="137"/>
        <v/>
      </c>
      <c r="BF599" s="4" t="str">
        <f t="shared" si="137"/>
        <v/>
      </c>
      <c r="BG599" s="4" t="str">
        <f t="shared" si="137"/>
        <v/>
      </c>
      <c r="BH599" s="4" t="str">
        <f t="shared" si="137"/>
        <v/>
      </c>
      <c r="BI599" s="5" t="str">
        <f t="shared" si="137"/>
        <v/>
      </c>
    </row>
    <row r="600" spans="1:61" x14ac:dyDescent="0.25">
      <c r="A600">
        <v>734546</v>
      </c>
      <c r="B600" t="s">
        <v>15</v>
      </c>
      <c r="C600" t="s">
        <v>16</v>
      </c>
      <c r="D600">
        <v>68645</v>
      </c>
      <c r="E600">
        <v>443</v>
      </c>
      <c r="F600">
        <v>70</v>
      </c>
      <c r="G600">
        <v>20132</v>
      </c>
      <c r="H600" t="s">
        <v>0</v>
      </c>
      <c r="I600">
        <v>408904</v>
      </c>
      <c r="J600">
        <v>13346</v>
      </c>
      <c r="K600">
        <v>307040.82</v>
      </c>
      <c r="L600">
        <v>303097.27</v>
      </c>
      <c r="M600">
        <v>3943.55</v>
      </c>
      <c r="N600" s="3" t="str">
        <f t="shared" si="132"/>
        <v/>
      </c>
      <c r="O600" s="4" t="str">
        <f t="shared" si="132"/>
        <v/>
      </c>
      <c r="P600" s="4" t="str">
        <f t="shared" si="132"/>
        <v/>
      </c>
      <c r="Q600" s="4" t="str">
        <f t="shared" si="132"/>
        <v/>
      </c>
      <c r="R600" s="4" t="str">
        <f t="shared" si="132"/>
        <v/>
      </c>
      <c r="S600" s="4" t="str">
        <f t="shared" si="132"/>
        <v/>
      </c>
      <c r="T600" s="4" t="str">
        <f t="shared" si="132"/>
        <v/>
      </c>
      <c r="U600" s="4" t="str">
        <f t="shared" si="132"/>
        <v/>
      </c>
      <c r="V600" s="4" t="str">
        <f t="shared" si="129"/>
        <v/>
      </c>
      <c r="W600" s="4" t="str">
        <f t="shared" si="133"/>
        <v/>
      </c>
      <c r="X600" s="4" t="str">
        <f t="shared" si="133"/>
        <v/>
      </c>
      <c r="Y600" s="4" t="str">
        <f t="shared" si="133"/>
        <v/>
      </c>
      <c r="Z600" s="4" t="str">
        <f t="shared" si="133"/>
        <v/>
      </c>
      <c r="AA600" s="4" t="str">
        <f t="shared" si="133"/>
        <v/>
      </c>
      <c r="AB600" s="4" t="str">
        <f t="shared" si="133"/>
        <v/>
      </c>
      <c r="AC600" s="5" t="str">
        <f t="shared" si="133"/>
        <v/>
      </c>
      <c r="AD600" s="3" t="str">
        <f t="shared" si="134"/>
        <v/>
      </c>
      <c r="AE600" s="4" t="str">
        <f t="shared" si="134"/>
        <v/>
      </c>
      <c r="AF600" s="4" t="str">
        <f t="shared" si="134"/>
        <v/>
      </c>
      <c r="AG600" s="4" t="str">
        <f t="shared" si="134"/>
        <v/>
      </c>
      <c r="AH600" s="4" t="str">
        <f t="shared" si="134"/>
        <v/>
      </c>
      <c r="AI600" s="4" t="str">
        <f t="shared" si="134"/>
        <v/>
      </c>
      <c r="AJ600" s="4" t="str">
        <f t="shared" si="134"/>
        <v/>
      </c>
      <c r="AK600" s="4" t="str">
        <f t="shared" si="134"/>
        <v/>
      </c>
      <c r="AL600" s="4" t="str">
        <f t="shared" si="130"/>
        <v/>
      </c>
      <c r="AM600" s="4" t="str">
        <f t="shared" si="135"/>
        <v/>
      </c>
      <c r="AN600" s="4" t="str">
        <f t="shared" si="135"/>
        <v/>
      </c>
      <c r="AO600" s="4" t="str">
        <f t="shared" si="135"/>
        <v/>
      </c>
      <c r="AP600" s="4" t="str">
        <f t="shared" si="135"/>
        <v/>
      </c>
      <c r="AQ600" s="4" t="str">
        <f t="shared" si="135"/>
        <v/>
      </c>
      <c r="AR600" s="4" t="str">
        <f t="shared" si="135"/>
        <v/>
      </c>
      <c r="AS600" s="5" t="str">
        <f t="shared" si="135"/>
        <v/>
      </c>
      <c r="AT600" s="3" t="str">
        <f t="shared" si="136"/>
        <v/>
      </c>
      <c r="AU600" s="4" t="str">
        <f t="shared" si="136"/>
        <v/>
      </c>
      <c r="AV600" s="4" t="str">
        <f t="shared" si="136"/>
        <v/>
      </c>
      <c r="AW600" s="4" t="str">
        <f t="shared" si="136"/>
        <v/>
      </c>
      <c r="AX600" s="4" t="str">
        <f t="shared" si="136"/>
        <v/>
      </c>
      <c r="AY600" s="4">
        <f t="shared" si="136"/>
        <v>1</v>
      </c>
      <c r="AZ600" s="4" t="str">
        <f t="shared" si="136"/>
        <v/>
      </c>
      <c r="BA600" s="4" t="str">
        <f t="shared" si="136"/>
        <v/>
      </c>
      <c r="BB600" s="4" t="str">
        <f t="shared" si="131"/>
        <v/>
      </c>
      <c r="BC600" s="4" t="str">
        <f t="shared" si="137"/>
        <v/>
      </c>
      <c r="BD600" s="4" t="str">
        <f t="shared" si="137"/>
        <v/>
      </c>
      <c r="BE600" s="4" t="str">
        <f t="shared" si="137"/>
        <v/>
      </c>
      <c r="BF600" s="4" t="str">
        <f t="shared" si="137"/>
        <v/>
      </c>
      <c r="BG600" s="4" t="str">
        <f t="shared" si="137"/>
        <v/>
      </c>
      <c r="BH600" s="4" t="str">
        <f t="shared" si="137"/>
        <v/>
      </c>
      <c r="BI600" s="5" t="str">
        <f t="shared" si="137"/>
        <v/>
      </c>
    </row>
    <row r="601" spans="1:61" x14ac:dyDescent="0.25">
      <c r="A601">
        <v>734547</v>
      </c>
      <c r="B601" t="s">
        <v>15</v>
      </c>
      <c r="C601" t="s">
        <v>16</v>
      </c>
      <c r="D601">
        <v>68645</v>
      </c>
      <c r="E601">
        <v>443</v>
      </c>
      <c r="F601">
        <v>70</v>
      </c>
      <c r="G601">
        <v>20133</v>
      </c>
      <c r="H601" t="s">
        <v>0</v>
      </c>
      <c r="I601">
        <v>453290.00099999999</v>
      </c>
      <c r="J601">
        <v>14911</v>
      </c>
      <c r="K601">
        <v>292544.46000000002</v>
      </c>
      <c r="L601">
        <v>288687.28000000003</v>
      </c>
      <c r="M601">
        <v>3857.18</v>
      </c>
      <c r="N601" s="3" t="str">
        <f t="shared" si="132"/>
        <v/>
      </c>
      <c r="O601" s="4" t="str">
        <f t="shared" si="132"/>
        <v/>
      </c>
      <c r="P601" s="4" t="str">
        <f t="shared" si="132"/>
        <v/>
      </c>
      <c r="Q601" s="4" t="str">
        <f t="shared" si="132"/>
        <v/>
      </c>
      <c r="R601" s="4" t="str">
        <f t="shared" si="132"/>
        <v/>
      </c>
      <c r="S601" s="4" t="str">
        <f t="shared" si="132"/>
        <v/>
      </c>
      <c r="T601" s="4" t="str">
        <f t="shared" si="132"/>
        <v/>
      </c>
      <c r="U601" s="4" t="str">
        <f t="shared" si="132"/>
        <v/>
      </c>
      <c r="V601" s="4" t="str">
        <f t="shared" si="129"/>
        <v/>
      </c>
      <c r="W601" s="4" t="str">
        <f t="shared" si="133"/>
        <v/>
      </c>
      <c r="X601" s="4" t="str">
        <f t="shared" si="133"/>
        <v/>
      </c>
      <c r="Y601" s="4" t="str">
        <f t="shared" si="133"/>
        <v/>
      </c>
      <c r="Z601" s="4" t="str">
        <f t="shared" si="133"/>
        <v/>
      </c>
      <c r="AA601" s="4" t="str">
        <f t="shared" si="133"/>
        <v/>
      </c>
      <c r="AB601" s="4" t="str">
        <f t="shared" si="133"/>
        <v/>
      </c>
      <c r="AC601" s="5" t="str">
        <f t="shared" si="133"/>
        <v/>
      </c>
      <c r="AD601" s="3" t="str">
        <f t="shared" si="134"/>
        <v/>
      </c>
      <c r="AE601" s="4" t="str">
        <f t="shared" si="134"/>
        <v/>
      </c>
      <c r="AF601" s="4" t="str">
        <f t="shared" si="134"/>
        <v/>
      </c>
      <c r="AG601" s="4" t="str">
        <f t="shared" si="134"/>
        <v/>
      </c>
      <c r="AH601" s="4" t="str">
        <f t="shared" si="134"/>
        <v/>
      </c>
      <c r="AI601" s="4" t="str">
        <f t="shared" si="134"/>
        <v/>
      </c>
      <c r="AJ601" s="4" t="str">
        <f t="shared" si="134"/>
        <v/>
      </c>
      <c r="AK601" s="4" t="str">
        <f t="shared" si="134"/>
        <v/>
      </c>
      <c r="AL601" s="4" t="str">
        <f t="shared" si="130"/>
        <v/>
      </c>
      <c r="AM601" s="4" t="str">
        <f t="shared" si="135"/>
        <v/>
      </c>
      <c r="AN601" s="4" t="str">
        <f t="shared" si="135"/>
        <v/>
      </c>
      <c r="AO601" s="4" t="str">
        <f t="shared" si="135"/>
        <v/>
      </c>
      <c r="AP601" s="4" t="str">
        <f t="shared" si="135"/>
        <v/>
      </c>
      <c r="AQ601" s="4" t="str">
        <f t="shared" si="135"/>
        <v/>
      </c>
      <c r="AR601" s="4" t="str">
        <f t="shared" si="135"/>
        <v/>
      </c>
      <c r="AS601" s="5" t="str">
        <f t="shared" si="135"/>
        <v/>
      </c>
      <c r="AT601" s="3" t="str">
        <f t="shared" si="136"/>
        <v/>
      </c>
      <c r="AU601" s="4" t="str">
        <f t="shared" si="136"/>
        <v/>
      </c>
      <c r="AV601" s="4" t="str">
        <f t="shared" si="136"/>
        <v/>
      </c>
      <c r="AW601" s="4" t="str">
        <f t="shared" si="136"/>
        <v/>
      </c>
      <c r="AX601" s="4" t="str">
        <f t="shared" si="136"/>
        <v/>
      </c>
      <c r="AY601" s="4" t="str">
        <f t="shared" si="136"/>
        <v/>
      </c>
      <c r="AZ601" s="4">
        <f t="shared" si="136"/>
        <v>1</v>
      </c>
      <c r="BA601" s="4" t="str">
        <f t="shared" si="136"/>
        <v/>
      </c>
      <c r="BB601" s="4" t="str">
        <f t="shared" si="131"/>
        <v/>
      </c>
      <c r="BC601" s="4" t="str">
        <f t="shared" si="137"/>
        <v/>
      </c>
      <c r="BD601" s="4" t="str">
        <f t="shared" si="137"/>
        <v/>
      </c>
      <c r="BE601" s="4" t="str">
        <f t="shared" si="137"/>
        <v/>
      </c>
      <c r="BF601" s="4" t="str">
        <f t="shared" si="137"/>
        <v/>
      </c>
      <c r="BG601" s="4" t="str">
        <f t="shared" si="137"/>
        <v/>
      </c>
      <c r="BH601" s="4" t="str">
        <f t="shared" si="137"/>
        <v/>
      </c>
      <c r="BI601" s="5" t="str">
        <f t="shared" si="137"/>
        <v/>
      </c>
    </row>
    <row r="602" spans="1:61" x14ac:dyDescent="0.25">
      <c r="A602">
        <v>734548</v>
      </c>
      <c r="B602" t="s">
        <v>15</v>
      </c>
      <c r="C602" t="s">
        <v>16</v>
      </c>
      <c r="D602">
        <v>68645</v>
      </c>
      <c r="E602">
        <v>443</v>
      </c>
      <c r="F602">
        <v>70</v>
      </c>
      <c r="G602">
        <v>20134</v>
      </c>
      <c r="H602" t="s">
        <v>0</v>
      </c>
      <c r="I602">
        <v>481703.00099999999</v>
      </c>
      <c r="J602">
        <v>15824</v>
      </c>
      <c r="K602">
        <v>278075.33</v>
      </c>
      <c r="L602">
        <v>273652.63</v>
      </c>
      <c r="M602">
        <v>4422.7</v>
      </c>
      <c r="N602" s="3" t="str">
        <f t="shared" si="132"/>
        <v/>
      </c>
      <c r="O602" s="4" t="str">
        <f t="shared" si="132"/>
        <v/>
      </c>
      <c r="P602" s="4" t="str">
        <f t="shared" si="132"/>
        <v/>
      </c>
      <c r="Q602" s="4" t="str">
        <f t="shared" si="132"/>
        <v/>
      </c>
      <c r="R602" s="4" t="str">
        <f t="shared" si="132"/>
        <v/>
      </c>
      <c r="S602" s="4" t="str">
        <f t="shared" si="132"/>
        <v/>
      </c>
      <c r="T602" s="4" t="str">
        <f t="shared" si="132"/>
        <v/>
      </c>
      <c r="U602" s="4" t="str">
        <f t="shared" si="132"/>
        <v/>
      </c>
      <c r="V602" s="4" t="str">
        <f t="shared" si="129"/>
        <v/>
      </c>
      <c r="W602" s="4" t="str">
        <f t="shared" si="133"/>
        <v/>
      </c>
      <c r="X602" s="4" t="str">
        <f t="shared" si="133"/>
        <v/>
      </c>
      <c r="Y602" s="4" t="str">
        <f t="shared" si="133"/>
        <v/>
      </c>
      <c r="Z602" s="4" t="str">
        <f t="shared" si="133"/>
        <v/>
      </c>
      <c r="AA602" s="4" t="str">
        <f t="shared" si="133"/>
        <v/>
      </c>
      <c r="AB602" s="4" t="str">
        <f t="shared" si="133"/>
        <v/>
      </c>
      <c r="AC602" s="5" t="str">
        <f t="shared" si="133"/>
        <v/>
      </c>
      <c r="AD602" s="3" t="str">
        <f t="shared" si="134"/>
        <v/>
      </c>
      <c r="AE602" s="4" t="str">
        <f t="shared" si="134"/>
        <v/>
      </c>
      <c r="AF602" s="4" t="str">
        <f t="shared" si="134"/>
        <v/>
      </c>
      <c r="AG602" s="4" t="str">
        <f t="shared" si="134"/>
        <v/>
      </c>
      <c r="AH602" s="4" t="str">
        <f t="shared" si="134"/>
        <v/>
      </c>
      <c r="AI602" s="4" t="str">
        <f t="shared" si="134"/>
        <v/>
      </c>
      <c r="AJ602" s="4" t="str">
        <f t="shared" si="134"/>
        <v/>
      </c>
      <c r="AK602" s="4" t="str">
        <f t="shared" si="134"/>
        <v/>
      </c>
      <c r="AL602" s="4" t="str">
        <f t="shared" si="130"/>
        <v/>
      </c>
      <c r="AM602" s="4" t="str">
        <f t="shared" si="135"/>
        <v/>
      </c>
      <c r="AN602" s="4" t="str">
        <f t="shared" si="135"/>
        <v/>
      </c>
      <c r="AO602" s="4" t="str">
        <f t="shared" si="135"/>
        <v/>
      </c>
      <c r="AP602" s="4" t="str">
        <f t="shared" si="135"/>
        <v/>
      </c>
      <c r="AQ602" s="4" t="str">
        <f t="shared" si="135"/>
        <v/>
      </c>
      <c r="AR602" s="4" t="str">
        <f t="shared" si="135"/>
        <v/>
      </c>
      <c r="AS602" s="5" t="str">
        <f t="shared" si="135"/>
        <v/>
      </c>
      <c r="AT602" s="3" t="str">
        <f t="shared" si="136"/>
        <v/>
      </c>
      <c r="AU602" s="4" t="str">
        <f t="shared" si="136"/>
        <v/>
      </c>
      <c r="AV602" s="4" t="str">
        <f t="shared" si="136"/>
        <v/>
      </c>
      <c r="AW602" s="4" t="str">
        <f t="shared" si="136"/>
        <v/>
      </c>
      <c r="AX602" s="4" t="str">
        <f t="shared" si="136"/>
        <v/>
      </c>
      <c r="AY602" s="4" t="str">
        <f t="shared" si="136"/>
        <v/>
      </c>
      <c r="AZ602" s="4" t="str">
        <f t="shared" si="136"/>
        <v/>
      </c>
      <c r="BA602" s="4">
        <f t="shared" si="136"/>
        <v>1</v>
      </c>
      <c r="BB602" s="4" t="str">
        <f t="shared" si="131"/>
        <v/>
      </c>
      <c r="BC602" s="4" t="str">
        <f t="shared" si="137"/>
        <v/>
      </c>
      <c r="BD602" s="4" t="str">
        <f t="shared" si="137"/>
        <v/>
      </c>
      <c r="BE602" s="4" t="str">
        <f t="shared" si="137"/>
        <v/>
      </c>
      <c r="BF602" s="4" t="str">
        <f t="shared" si="137"/>
        <v/>
      </c>
      <c r="BG602" s="4" t="str">
        <f t="shared" si="137"/>
        <v/>
      </c>
      <c r="BH602" s="4" t="str">
        <f t="shared" si="137"/>
        <v/>
      </c>
      <c r="BI602" s="5" t="str">
        <f t="shared" si="137"/>
        <v/>
      </c>
    </row>
    <row r="603" spans="1:61" x14ac:dyDescent="0.25">
      <c r="N603">
        <f>SUM(N4:N602)</f>
        <v>1</v>
      </c>
      <c r="O603">
        <f t="shared" ref="O603:BI603" si="138">SUM(O4:O602)</f>
        <v>0</v>
      </c>
      <c r="P603">
        <f t="shared" si="138"/>
        <v>1</v>
      </c>
      <c r="Q603">
        <f t="shared" si="138"/>
        <v>0</v>
      </c>
      <c r="R603">
        <f t="shared" si="138"/>
        <v>0</v>
      </c>
      <c r="S603">
        <f t="shared" si="138"/>
        <v>0</v>
      </c>
      <c r="T603">
        <f t="shared" si="138"/>
        <v>0</v>
      </c>
      <c r="U603">
        <f t="shared" si="138"/>
        <v>0</v>
      </c>
      <c r="V603">
        <f t="shared" si="138"/>
        <v>6</v>
      </c>
      <c r="W603">
        <f t="shared" si="138"/>
        <v>6</v>
      </c>
      <c r="X603">
        <f t="shared" si="138"/>
        <v>6</v>
      </c>
      <c r="Y603">
        <f t="shared" si="138"/>
        <v>6</v>
      </c>
      <c r="Z603">
        <f t="shared" si="138"/>
        <v>5</v>
      </c>
      <c r="AA603">
        <f t="shared" si="138"/>
        <v>6</v>
      </c>
      <c r="AB603">
        <f t="shared" si="138"/>
        <v>5</v>
      </c>
      <c r="AC603">
        <f t="shared" si="138"/>
        <v>5</v>
      </c>
      <c r="AD603">
        <f t="shared" si="138"/>
        <v>0</v>
      </c>
      <c r="AE603">
        <f t="shared" si="138"/>
        <v>21</v>
      </c>
      <c r="AF603">
        <f t="shared" si="138"/>
        <v>29</v>
      </c>
      <c r="AG603">
        <f t="shared" si="138"/>
        <v>32</v>
      </c>
      <c r="AH603">
        <f t="shared" si="138"/>
        <v>0</v>
      </c>
      <c r="AI603">
        <f t="shared" si="138"/>
        <v>25</v>
      </c>
      <c r="AJ603">
        <f t="shared" si="138"/>
        <v>29</v>
      </c>
      <c r="AK603">
        <f t="shared" si="138"/>
        <v>31</v>
      </c>
      <c r="AL603">
        <f t="shared" si="138"/>
        <v>6</v>
      </c>
      <c r="AM603">
        <f t="shared" si="138"/>
        <v>6</v>
      </c>
      <c r="AN603">
        <f t="shared" si="138"/>
        <v>6</v>
      </c>
      <c r="AO603">
        <f t="shared" si="138"/>
        <v>6</v>
      </c>
      <c r="AP603">
        <f t="shared" si="138"/>
        <v>5</v>
      </c>
      <c r="AQ603">
        <f t="shared" si="138"/>
        <v>6</v>
      </c>
      <c r="AR603">
        <f t="shared" si="138"/>
        <v>6</v>
      </c>
      <c r="AS603">
        <f t="shared" si="138"/>
        <v>6</v>
      </c>
      <c r="AT603">
        <f t="shared" si="138"/>
        <v>37</v>
      </c>
      <c r="AU603">
        <f t="shared" si="138"/>
        <v>34</v>
      </c>
      <c r="AV603">
        <f t="shared" si="138"/>
        <v>34</v>
      </c>
      <c r="AW603">
        <f t="shared" si="138"/>
        <v>33</v>
      </c>
      <c r="AX603">
        <f t="shared" si="138"/>
        <v>35</v>
      </c>
      <c r="AY603">
        <f t="shared" si="138"/>
        <v>35</v>
      </c>
      <c r="AZ603">
        <f t="shared" si="138"/>
        <v>35</v>
      </c>
      <c r="BA603">
        <f t="shared" si="138"/>
        <v>35</v>
      </c>
      <c r="BB603">
        <f t="shared" si="138"/>
        <v>6</v>
      </c>
      <c r="BC603">
        <f t="shared" si="138"/>
        <v>6</v>
      </c>
      <c r="BD603">
        <f t="shared" si="138"/>
        <v>6</v>
      </c>
      <c r="BE603">
        <f t="shared" si="138"/>
        <v>6</v>
      </c>
      <c r="BF603">
        <f t="shared" si="138"/>
        <v>6</v>
      </c>
      <c r="BG603">
        <f t="shared" si="138"/>
        <v>6</v>
      </c>
      <c r="BH603">
        <f t="shared" si="138"/>
        <v>6</v>
      </c>
      <c r="BI603">
        <f t="shared" si="138"/>
        <v>6</v>
      </c>
    </row>
    <row r="605" spans="1:61" ht="15.75" thickBot="1" x14ac:dyDescent="0.3">
      <c r="S605">
        <f>S616/12</f>
        <v>33699.416666666664</v>
      </c>
    </row>
    <row r="606" spans="1:61" x14ac:dyDescent="0.25">
      <c r="N606" s="6" t="s">
        <v>24</v>
      </c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8"/>
    </row>
    <row r="607" spans="1:61" x14ac:dyDescent="0.25">
      <c r="N607" s="9"/>
      <c r="O607" s="10" t="s">
        <v>25</v>
      </c>
      <c r="P607" s="10" t="s">
        <v>26</v>
      </c>
      <c r="Q607" s="10" t="s">
        <v>27</v>
      </c>
      <c r="R607" s="10" t="s">
        <v>28</v>
      </c>
      <c r="S607" s="10" t="s">
        <v>29</v>
      </c>
      <c r="T607" s="10" t="s">
        <v>30</v>
      </c>
      <c r="U607" s="10" t="s">
        <v>31</v>
      </c>
      <c r="V607" s="10" t="s">
        <v>32</v>
      </c>
      <c r="W607" s="10" t="s">
        <v>33</v>
      </c>
      <c r="X607" s="10" t="s">
        <v>34</v>
      </c>
      <c r="Y607" s="10" t="s">
        <v>35</v>
      </c>
      <c r="Z607" s="11" t="s">
        <v>36</v>
      </c>
    </row>
    <row r="608" spans="1:61" x14ac:dyDescent="0.25">
      <c r="N608" s="12" t="s">
        <v>60</v>
      </c>
      <c r="O608" s="13">
        <f xml:space="preserve"> SUMPRODUCT($J$4:$J$602, V$4:V$602)</f>
        <v>337832</v>
      </c>
      <c r="P608" s="13">
        <f xml:space="preserve"> SUMPRODUCT($J$4:$J$602, W$4:W$602)</f>
        <v>327006</v>
      </c>
      <c r="Q608" s="13">
        <f t="shared" ref="Q608:R608" si="139" xml:space="preserve"> SUMPRODUCT($J$4:$J$602, X$4:X$602)</f>
        <v>298846</v>
      </c>
      <c r="R608" s="13">
        <f t="shared" si="139"/>
        <v>231900</v>
      </c>
      <c r="S608" s="13">
        <f xml:space="preserve"> SUMPRODUCT($J$4:$J$602, AL$4:AL$602)</f>
        <v>234848</v>
      </c>
      <c r="T608" s="13">
        <f t="shared" ref="T608:V608" si="140" xml:space="preserve"> SUMPRODUCT($J$4:$J$602, AM$4:AM$602)</f>
        <v>171303</v>
      </c>
      <c r="U608" s="13">
        <f t="shared" si="140"/>
        <v>40252</v>
      </c>
      <c r="V608" s="13">
        <f t="shared" si="140"/>
        <v>10043</v>
      </c>
      <c r="W608" s="13">
        <f xml:space="preserve"> SUMPRODUCT($J$4:$J$602, BB$4:BB$602)</f>
        <v>5431</v>
      </c>
      <c r="X608" s="13">
        <f t="shared" ref="X608:Z608" si="141" xml:space="preserve"> SUMPRODUCT($J$4:$J$602, BC$4:BC$602)</f>
        <v>7663</v>
      </c>
      <c r="Y608" s="13">
        <f t="shared" si="141"/>
        <v>4536</v>
      </c>
      <c r="Z608" s="14">
        <f t="shared" si="141"/>
        <v>3499</v>
      </c>
      <c r="AE608" t="s">
        <v>37</v>
      </c>
      <c r="AF608">
        <v>25262581.25</v>
      </c>
      <c r="AG608">
        <v>18806118.559999999</v>
      </c>
      <c r="AH608">
        <v>9721023.9100000001</v>
      </c>
      <c r="AI608">
        <v>5123964.38</v>
      </c>
      <c r="AU608" t="s">
        <v>37</v>
      </c>
      <c r="AV608">
        <v>25262581.25</v>
      </c>
      <c r="AW608">
        <v>18806118.559999999</v>
      </c>
      <c r="AX608">
        <v>9721023.9100000001</v>
      </c>
      <c r="AY608">
        <v>5123964.38</v>
      </c>
    </row>
    <row r="609" spans="14:59" x14ac:dyDescent="0.25">
      <c r="N609" s="12" t="s">
        <v>61</v>
      </c>
      <c r="O609" s="13">
        <f xml:space="preserve"> SUMPRODUCT($J$4:$J$602, Z$4:Z$602)</f>
        <v>80976</v>
      </c>
      <c r="P609" s="13">
        <f t="shared" ref="P609:R609" si="142" xml:space="preserve"> SUMPRODUCT($J$4:$J$602, AA$4:AA$602)</f>
        <v>87721</v>
      </c>
      <c r="Q609" s="13">
        <f t="shared" si="142"/>
        <v>91111</v>
      </c>
      <c r="R609" s="13">
        <f t="shared" si="142"/>
        <v>170054</v>
      </c>
      <c r="S609" s="13">
        <f xml:space="preserve"> SUMPRODUCT($J$4:$J$602, AP$4:AP$602)</f>
        <v>169545</v>
      </c>
      <c r="T609" s="13">
        <f t="shared" ref="T609:V609" si="143" xml:space="preserve"> SUMPRODUCT($J$4:$J$602, AQ$4:AQ$602)</f>
        <v>144589</v>
      </c>
      <c r="U609" s="13">
        <f t="shared" si="143"/>
        <v>23754</v>
      </c>
      <c r="V609" s="13">
        <f t="shared" si="143"/>
        <v>10537</v>
      </c>
      <c r="W609" s="13">
        <f xml:space="preserve"> SUMPRODUCT($J$4:$J$602, BF$4:BF$602)</f>
        <v>5586</v>
      </c>
      <c r="X609" s="13">
        <f t="shared" ref="X609:Z609" si="144" xml:space="preserve"> SUMPRODUCT($J$4:$J$602, BG$4:BG$602)</f>
        <v>3394</v>
      </c>
      <c r="Y609" s="13">
        <f t="shared" si="144"/>
        <v>2503</v>
      </c>
      <c r="Z609" s="14">
        <f t="shared" si="144"/>
        <v>1957</v>
      </c>
      <c r="AE609" t="s">
        <v>38</v>
      </c>
      <c r="AF609">
        <v>3450083.79</v>
      </c>
      <c r="AG609">
        <v>1674622.49</v>
      </c>
      <c r="AH609">
        <v>684279.66</v>
      </c>
      <c r="AI609">
        <v>432258.27</v>
      </c>
      <c r="AU609" t="s">
        <v>38</v>
      </c>
      <c r="AV609">
        <v>3450083.79</v>
      </c>
      <c r="AW609">
        <v>1674622.49</v>
      </c>
      <c r="AX609">
        <v>684279.66</v>
      </c>
      <c r="AY609">
        <v>432258.27</v>
      </c>
    </row>
    <row r="610" spans="14:59" x14ac:dyDescent="0.25">
      <c r="N610" s="12" t="s">
        <v>39</v>
      </c>
      <c r="O610" s="13">
        <f xml:space="preserve"> SUMPRODUCT($J$4:$J$602, N$4:N$602)</f>
        <v>1</v>
      </c>
      <c r="P610" s="13">
        <f t="shared" ref="P610:R610" si="145" xml:space="preserve"> SUMPRODUCT($J$4:$J$602, O$4:O$602)</f>
        <v>0</v>
      </c>
      <c r="Q610" s="13">
        <f t="shared" si="145"/>
        <v>2</v>
      </c>
      <c r="R610" s="13">
        <f t="shared" si="145"/>
        <v>0</v>
      </c>
      <c r="S610" s="13">
        <f xml:space="preserve"> SUMPRODUCT($J$4:$J$602, AD$4:AD$602)</f>
        <v>0</v>
      </c>
      <c r="T610" s="13">
        <f t="shared" ref="T610:V610" si="146" xml:space="preserve"> SUMPRODUCT($J$4:$J$602, AE$4:AE$602)</f>
        <v>34130</v>
      </c>
      <c r="U610" s="13">
        <f t="shared" si="146"/>
        <v>160366</v>
      </c>
      <c r="V610" s="13">
        <f t="shared" si="146"/>
        <v>175178</v>
      </c>
      <c r="W610" s="13">
        <f xml:space="preserve"> SUMPRODUCT($J$4:$J$602, AT$4:AT$602)</f>
        <v>170401</v>
      </c>
      <c r="X610" s="13">
        <f t="shared" ref="X610:Z610" si="147" xml:space="preserve"> SUMPRODUCT($J$4:$J$602, AU$4:AU$602)</f>
        <v>169611</v>
      </c>
      <c r="Y610" s="13">
        <f t="shared" si="147"/>
        <v>166172</v>
      </c>
      <c r="Z610" s="14">
        <f t="shared" si="147"/>
        <v>157954</v>
      </c>
      <c r="AE610" t="s">
        <v>39</v>
      </c>
      <c r="AF610">
        <v>11204413.16</v>
      </c>
      <c r="AG610">
        <v>11203823.43</v>
      </c>
      <c r="AH610">
        <v>8280164.8200000003</v>
      </c>
      <c r="AI610">
        <v>7370324.4500000002</v>
      </c>
      <c r="AU610" t="s">
        <v>39</v>
      </c>
      <c r="AV610">
        <v>11204413.16</v>
      </c>
      <c r="AW610">
        <v>11203823.43</v>
      </c>
      <c r="AX610">
        <v>8280164.8200000003</v>
      </c>
      <c r="AY610">
        <v>7370324.4500000002</v>
      </c>
    </row>
    <row r="611" spans="14:59" x14ac:dyDescent="0.25">
      <c r="N611" s="12" t="s">
        <v>40</v>
      </c>
      <c r="O611" s="13">
        <f xml:space="preserve"> SUMPRODUCT($J$4:$J$602, R$4:R$602)</f>
        <v>0</v>
      </c>
      <c r="P611" s="13">
        <f t="shared" ref="P611:R611" si="148" xml:space="preserve"> SUMPRODUCT($J$4:$J$602, S$4:S$602)</f>
        <v>0</v>
      </c>
      <c r="Q611" s="13">
        <f t="shared" si="148"/>
        <v>0</v>
      </c>
      <c r="R611" s="13">
        <f t="shared" si="148"/>
        <v>0</v>
      </c>
      <c r="S611" s="13">
        <f xml:space="preserve"> SUMPRODUCT($J$4:$J$602, AH$4:AH$602)</f>
        <v>0</v>
      </c>
      <c r="T611" s="13">
        <f t="shared" ref="T611:V611" si="149" xml:space="preserve"> SUMPRODUCT($J$4:$J$602, AI$4:AI$602)</f>
        <v>53390</v>
      </c>
      <c r="U611" s="13">
        <f t="shared" si="149"/>
        <v>189484</v>
      </c>
      <c r="V611" s="13">
        <f t="shared" si="149"/>
        <v>202655</v>
      </c>
      <c r="W611" s="13">
        <f xml:space="preserve"> SUMPRODUCT($J$4:$J$602, AX$4:AX$602)</f>
        <v>222122</v>
      </c>
      <c r="X611" s="13">
        <f t="shared" ref="X611:Z611" si="150" xml:space="preserve"> SUMPRODUCT($J$4:$J$602, AY$4:AY$602)</f>
        <v>224732</v>
      </c>
      <c r="Y611" s="13">
        <f t="shared" si="150"/>
        <v>222675</v>
      </c>
      <c r="Z611" s="14">
        <f t="shared" si="150"/>
        <v>218395</v>
      </c>
      <c r="AE611" t="s">
        <v>40</v>
      </c>
      <c r="AF611">
        <v>20354040.690000001</v>
      </c>
      <c r="AG611">
        <v>24081106.719999999</v>
      </c>
      <c r="AH611">
        <v>10339902.52</v>
      </c>
      <c r="AI611">
        <v>9627979.2300000004</v>
      </c>
      <c r="AU611" t="s">
        <v>40</v>
      </c>
      <c r="AV611">
        <v>20354040.690000001</v>
      </c>
      <c r="AW611">
        <v>24081106.719999999</v>
      </c>
      <c r="AX611">
        <v>10339902.52</v>
      </c>
      <c r="AY611">
        <v>9627979.2300000004</v>
      </c>
    </row>
    <row r="612" spans="14:59" x14ac:dyDescent="0.25">
      <c r="N612" s="15" t="s">
        <v>42</v>
      </c>
      <c r="O612" s="13">
        <f>O608+O610</f>
        <v>337833</v>
      </c>
      <c r="P612" s="13">
        <f t="shared" ref="P612:Z612" si="151">P608+P610</f>
        <v>327006</v>
      </c>
      <c r="Q612" s="13">
        <f t="shared" si="151"/>
        <v>298848</v>
      </c>
      <c r="R612" s="13">
        <f t="shared" si="151"/>
        <v>231900</v>
      </c>
      <c r="S612" s="13">
        <f t="shared" si="151"/>
        <v>234848</v>
      </c>
      <c r="T612" s="13">
        <f t="shared" si="151"/>
        <v>205433</v>
      </c>
      <c r="U612" s="13">
        <f t="shared" si="151"/>
        <v>200618</v>
      </c>
      <c r="V612" s="13">
        <f t="shared" si="151"/>
        <v>185221</v>
      </c>
      <c r="W612" s="13">
        <f t="shared" si="151"/>
        <v>175832</v>
      </c>
      <c r="X612" s="13">
        <f t="shared" si="151"/>
        <v>177274</v>
      </c>
      <c r="Y612" s="13">
        <f t="shared" si="151"/>
        <v>170708</v>
      </c>
      <c r="Z612" s="14">
        <f t="shared" si="151"/>
        <v>161453</v>
      </c>
      <c r="AB612" s="9"/>
      <c r="AC612" s="10" t="s">
        <v>25</v>
      </c>
      <c r="AD612" s="10" t="s">
        <v>26</v>
      </c>
      <c r="AE612" s="10" t="s">
        <v>27</v>
      </c>
      <c r="AF612" s="10" t="s">
        <v>28</v>
      </c>
      <c r="AG612" s="10" t="s">
        <v>29</v>
      </c>
      <c r="AH612" s="10" t="s">
        <v>30</v>
      </c>
      <c r="AI612" s="10" t="s">
        <v>31</v>
      </c>
      <c r="AJ612" s="10" t="s">
        <v>32</v>
      </c>
      <c r="AK612" s="10" t="s">
        <v>33</v>
      </c>
      <c r="AL612" s="10" t="s">
        <v>34</v>
      </c>
      <c r="AM612" s="10" t="s">
        <v>35</v>
      </c>
      <c r="AN612" s="11" t="s">
        <v>36</v>
      </c>
    </row>
    <row r="613" spans="14:59" x14ac:dyDescent="0.25">
      <c r="N613" s="15" t="s">
        <v>43</v>
      </c>
      <c r="O613" s="13">
        <f>O609+O611</f>
        <v>80976</v>
      </c>
      <c r="P613" s="13">
        <f t="shared" ref="P613:Z613" si="152">P609+P611</f>
        <v>87721</v>
      </c>
      <c r="Q613" s="13">
        <f t="shared" si="152"/>
        <v>91111</v>
      </c>
      <c r="R613" s="13">
        <f t="shared" si="152"/>
        <v>170054</v>
      </c>
      <c r="S613" s="13">
        <f t="shared" si="152"/>
        <v>169545</v>
      </c>
      <c r="T613" s="13">
        <f t="shared" si="152"/>
        <v>197979</v>
      </c>
      <c r="U613" s="13">
        <f t="shared" si="152"/>
        <v>213238</v>
      </c>
      <c r="V613" s="13">
        <f t="shared" si="152"/>
        <v>213192</v>
      </c>
      <c r="W613" s="13">
        <f t="shared" si="152"/>
        <v>227708</v>
      </c>
      <c r="X613" s="13">
        <f t="shared" si="152"/>
        <v>228126</v>
      </c>
      <c r="Y613" s="13">
        <f t="shared" si="152"/>
        <v>225178</v>
      </c>
      <c r="Z613" s="14">
        <f t="shared" si="152"/>
        <v>220352</v>
      </c>
      <c r="AB613" s="12" t="s">
        <v>60</v>
      </c>
      <c r="AC613" s="13">
        <v>337832</v>
      </c>
      <c r="AD613" s="13">
        <v>327006</v>
      </c>
      <c r="AE613" s="13">
        <v>298846</v>
      </c>
      <c r="AF613" s="13">
        <v>231900</v>
      </c>
      <c r="AG613" s="13">
        <v>234848</v>
      </c>
      <c r="AH613" s="13">
        <v>171303</v>
      </c>
      <c r="AI613" s="13">
        <v>40252</v>
      </c>
      <c r="AJ613" s="13">
        <v>10043</v>
      </c>
      <c r="AK613" s="13">
        <v>5431</v>
      </c>
      <c r="AL613" s="13">
        <v>7663</v>
      </c>
      <c r="AM613" s="13">
        <v>4536</v>
      </c>
      <c r="AN613" s="14">
        <v>3499</v>
      </c>
    </row>
    <row r="614" spans="14:59" x14ac:dyDescent="0.25">
      <c r="N614" s="15" t="s">
        <v>47</v>
      </c>
      <c r="O614" s="13">
        <f>SUM(O608:O609)</f>
        <v>418808</v>
      </c>
      <c r="P614" s="13">
        <f t="shared" ref="P614:Z614" si="153">SUM(P608:P609)</f>
        <v>414727</v>
      </c>
      <c r="Q614" s="13">
        <f t="shared" si="153"/>
        <v>389957</v>
      </c>
      <c r="R614" s="13">
        <f t="shared" si="153"/>
        <v>401954</v>
      </c>
      <c r="S614" s="13">
        <f t="shared" si="153"/>
        <v>404393</v>
      </c>
      <c r="T614" s="13">
        <f t="shared" si="153"/>
        <v>315892</v>
      </c>
      <c r="U614" s="13">
        <f t="shared" si="153"/>
        <v>64006</v>
      </c>
      <c r="V614" s="13">
        <f t="shared" si="153"/>
        <v>20580</v>
      </c>
      <c r="W614" s="13">
        <f t="shared" si="153"/>
        <v>11017</v>
      </c>
      <c r="X614" s="13">
        <f t="shared" si="153"/>
        <v>11057</v>
      </c>
      <c r="Y614" s="13">
        <f t="shared" si="153"/>
        <v>7039</v>
      </c>
      <c r="Z614" s="14">
        <f t="shared" si="153"/>
        <v>5456</v>
      </c>
      <c r="AB614" s="12" t="s">
        <v>61</v>
      </c>
      <c r="AC614" s="13">
        <v>80976</v>
      </c>
      <c r="AD614" s="13">
        <v>87721</v>
      </c>
      <c r="AE614" s="13">
        <v>91111</v>
      </c>
      <c r="AF614" s="13">
        <v>170054</v>
      </c>
      <c r="AG614" s="13">
        <v>169545</v>
      </c>
      <c r="AH614" s="13">
        <v>144589</v>
      </c>
      <c r="AI614" s="13">
        <v>23754</v>
      </c>
      <c r="AJ614" s="13">
        <v>10537</v>
      </c>
      <c r="AK614" s="13">
        <v>5586</v>
      </c>
      <c r="AL614" s="13">
        <v>3394</v>
      </c>
      <c r="AM614" s="13">
        <v>2503</v>
      </c>
      <c r="AN614" s="14">
        <v>1957</v>
      </c>
    </row>
    <row r="615" spans="14:59" x14ac:dyDescent="0.25">
      <c r="N615" s="15" t="s">
        <v>48</v>
      </c>
      <c r="O615" s="13">
        <f>SUM(O610:O611)</f>
        <v>1</v>
      </c>
      <c r="P615" s="13">
        <f t="shared" ref="P615:Z615" si="154">SUM(P610:P611)</f>
        <v>0</v>
      </c>
      <c r="Q615" s="13">
        <f t="shared" si="154"/>
        <v>2</v>
      </c>
      <c r="R615" s="13">
        <f t="shared" si="154"/>
        <v>0</v>
      </c>
      <c r="S615" s="13">
        <f t="shared" si="154"/>
        <v>0</v>
      </c>
      <c r="T615" s="13">
        <f t="shared" si="154"/>
        <v>87520</v>
      </c>
      <c r="U615" s="13">
        <f t="shared" si="154"/>
        <v>349850</v>
      </c>
      <c r="V615" s="13">
        <f t="shared" si="154"/>
        <v>377833</v>
      </c>
      <c r="W615" s="13">
        <f t="shared" si="154"/>
        <v>392523</v>
      </c>
      <c r="X615" s="13">
        <f t="shared" si="154"/>
        <v>394343</v>
      </c>
      <c r="Y615" s="13">
        <f t="shared" si="154"/>
        <v>388847</v>
      </c>
      <c r="Z615" s="14">
        <f t="shared" si="154"/>
        <v>376349</v>
      </c>
      <c r="AB615" t="s">
        <v>39</v>
      </c>
      <c r="AC615">
        <v>1</v>
      </c>
      <c r="AD615">
        <v>0</v>
      </c>
      <c r="AE615">
        <v>2</v>
      </c>
      <c r="AF615">
        <v>0</v>
      </c>
      <c r="AG615">
        <v>0</v>
      </c>
      <c r="AH615">
        <v>34130</v>
      </c>
      <c r="AI615">
        <v>160366</v>
      </c>
      <c r="AJ615">
        <v>175178</v>
      </c>
      <c r="AK615">
        <v>170401</v>
      </c>
      <c r="AL615">
        <v>169611</v>
      </c>
      <c r="AM615">
        <v>166172</v>
      </c>
      <c r="AN615">
        <v>157954</v>
      </c>
    </row>
    <row r="616" spans="14:59" x14ac:dyDescent="0.25">
      <c r="N616" s="12" t="s">
        <v>41</v>
      </c>
      <c r="O616" s="13">
        <f>SUM(O614:O615)</f>
        <v>418809</v>
      </c>
      <c r="P616" s="13">
        <f t="shared" ref="P616:Z616" si="155">SUM(P614:P615)</f>
        <v>414727</v>
      </c>
      <c r="Q616" s="13">
        <f t="shared" si="155"/>
        <v>389959</v>
      </c>
      <c r="R616" s="13">
        <f t="shared" si="155"/>
        <v>401954</v>
      </c>
      <c r="S616" s="13">
        <f t="shared" si="155"/>
        <v>404393</v>
      </c>
      <c r="T616" s="13">
        <f t="shared" si="155"/>
        <v>403412</v>
      </c>
      <c r="U616" s="13">
        <f t="shared" si="155"/>
        <v>413856</v>
      </c>
      <c r="V616" s="13">
        <f t="shared" si="155"/>
        <v>398413</v>
      </c>
      <c r="W616" s="13">
        <f t="shared" si="155"/>
        <v>403540</v>
      </c>
      <c r="X616" s="13">
        <f t="shared" si="155"/>
        <v>405400</v>
      </c>
      <c r="Y616" s="13">
        <f t="shared" si="155"/>
        <v>395886</v>
      </c>
      <c r="Z616" s="14">
        <f t="shared" si="155"/>
        <v>381805</v>
      </c>
      <c r="AB616" t="s">
        <v>40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53390</v>
      </c>
      <c r="AI616">
        <v>189484</v>
      </c>
      <c r="AJ616">
        <v>202655</v>
      </c>
      <c r="AK616">
        <v>222122</v>
      </c>
      <c r="AL616">
        <v>224732</v>
      </c>
      <c r="AM616">
        <v>222675</v>
      </c>
      <c r="AN616">
        <v>218395</v>
      </c>
      <c r="AV616" s="10" t="s">
        <v>25</v>
      </c>
      <c r="AW616" s="10" t="s">
        <v>26</v>
      </c>
      <c r="AX616" s="10" t="s">
        <v>27</v>
      </c>
      <c r="AY616" s="10" t="s">
        <v>28</v>
      </c>
      <c r="AZ616" s="10" t="s">
        <v>29</v>
      </c>
      <c r="BA616" s="10" t="s">
        <v>30</v>
      </c>
      <c r="BB616" s="10" t="s">
        <v>31</v>
      </c>
      <c r="BC616" s="10" t="s">
        <v>32</v>
      </c>
      <c r="BD616" s="10" t="s">
        <v>33</v>
      </c>
      <c r="BE616" s="10" t="s">
        <v>34</v>
      </c>
      <c r="BF616" s="10" t="s">
        <v>35</v>
      </c>
      <c r="BG616" s="11" t="s">
        <v>36</v>
      </c>
    </row>
    <row r="617" spans="14:59" x14ac:dyDescent="0.25">
      <c r="N617" s="12" t="s">
        <v>44</v>
      </c>
      <c r="O617" s="16">
        <f>O610/(O608+O610)</f>
        <v>2.9600423878069934E-6</v>
      </c>
      <c r="P617" s="16">
        <f t="shared" ref="P617:Z617" si="156">P610/(P608+P610)</f>
        <v>0</v>
      </c>
      <c r="Q617" s="16">
        <f t="shared" si="156"/>
        <v>6.6923653496091658E-6</v>
      </c>
      <c r="R617" s="16">
        <f t="shared" si="156"/>
        <v>0</v>
      </c>
      <c r="S617" s="16">
        <f t="shared" si="156"/>
        <v>0</v>
      </c>
      <c r="T617" s="16">
        <f t="shared" si="156"/>
        <v>0.16613689134657042</v>
      </c>
      <c r="U617" s="16">
        <f t="shared" si="156"/>
        <v>0.7993599776690028</v>
      </c>
      <c r="V617" s="16">
        <f t="shared" si="156"/>
        <v>0.94577828647939488</v>
      </c>
      <c r="W617" s="16">
        <f t="shared" si="156"/>
        <v>0.96911256199099138</v>
      </c>
      <c r="X617" s="16">
        <f t="shared" si="156"/>
        <v>0.95677313085957327</v>
      </c>
      <c r="Y617" s="16">
        <f t="shared" si="156"/>
        <v>0.97342831033109167</v>
      </c>
      <c r="Z617" s="17">
        <f t="shared" si="156"/>
        <v>0.97832805832037806</v>
      </c>
      <c r="AC617" s="10" t="s">
        <v>29</v>
      </c>
      <c r="AD617" s="10" t="s">
        <v>30</v>
      </c>
      <c r="AE617" s="10" t="s">
        <v>31</v>
      </c>
      <c r="AF617" s="10" t="s">
        <v>32</v>
      </c>
      <c r="AG617" s="10" t="s">
        <v>33</v>
      </c>
      <c r="AH617" s="10" t="s">
        <v>34</v>
      </c>
      <c r="AI617" s="10" t="s">
        <v>35</v>
      </c>
      <c r="AJ617" s="11" t="s">
        <v>36</v>
      </c>
      <c r="AU617" s="15" t="s">
        <v>65</v>
      </c>
      <c r="AV617" s="13">
        <v>418808</v>
      </c>
      <c r="AW617" s="13">
        <v>414727</v>
      </c>
      <c r="AX617" s="13">
        <v>389957</v>
      </c>
      <c r="AY617" s="13">
        <v>401954</v>
      </c>
      <c r="AZ617" s="13">
        <v>404393</v>
      </c>
      <c r="BA617" s="13">
        <v>315892</v>
      </c>
      <c r="BB617" s="13">
        <v>64006</v>
      </c>
      <c r="BC617" s="13">
        <v>20580</v>
      </c>
      <c r="BD617" s="13">
        <v>11017</v>
      </c>
      <c r="BE617" s="13">
        <v>11057</v>
      </c>
      <c r="BF617" s="13">
        <v>7039</v>
      </c>
      <c r="BG617" s="14">
        <v>5456</v>
      </c>
    </row>
    <row r="618" spans="14:59" ht="15.75" thickBot="1" x14ac:dyDescent="0.3">
      <c r="N618" s="18" t="s">
        <v>45</v>
      </c>
      <c r="O618" s="19">
        <f>O611/(O609+O611)</f>
        <v>0</v>
      </c>
      <c r="P618" s="19">
        <f t="shared" ref="P618:Z618" si="157">P611/(P609+P611)</f>
        <v>0</v>
      </c>
      <c r="Q618" s="19">
        <f t="shared" si="157"/>
        <v>0</v>
      </c>
      <c r="R618" s="19">
        <f t="shared" si="157"/>
        <v>0</v>
      </c>
      <c r="S618" s="19">
        <f t="shared" si="157"/>
        <v>0</v>
      </c>
      <c r="T618" s="19">
        <f t="shared" si="157"/>
        <v>0.26967506654746209</v>
      </c>
      <c r="U618" s="19">
        <f t="shared" si="157"/>
        <v>0.88860334461962687</v>
      </c>
      <c r="V618" s="19">
        <f t="shared" si="157"/>
        <v>0.95057506848286988</v>
      </c>
      <c r="W618" s="19">
        <f t="shared" si="157"/>
        <v>0.97546858257066071</v>
      </c>
      <c r="X618" s="19">
        <f t="shared" si="157"/>
        <v>0.98512225699832545</v>
      </c>
      <c r="Y618" s="19">
        <f t="shared" si="157"/>
        <v>0.98888434927035496</v>
      </c>
      <c r="Z618" s="20">
        <f t="shared" si="157"/>
        <v>0.99111875544583217</v>
      </c>
      <c r="AB618" t="s">
        <v>44</v>
      </c>
      <c r="AC618" s="1">
        <v>0</v>
      </c>
      <c r="AD618" s="1">
        <v>0.16613689134657042</v>
      </c>
      <c r="AE618" s="1">
        <v>0.7993599776690028</v>
      </c>
      <c r="AF618" s="1">
        <v>0.94577828647939488</v>
      </c>
      <c r="AG618" s="1">
        <v>0.96911256199099138</v>
      </c>
      <c r="AH618" s="1">
        <v>0.95677313085957327</v>
      </c>
      <c r="AI618" s="1">
        <v>0.97342831033109167</v>
      </c>
      <c r="AJ618" s="1">
        <v>0.97832805832037806</v>
      </c>
      <c r="AK618" s="1"/>
      <c r="AL618" s="1"/>
      <c r="AM618" s="1"/>
      <c r="AU618" t="s">
        <v>66</v>
      </c>
      <c r="AV618" s="2">
        <v>368258</v>
      </c>
      <c r="AW618" s="2">
        <v>365893</v>
      </c>
      <c r="AX618" s="2">
        <v>337801</v>
      </c>
      <c r="AY618" s="2">
        <v>244957</v>
      </c>
      <c r="AZ618" s="2">
        <v>149566</v>
      </c>
      <c r="BA618" s="2">
        <v>109877</v>
      </c>
      <c r="BB618" s="2">
        <v>67893</v>
      </c>
      <c r="BC618" s="2">
        <v>65255</v>
      </c>
      <c r="BD618" s="2">
        <v>55800</v>
      </c>
      <c r="BE618" s="2">
        <v>54092</v>
      </c>
      <c r="BF618" s="2">
        <v>70687</v>
      </c>
      <c r="BG618" s="2">
        <v>57918</v>
      </c>
    </row>
    <row r="619" spans="14:59" x14ac:dyDescent="0.25">
      <c r="N619" s="13"/>
      <c r="O619" s="16"/>
      <c r="P619" s="16"/>
      <c r="Q619" s="16"/>
      <c r="R619" s="16"/>
      <c r="S619" s="16"/>
      <c r="T619" s="16">
        <f>T615/SUM(T614:T615)</f>
        <v>0.21694942143515811</v>
      </c>
      <c r="U619" s="16">
        <f t="shared" ref="U619:Y619" si="158">U615/SUM(U614:U615)</f>
        <v>0.84534234129745611</v>
      </c>
      <c r="V619" s="16">
        <f t="shared" si="158"/>
        <v>0.94834505902166844</v>
      </c>
      <c r="W619" s="16">
        <f t="shared" si="158"/>
        <v>0.97269911285126631</v>
      </c>
      <c r="X619" s="16">
        <f t="shared" si="158"/>
        <v>0.97272570300937344</v>
      </c>
      <c r="Y619" s="16">
        <f t="shared" si="158"/>
        <v>0.98221962888306225</v>
      </c>
      <c r="Z619" s="16">
        <f>Z615/SUM(Z614:Z615)</f>
        <v>0.98570998284464584</v>
      </c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V619" s="2"/>
      <c r="AW619" s="2"/>
      <c r="AX619" s="2"/>
      <c r="AY619" s="2"/>
      <c r="AZ619" s="2"/>
      <c r="BA619" s="2"/>
      <c r="BB619" s="2"/>
      <c r="BC619" s="2"/>
      <c r="BD619" s="2"/>
      <c r="BE619" s="2"/>
      <c r="BF619" s="2"/>
      <c r="BG619" s="2"/>
    </row>
    <row r="620" spans="14:59" ht="15.75" thickBot="1" x14ac:dyDescent="0.3">
      <c r="N620" s="21"/>
      <c r="O620" s="4"/>
      <c r="P620" s="4"/>
      <c r="Q620" s="4"/>
      <c r="R620" s="4"/>
      <c r="S620" s="4"/>
      <c r="T620" s="16">
        <f>T618-S618</f>
        <v>0.26967506654746209</v>
      </c>
      <c r="U620" s="16">
        <f t="shared" ref="U620:Z620" si="159">U618-T618</f>
        <v>0.61892827807216477</v>
      </c>
      <c r="V620" s="16">
        <f t="shared" si="159"/>
        <v>6.1971723863243011E-2</v>
      </c>
      <c r="W620" s="16">
        <f t="shared" si="159"/>
        <v>2.4893514087790836E-2</v>
      </c>
      <c r="X620" s="16">
        <f t="shared" si="159"/>
        <v>9.6536744276647379E-3</v>
      </c>
      <c r="Y620" s="16">
        <f t="shared" si="159"/>
        <v>3.7620922720295047E-3</v>
      </c>
      <c r="Z620" s="16">
        <f t="shared" si="159"/>
        <v>2.2344061754772104E-3</v>
      </c>
      <c r="AB620" t="s">
        <v>45</v>
      </c>
      <c r="AC620" s="1">
        <v>0</v>
      </c>
      <c r="AD620" s="1">
        <v>0.26967506654746209</v>
      </c>
      <c r="AE620" s="1">
        <v>0.88860334461962687</v>
      </c>
      <c r="AF620" s="1">
        <v>0.95057506848286988</v>
      </c>
      <c r="AG620" s="1">
        <v>0.97546858257066071</v>
      </c>
      <c r="AH620" s="1">
        <v>0.98512225699832545</v>
      </c>
      <c r="AI620" s="1">
        <v>0.98888434927035496</v>
      </c>
      <c r="AJ620" s="1">
        <v>0.99111875544583217</v>
      </c>
      <c r="AK620" s="1"/>
      <c r="AL620" s="1"/>
      <c r="AM620" s="1"/>
      <c r="AU620" t="s">
        <v>67</v>
      </c>
      <c r="AV620" s="2">
        <v>443318</v>
      </c>
      <c r="AW620" s="2">
        <v>405765</v>
      </c>
      <c r="AX620" s="2">
        <v>389666</v>
      </c>
      <c r="AY620" s="2">
        <v>345325</v>
      </c>
      <c r="AZ620" s="2">
        <v>164933</v>
      </c>
      <c r="BA620" s="2">
        <v>122753</v>
      </c>
      <c r="BB620" s="2">
        <v>60037</v>
      </c>
      <c r="BC620" s="2">
        <v>30326</v>
      </c>
      <c r="BD620" s="2">
        <v>20145</v>
      </c>
      <c r="BE620" s="2">
        <v>19923</v>
      </c>
      <c r="BF620" s="2">
        <v>22596</v>
      </c>
      <c r="BG620" s="2">
        <v>15564</v>
      </c>
    </row>
    <row r="621" spans="14:59" x14ac:dyDescent="0.25">
      <c r="N621" s="22" t="s">
        <v>46</v>
      </c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4"/>
    </row>
    <row r="622" spans="14:59" x14ac:dyDescent="0.25">
      <c r="N622" s="25"/>
      <c r="O622" s="26" t="s">
        <v>25</v>
      </c>
      <c r="P622" s="26" t="s">
        <v>26</v>
      </c>
      <c r="Q622" s="26" t="s">
        <v>27</v>
      </c>
      <c r="R622" s="26" t="s">
        <v>28</v>
      </c>
      <c r="S622" s="26" t="s">
        <v>29</v>
      </c>
      <c r="T622" s="26" t="s">
        <v>30</v>
      </c>
      <c r="U622" s="26" t="s">
        <v>31</v>
      </c>
      <c r="V622" s="26" t="s">
        <v>32</v>
      </c>
      <c r="W622" s="26" t="s">
        <v>33</v>
      </c>
      <c r="X622" s="26" t="s">
        <v>34</v>
      </c>
      <c r="Y622" s="26" t="s">
        <v>35</v>
      </c>
      <c r="Z622" s="27" t="s">
        <v>36</v>
      </c>
    </row>
    <row r="623" spans="14:59" x14ac:dyDescent="0.25">
      <c r="N623" s="12" t="s">
        <v>60</v>
      </c>
      <c r="O623" s="13">
        <f xml:space="preserve"> SUMPRODUCT($K$4:$K$602, V$4:V$602)</f>
        <v>64426834.029999994</v>
      </c>
      <c r="P623" s="13">
        <f xml:space="preserve"> SUMPRODUCT($K$4:$K$602, W$4:W$602)</f>
        <v>66878194.929999992</v>
      </c>
      <c r="Q623" s="13">
        <f xml:space="preserve"> SUMPRODUCT($K$4:$K$602, X$4:X$602)</f>
        <v>61269723.740000002</v>
      </c>
      <c r="R623" s="13">
        <f xml:space="preserve"> SUMPRODUCT($K$4:$K$602, Y$4:Y$602)</f>
        <v>47036770.280000001</v>
      </c>
      <c r="S623" s="13">
        <f xml:space="preserve"> SUMPRODUCT($K$4:$K$602, AL$4:AL$602)</f>
        <v>48864413.310000002</v>
      </c>
      <c r="T623" s="13">
        <f xml:space="preserve"> SUMPRODUCT($K$4:$K$602, AM$4:AM$602)</f>
        <v>35339641.920000002</v>
      </c>
      <c r="U623" s="13">
        <f xml:space="preserve"> SUMPRODUCT($K$4:$K$602, AN$4:AN$602)</f>
        <v>7779013.4199999999</v>
      </c>
      <c r="V623" s="13">
        <f xml:space="preserve"> SUMPRODUCT($K$4:$K$602, AO$4:AO$602)</f>
        <v>1841302.03</v>
      </c>
      <c r="W623" s="13">
        <f xml:space="preserve"> SUMPRODUCT($K$4:$K$602, BB$4:BB$602)</f>
        <v>990967.16999999993</v>
      </c>
      <c r="X623" s="13">
        <f xml:space="preserve"> SUMPRODUCT($K$4:$K$602, BC$4:BC$602)</f>
        <v>1416132.8399999996</v>
      </c>
      <c r="Y623" s="13">
        <f xml:space="preserve"> SUMPRODUCT($K$4:$K$602, BD$4:BD$602)</f>
        <v>886336.5</v>
      </c>
      <c r="Z623" s="14">
        <f xml:space="preserve"> SUMPRODUCT($K$4:$K$602, BE$4:BE$602)</f>
        <v>695960.69</v>
      </c>
    </row>
    <row r="624" spans="14:59" x14ac:dyDescent="0.25">
      <c r="N624" s="12" t="s">
        <v>61</v>
      </c>
      <c r="O624" s="13">
        <f xml:space="preserve"> SUMPRODUCT($K$4:$K$602, Z$4:Z$602)</f>
        <v>15269382.190000001</v>
      </c>
      <c r="P624" s="13">
        <f xml:space="preserve"> SUMPRODUCT($K$4:$K$602, AA$4:AA$602)</f>
        <v>17993640.670000002</v>
      </c>
      <c r="Q624" s="13">
        <f xml:space="preserve"> SUMPRODUCT($K$4:$K$602, AB$4:AB$602)</f>
        <v>18885210.519999996</v>
      </c>
      <c r="R624" s="13">
        <f xml:space="preserve"> SUMPRODUCT($K$4:$K$602, AC$4:AC$602)</f>
        <v>33051912.179999996</v>
      </c>
      <c r="S624" s="13">
        <f xml:space="preserve"> SUMPRODUCT($K$4:$K$602, AP$4:AP$602)</f>
        <v>35261696.729999997</v>
      </c>
      <c r="T624" s="13">
        <f xml:space="preserve"> SUMPRODUCT($K$4:$K$602, AQ$4:AQ$602)</f>
        <v>29498879.780000001</v>
      </c>
      <c r="U624" s="13">
        <f xml:space="preserve"> SUMPRODUCT($K$4:$K$602, AR$4:AR$602)</f>
        <v>4600660.47</v>
      </c>
      <c r="V624" s="13">
        <f xml:space="preserve"> SUMPRODUCT($K$4:$K$602, AS$4:AS$602)</f>
        <v>2185036.7399999998</v>
      </c>
      <c r="W624" s="13">
        <f xml:space="preserve"> SUMPRODUCT($K$4:$K$602, BF$4:BF$602)</f>
        <v>1171511.5599999998</v>
      </c>
      <c r="X624" s="13">
        <f xml:space="preserve"> SUMPRODUCT($K$4:$K$602, BG$4:BG$602)</f>
        <v>856060.29</v>
      </c>
      <c r="Y624" s="13">
        <f xml:space="preserve"> SUMPRODUCT($K$4:$K$602, BH$4:BH$602)</f>
        <v>551769.87999999989</v>
      </c>
      <c r="Z624" s="14">
        <f xml:space="preserve"> SUMPRODUCT($K$4:$K$602, BI$4:BI$602)</f>
        <v>332588.68</v>
      </c>
    </row>
    <row r="625" spans="14:26" x14ac:dyDescent="0.25">
      <c r="N625" s="12" t="s">
        <v>39</v>
      </c>
      <c r="O625" s="13">
        <f xml:space="preserve"> SUMPRODUCT($K$4:$K$602, N$4:N$602)</f>
        <v>32.25</v>
      </c>
      <c r="P625" s="13">
        <f xml:space="preserve"> SUMPRODUCT($K$4:$K$602, O$4:O$602)</f>
        <v>0</v>
      </c>
      <c r="Q625" s="13">
        <f xml:space="preserve"> SUMPRODUCT($K$4:$K$602, P$4:P$602)</f>
        <v>134.97999999999999</v>
      </c>
      <c r="R625" s="13">
        <f xml:space="preserve"> SUMPRODUCT($K$4:$K$602, Q$4:Q$602)</f>
        <v>0</v>
      </c>
      <c r="S625" s="13">
        <f xml:space="preserve"> SUMPRODUCT($K$4:$K$602, AD$4:AD$602)</f>
        <v>0</v>
      </c>
      <c r="T625" s="13">
        <f xml:space="preserve"> SUMPRODUCT($K$4:$K$602, AE$4:AE$602)</f>
        <v>1448978.41</v>
      </c>
      <c r="U625" s="13">
        <f xml:space="preserve"> SUMPRODUCT($K$4:$K$602, AF$4:AF$602)</f>
        <v>4237150.96</v>
      </c>
      <c r="V625" s="13">
        <f xml:space="preserve"> SUMPRODUCT($K$4:$K$602, AG$4:AG$602)</f>
        <v>2905309.67</v>
      </c>
      <c r="W625" s="13">
        <f xml:space="preserve"> SUMPRODUCT($K$4:$K$602, AT$4:AT$602)</f>
        <v>2760761.870000001</v>
      </c>
      <c r="X625" s="13">
        <f xml:space="preserve"> SUMPRODUCT($K$4:$K$602, AU$4:AU$602)</f>
        <v>2544457.0700000008</v>
      </c>
      <c r="Y625" s="13">
        <f xml:space="preserve"> SUMPRODUCT($K$4:$K$602, AV$4:AV$602)</f>
        <v>2550185.37</v>
      </c>
      <c r="Z625" s="14">
        <f xml:space="preserve"> SUMPRODUCT($K$4:$K$602, AW$4:AW$602)</f>
        <v>2258419.13</v>
      </c>
    </row>
    <row r="626" spans="14:26" x14ac:dyDescent="0.25">
      <c r="N626" s="12" t="s">
        <v>40</v>
      </c>
      <c r="O626" s="13">
        <f xml:space="preserve"> SUMPRODUCT($K$4:$K$602, R$4:R$602)</f>
        <v>0</v>
      </c>
      <c r="P626" s="13">
        <f xml:space="preserve"> SUMPRODUCT($K$4:$K$602, S$4:S$602)</f>
        <v>0</v>
      </c>
      <c r="Q626" s="13">
        <f xml:space="preserve"> SUMPRODUCT($K$4:$K$602, T$4:T$602)</f>
        <v>0</v>
      </c>
      <c r="R626" s="13">
        <f xml:space="preserve"> SUMPRODUCT($K$4:$K$602, U$4:U$602)</f>
        <v>0</v>
      </c>
      <c r="S626" s="13">
        <f xml:space="preserve"> SUMPRODUCT($K$4:$K$602, AH$4:AH$602)</f>
        <v>0</v>
      </c>
      <c r="T626" s="13">
        <f xml:space="preserve"> SUMPRODUCT($K$4:$K$602, AI$4:AI$602)</f>
        <v>3871258.5099999988</v>
      </c>
      <c r="U626" s="13">
        <f xml:space="preserve"> SUMPRODUCT($K$4:$K$602, AJ$4:AJ$602)</f>
        <v>8486816.9900000021</v>
      </c>
      <c r="V626" s="13">
        <f xml:space="preserve"> SUMPRODUCT($K$4:$K$602, AK$4:AK$602)</f>
        <v>8622981.6000000034</v>
      </c>
      <c r="W626" s="13">
        <f xml:space="preserve"> SUMPRODUCT($K$4:$K$602, AX$4:AX$602)</f>
        <v>9254195.6699999981</v>
      </c>
      <c r="X626" s="13">
        <f xml:space="preserve"> SUMPRODUCT($K$4:$K$602, AY$4:AY$602)</f>
        <v>6657247.8199999994</v>
      </c>
      <c r="Y626" s="13">
        <f xml:space="preserve"> SUMPRODUCT($K$4:$K$602, AZ$4:AZ$602)</f>
        <v>5571350.4500000002</v>
      </c>
      <c r="Z626" s="14">
        <f xml:space="preserve"> SUMPRODUCT($K$4:$K$602, BA$4:BA$602)</f>
        <v>4990888.0699999994</v>
      </c>
    </row>
    <row r="627" spans="14:26" x14ac:dyDescent="0.25">
      <c r="N627" s="15" t="s">
        <v>42</v>
      </c>
      <c r="O627" s="13">
        <f>O623+O625</f>
        <v>64426866.279999994</v>
      </c>
      <c r="P627" s="13">
        <f t="shared" ref="P627:Z627" si="160">P623+P625</f>
        <v>66878194.929999992</v>
      </c>
      <c r="Q627" s="13">
        <f t="shared" si="160"/>
        <v>61269858.719999999</v>
      </c>
      <c r="R627" s="13">
        <f t="shared" si="160"/>
        <v>47036770.280000001</v>
      </c>
      <c r="S627" s="13">
        <f t="shared" si="160"/>
        <v>48864413.310000002</v>
      </c>
      <c r="T627" s="13">
        <f t="shared" si="160"/>
        <v>36788620.329999998</v>
      </c>
      <c r="U627" s="13">
        <f t="shared" si="160"/>
        <v>12016164.379999999</v>
      </c>
      <c r="V627" s="13">
        <f t="shared" si="160"/>
        <v>4746611.7</v>
      </c>
      <c r="W627" s="13">
        <f t="shared" si="160"/>
        <v>3751729.040000001</v>
      </c>
      <c r="X627" s="13">
        <f t="shared" si="160"/>
        <v>3960589.91</v>
      </c>
      <c r="Y627" s="13">
        <f t="shared" si="160"/>
        <v>3436521.87</v>
      </c>
      <c r="Z627" s="14">
        <f t="shared" si="160"/>
        <v>2954379.82</v>
      </c>
    </row>
    <row r="628" spans="14:26" x14ac:dyDescent="0.25">
      <c r="N628" s="15" t="s">
        <v>43</v>
      </c>
      <c r="O628" s="13">
        <f>O624+O626</f>
        <v>15269382.190000001</v>
      </c>
      <c r="P628" s="13">
        <f t="shared" ref="P628:Z628" si="161">P624+P626</f>
        <v>17993640.670000002</v>
      </c>
      <c r="Q628" s="13">
        <f t="shared" si="161"/>
        <v>18885210.519999996</v>
      </c>
      <c r="R628" s="13">
        <f t="shared" si="161"/>
        <v>33051912.179999996</v>
      </c>
      <c r="S628" s="13">
        <f t="shared" si="161"/>
        <v>35261696.729999997</v>
      </c>
      <c r="T628" s="13">
        <f t="shared" si="161"/>
        <v>33370138.289999999</v>
      </c>
      <c r="U628" s="13">
        <f t="shared" si="161"/>
        <v>13087477.460000001</v>
      </c>
      <c r="V628" s="13">
        <f t="shared" si="161"/>
        <v>10808018.340000004</v>
      </c>
      <c r="W628" s="13">
        <f t="shared" si="161"/>
        <v>10425707.229999999</v>
      </c>
      <c r="X628" s="13">
        <f t="shared" si="161"/>
        <v>7513308.1099999994</v>
      </c>
      <c r="Y628" s="13">
        <f t="shared" si="161"/>
        <v>6123120.3300000001</v>
      </c>
      <c r="Z628" s="14">
        <f t="shared" si="161"/>
        <v>5323476.7499999991</v>
      </c>
    </row>
    <row r="629" spans="14:26" x14ac:dyDescent="0.25">
      <c r="N629" s="15" t="s">
        <v>47</v>
      </c>
      <c r="O629" s="13">
        <f>SUM(O623:O624)</f>
        <v>79696216.219999999</v>
      </c>
      <c r="P629" s="13">
        <f t="shared" ref="P629:Z629" si="162">SUM(P623:P624)</f>
        <v>84871835.599999994</v>
      </c>
      <c r="Q629" s="13">
        <f t="shared" si="162"/>
        <v>80154934.25999999</v>
      </c>
      <c r="R629" s="13">
        <f t="shared" si="162"/>
        <v>80088682.459999993</v>
      </c>
      <c r="S629" s="13">
        <f t="shared" si="162"/>
        <v>84126110.039999992</v>
      </c>
      <c r="T629" s="13">
        <f t="shared" si="162"/>
        <v>64838521.700000003</v>
      </c>
      <c r="U629" s="13">
        <f t="shared" si="162"/>
        <v>12379673.890000001</v>
      </c>
      <c r="V629" s="13">
        <f t="shared" si="162"/>
        <v>4026338.7699999996</v>
      </c>
      <c r="W629" s="13">
        <f t="shared" si="162"/>
        <v>2162478.7299999995</v>
      </c>
      <c r="X629" s="13">
        <f t="shared" si="162"/>
        <v>2272193.13</v>
      </c>
      <c r="Y629" s="13">
        <f t="shared" si="162"/>
        <v>1438106.38</v>
      </c>
      <c r="Z629" s="14">
        <f t="shared" si="162"/>
        <v>1028549.3699999999</v>
      </c>
    </row>
    <row r="630" spans="14:26" x14ac:dyDescent="0.25">
      <c r="N630" s="15" t="s">
        <v>48</v>
      </c>
      <c r="O630" s="13">
        <f>SUM(O625:O626)</f>
        <v>32.25</v>
      </c>
      <c r="P630" s="13">
        <f t="shared" ref="P630:Z630" si="163">SUM(P625:P626)</f>
        <v>0</v>
      </c>
      <c r="Q630" s="13">
        <f t="shared" si="163"/>
        <v>134.97999999999999</v>
      </c>
      <c r="R630" s="13">
        <f t="shared" si="163"/>
        <v>0</v>
      </c>
      <c r="S630" s="13">
        <f t="shared" si="163"/>
        <v>0</v>
      </c>
      <c r="T630" s="13">
        <f t="shared" si="163"/>
        <v>5320236.919999999</v>
      </c>
      <c r="U630" s="13">
        <f t="shared" si="163"/>
        <v>12723967.950000003</v>
      </c>
      <c r="V630" s="13">
        <f t="shared" si="163"/>
        <v>11528291.270000003</v>
      </c>
      <c r="W630" s="13">
        <f t="shared" si="163"/>
        <v>12014957.539999999</v>
      </c>
      <c r="X630" s="13">
        <f t="shared" si="163"/>
        <v>9201704.8900000006</v>
      </c>
      <c r="Y630" s="13">
        <f t="shared" si="163"/>
        <v>8121535.8200000003</v>
      </c>
      <c r="Z630" s="14">
        <f t="shared" si="163"/>
        <v>7249307.1999999993</v>
      </c>
    </row>
    <row r="631" spans="14:26" x14ac:dyDescent="0.25">
      <c r="N631" s="12" t="s">
        <v>41</v>
      </c>
      <c r="O631" s="13">
        <f>SUM(O629:O630)</f>
        <v>79696248.469999999</v>
      </c>
      <c r="P631" s="13">
        <f t="shared" ref="P631" si="164">SUM(P629:P630)</f>
        <v>84871835.599999994</v>
      </c>
      <c r="Q631" s="13">
        <f t="shared" ref="Q631" si="165">SUM(Q629:Q630)</f>
        <v>80155069.239999995</v>
      </c>
      <c r="R631" s="13">
        <f t="shared" ref="R631" si="166">SUM(R629:R630)</f>
        <v>80088682.459999993</v>
      </c>
      <c r="S631" s="13">
        <f t="shared" ref="S631" si="167">SUM(S629:S630)</f>
        <v>84126110.039999992</v>
      </c>
      <c r="T631" s="13">
        <f t="shared" ref="T631" si="168">SUM(T629:T630)</f>
        <v>70158758.620000005</v>
      </c>
      <c r="U631" s="13">
        <f t="shared" ref="U631" si="169">SUM(U629:U630)</f>
        <v>25103641.840000004</v>
      </c>
      <c r="V631" s="13">
        <f t="shared" ref="V631" si="170">SUM(V629:V630)</f>
        <v>15554630.040000003</v>
      </c>
      <c r="W631" s="13">
        <f t="shared" ref="W631" si="171">SUM(W629:W630)</f>
        <v>14177436.27</v>
      </c>
      <c r="X631" s="13">
        <f t="shared" ref="X631" si="172">SUM(X629:X630)</f>
        <v>11473898.02</v>
      </c>
      <c r="Y631" s="13">
        <f t="shared" ref="Y631" si="173">SUM(Y629:Y630)</f>
        <v>9559642.1999999993</v>
      </c>
      <c r="Z631" s="14">
        <f t="shared" ref="Z631" si="174">SUM(Z629:Z630)</f>
        <v>8277856.5699999994</v>
      </c>
    </row>
    <row r="632" spans="14:26" x14ac:dyDescent="0.25">
      <c r="N632" s="12" t="s">
        <v>44</v>
      </c>
      <c r="O632" s="16">
        <f>O625/(O623+O625)</f>
        <v>5.0056757160655745E-7</v>
      </c>
      <c r="P632" s="16">
        <f t="shared" ref="P632:Z632" si="175">P625/(P623+P625)</f>
        <v>0</v>
      </c>
      <c r="Q632" s="16">
        <f t="shared" si="175"/>
        <v>2.2030408233329118E-6</v>
      </c>
      <c r="R632" s="16">
        <f t="shared" si="175"/>
        <v>0</v>
      </c>
      <c r="S632" s="16">
        <f t="shared" si="175"/>
        <v>0</v>
      </c>
      <c r="T632" s="16">
        <f t="shared" si="175"/>
        <v>3.9386592837742332E-2</v>
      </c>
      <c r="U632" s="16">
        <f t="shared" si="175"/>
        <v>0.35262092178535931</v>
      </c>
      <c r="V632" s="16">
        <f t="shared" si="175"/>
        <v>0.61208075436210629</v>
      </c>
      <c r="W632" s="16">
        <f t="shared" si="175"/>
        <v>0.73586387518006902</v>
      </c>
      <c r="X632" s="16">
        <f t="shared" si="175"/>
        <v>0.64244396108154522</v>
      </c>
      <c r="Y632" s="16">
        <f t="shared" si="175"/>
        <v>0.74208326513574607</v>
      </c>
      <c r="Z632" s="17">
        <f t="shared" si="175"/>
        <v>0.76443086793085391</v>
      </c>
    </row>
    <row r="633" spans="14:26" ht="15.75" thickBot="1" x14ac:dyDescent="0.3">
      <c r="N633" s="18" t="s">
        <v>45</v>
      </c>
      <c r="O633" s="19">
        <f>O626/(O624+O626)</f>
        <v>0</v>
      </c>
      <c r="P633" s="19">
        <f t="shared" ref="P633:Z633" si="176">P626/(P624+P626)</f>
        <v>0</v>
      </c>
      <c r="Q633" s="19">
        <f t="shared" si="176"/>
        <v>0</v>
      </c>
      <c r="R633" s="19">
        <f t="shared" si="176"/>
        <v>0</v>
      </c>
      <c r="S633" s="19">
        <f t="shared" si="176"/>
        <v>0</v>
      </c>
      <c r="T633" s="19">
        <f t="shared" si="176"/>
        <v>0.1160096633809904</v>
      </c>
      <c r="U633" s="19">
        <f t="shared" si="176"/>
        <v>0.64846850861357674</v>
      </c>
      <c r="V633" s="19">
        <f t="shared" si="176"/>
        <v>0.79783188080711576</v>
      </c>
      <c r="W633" s="19">
        <f t="shared" si="176"/>
        <v>0.88763241340319121</v>
      </c>
      <c r="X633" s="19">
        <f t="shared" si="176"/>
        <v>0.88606080338158788</v>
      </c>
      <c r="Y633" s="19">
        <f t="shared" si="176"/>
        <v>0.90988746745729887</v>
      </c>
      <c r="Z633" s="20">
        <f t="shared" si="176"/>
        <v>0.9375241603149671</v>
      </c>
    </row>
    <row r="634" spans="14:26" ht="15.75" thickBot="1" x14ac:dyDescent="0.3">
      <c r="N634" s="21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4:26" x14ac:dyDescent="0.25">
      <c r="N635" s="22" t="s">
        <v>46</v>
      </c>
      <c r="O635" s="23" t="s">
        <v>62</v>
      </c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4"/>
    </row>
    <row r="636" spans="14:26" x14ac:dyDescent="0.25">
      <c r="N636" s="25"/>
      <c r="O636" s="26" t="s">
        <v>25</v>
      </c>
      <c r="P636" s="26" t="s">
        <v>26</v>
      </c>
      <c r="Q636" s="26" t="s">
        <v>27</v>
      </c>
      <c r="R636" s="26" t="s">
        <v>28</v>
      </c>
      <c r="S636" s="26" t="s">
        <v>29</v>
      </c>
      <c r="T636" s="26" t="s">
        <v>30</v>
      </c>
      <c r="U636" s="26" t="s">
        <v>31</v>
      </c>
      <c r="V636" s="26" t="s">
        <v>32</v>
      </c>
      <c r="W636" s="26" t="s">
        <v>33</v>
      </c>
      <c r="X636" s="26" t="s">
        <v>34</v>
      </c>
      <c r="Y636" s="26" t="s">
        <v>35</v>
      </c>
      <c r="Z636" s="27" t="s">
        <v>36</v>
      </c>
    </row>
    <row r="637" spans="14:26" x14ac:dyDescent="0.25">
      <c r="N637" s="12" t="s">
        <v>60</v>
      </c>
      <c r="O637" s="13">
        <f xml:space="preserve"> SUMPRODUCT($I$4:$I$602, V$4:V$602)</f>
        <v>10864191.865</v>
      </c>
      <c r="P637" s="13">
        <f xml:space="preserve"> SUMPRODUCT($I$4:$I$602, W$4:W$602)</f>
        <v>10606262.149</v>
      </c>
      <c r="Q637" s="13">
        <f xml:space="preserve"> SUMPRODUCT($I$4:$I$602, X$4:X$602)</f>
        <v>9729505.9179999996</v>
      </c>
      <c r="R637" s="13">
        <f xml:space="preserve"> SUMPRODUCT($I$4:$I$602, Y$4:Y$602)</f>
        <v>7425008.227</v>
      </c>
      <c r="S637" s="13">
        <f xml:space="preserve"> SUMPRODUCT($I$4:$I$602, AL$4:AL$602)</f>
        <v>7424189.3810000001</v>
      </c>
      <c r="T637" s="13">
        <f xml:space="preserve"> SUMPRODUCT($I$4:$I$602, AM$4:AM$602)</f>
        <v>5312460.4230000004</v>
      </c>
      <c r="U637" s="13">
        <f xml:space="preserve"> SUMPRODUCT($I$4:$I$602, AN$4:AN$602)</f>
        <v>1220810.774</v>
      </c>
      <c r="V637" s="13">
        <f xml:space="preserve"> SUMPRODUCT($I$4:$I$602, AO$4:AO$602)</f>
        <v>288803.576</v>
      </c>
      <c r="W637" s="13">
        <f xml:space="preserve"> SUMPRODUCT($I$4:$I$602, BB$4:BB$602)</f>
        <v>151600.13400000002</v>
      </c>
      <c r="X637" s="13">
        <f xml:space="preserve"> SUMPRODUCT($I$4:$I$602, BC$4:BC$602)</f>
        <v>218619.23800000001</v>
      </c>
      <c r="Y637" s="13">
        <f xml:space="preserve"> SUMPRODUCT($I$4:$I$602, BD$4:BD$602)</f>
        <v>135452.63999999998</v>
      </c>
      <c r="Z637" s="14">
        <f xml:space="preserve"> SUMPRODUCT($I$4:$I$602, BE$4:BE$602)</f>
        <v>102834.534</v>
      </c>
    </row>
    <row r="638" spans="14:26" x14ac:dyDescent="0.25">
      <c r="N638" s="12" t="s">
        <v>61</v>
      </c>
      <c r="O638" s="13">
        <f xml:space="preserve"> SUMPRODUCT($I$4:$I$602, Z$4:Z$602)</f>
        <v>2411108.6069999998</v>
      </c>
      <c r="P638" s="13">
        <f xml:space="preserve"> SUMPRODUCT($I$4:$I$602, AA$4:AA$602)</f>
        <v>2663957.5030000005</v>
      </c>
      <c r="Q638" s="13">
        <f xml:space="preserve"> SUMPRODUCT($I$4:$I$602, AB$4:AB$602)</f>
        <v>2757028.0839999998</v>
      </c>
      <c r="R638" s="13">
        <f xml:space="preserve"> SUMPRODUCT($I$4:$I$602, AC$4:AC$602)</f>
        <v>5036553.6049999995</v>
      </c>
      <c r="S638" s="13">
        <f xml:space="preserve"> SUMPRODUCT($I$4:$I$602, AP$4:AP$602)</f>
        <v>5157035.7560000001</v>
      </c>
      <c r="T638" s="13">
        <f xml:space="preserve"> SUMPRODUCT($I$4:$I$602, AQ$4:AQ$602)</f>
        <v>4307651.483</v>
      </c>
      <c r="U638" s="13">
        <f xml:space="preserve"> SUMPRODUCT($I$4:$I$602, AR$4:AR$602)</f>
        <v>703484.37300000002</v>
      </c>
      <c r="V638" s="13">
        <f xml:space="preserve"> SUMPRODUCT($I$4:$I$602, AS$4:AS$602)</f>
        <v>310297.02600000001</v>
      </c>
      <c r="W638" s="13">
        <f xml:space="preserve"> SUMPRODUCT($I$4:$I$602, BF$4:BF$602)</f>
        <v>181437.29399999999</v>
      </c>
      <c r="X638" s="13">
        <f xml:space="preserve"> SUMPRODUCT($I$4:$I$602, BG$4:BG$602)</f>
        <v>103037.8</v>
      </c>
      <c r="Y638" s="13">
        <f xml:space="preserve"> SUMPRODUCT($I$4:$I$602, BH$4:BH$602)</f>
        <v>68698.740000000005</v>
      </c>
      <c r="Z638" s="14">
        <f xml:space="preserve"> SUMPRODUCT($I$4:$I$602, BI$4:BI$602)</f>
        <v>55012.974999999999</v>
      </c>
    </row>
    <row r="639" spans="14:26" x14ac:dyDescent="0.25">
      <c r="N639" s="12" t="s">
        <v>39</v>
      </c>
      <c r="O639" s="13">
        <f xml:space="preserve"> SUMPRODUCT($I$4:$I$602, N$4:N$602)</f>
        <v>30</v>
      </c>
      <c r="P639" s="13">
        <f xml:space="preserve"> SUMPRODUCT($I$4:$I$602, O$4:O$602)</f>
        <v>0</v>
      </c>
      <c r="Q639" s="13">
        <f xml:space="preserve"> SUMPRODUCT($I$4:$I$602, P$4:P$602)</f>
        <v>60</v>
      </c>
      <c r="R639" s="13">
        <f xml:space="preserve"> SUMPRODUCT($I$4:$I$602, Q$4:Q$602)</f>
        <v>0</v>
      </c>
      <c r="S639" s="13">
        <f xml:space="preserve"> SUMPRODUCT($I$4:$I$602, AD$4:AD$602)</f>
        <v>0</v>
      </c>
      <c r="T639" s="13">
        <f xml:space="preserve"> SUMPRODUCT($I$4:$I$602, AE$4:AE$602)</f>
        <v>1062619.9350000001</v>
      </c>
      <c r="U639" s="13">
        <f xml:space="preserve"> SUMPRODUCT($I$4:$I$602, AF$4:AF$602)</f>
        <v>5027194.7430000007</v>
      </c>
      <c r="V639" s="13">
        <f xml:space="preserve"> SUMPRODUCT($I$4:$I$602, AG$4:AG$602)</f>
        <v>5501076.6390000004</v>
      </c>
      <c r="W639" s="13">
        <f xml:space="preserve"> SUMPRODUCT($I$4:$I$602, AT$4:AT$602)</f>
        <v>5363014.9609999992</v>
      </c>
      <c r="X639" s="13">
        <f xml:space="preserve"> SUMPRODUCT($I$4:$I$602, AU$4:AU$602)</f>
        <v>5342729.5959999999</v>
      </c>
      <c r="Y639" s="13">
        <f xml:space="preserve"> SUMPRODUCT($I$4:$I$602, AV$4:AV$602)</f>
        <v>5263521.858</v>
      </c>
      <c r="Z639" s="14">
        <f xml:space="preserve"> SUMPRODUCT($I$4:$I$602, AW$4:AW$602)</f>
        <v>5039994.8390000006</v>
      </c>
    </row>
    <row r="640" spans="14:26" x14ac:dyDescent="0.25">
      <c r="N640" s="12" t="s">
        <v>40</v>
      </c>
      <c r="O640" s="13">
        <f xml:space="preserve"> SUMPRODUCT($I$4:$I$602, R$4:R$602)</f>
        <v>0</v>
      </c>
      <c r="P640" s="13">
        <f xml:space="preserve"> SUMPRODUCT($I$4:$I$602, S$4:S$602)</f>
        <v>0</v>
      </c>
      <c r="Q640" s="13">
        <f xml:space="preserve"> SUMPRODUCT($I$4:$I$602, T$4:T$602)</f>
        <v>0</v>
      </c>
      <c r="R640" s="13">
        <f xml:space="preserve"> SUMPRODUCT($I$4:$I$602, U$4:U$602)</f>
        <v>0</v>
      </c>
      <c r="S640" s="13">
        <f xml:space="preserve"> SUMPRODUCT($I$4:$I$602, AH$4:AH$602)</f>
        <v>0</v>
      </c>
      <c r="T640" s="13">
        <f xml:space="preserve"> SUMPRODUCT($I$4:$I$602, AI$4:AI$602)</f>
        <v>1609424.0020000001</v>
      </c>
      <c r="U640" s="13">
        <f xml:space="preserve"> SUMPRODUCT($I$4:$I$602, AJ$4:AJ$602)</f>
        <v>5719373.0000000009</v>
      </c>
      <c r="V640" s="13">
        <f xml:space="preserve"> SUMPRODUCT($I$4:$I$602, AK$4:AK$602)</f>
        <v>6134192.9110000003</v>
      </c>
      <c r="W640" s="13">
        <f xml:space="preserve"> SUMPRODUCT($I$4:$I$602, AX$4:AX$602)</f>
        <v>7011262.4949999992</v>
      </c>
      <c r="X640" s="13">
        <f xml:space="preserve"> SUMPRODUCT($I$4:$I$602, AY$4:AY$602)</f>
        <v>6872284.7750000004</v>
      </c>
      <c r="Y640" s="13">
        <f xml:space="preserve"> SUMPRODUCT($I$4:$I$602, AZ$4:AZ$602)</f>
        <v>6784033.1679999996</v>
      </c>
      <c r="Z640" s="14">
        <f xml:space="preserve"> SUMPRODUCT($I$4:$I$602, BA$4:BA$602)</f>
        <v>6605497.0580000002</v>
      </c>
    </row>
    <row r="641" spans="14:26" x14ac:dyDescent="0.25">
      <c r="N641" s="15" t="s">
        <v>42</v>
      </c>
      <c r="O641" s="13">
        <f>O637+O639</f>
        <v>10864221.865</v>
      </c>
      <c r="P641" s="13">
        <f t="shared" ref="P641:Z641" si="177">P637+P639</f>
        <v>10606262.149</v>
      </c>
      <c r="Q641" s="13">
        <f t="shared" si="177"/>
        <v>9729565.9179999996</v>
      </c>
      <c r="R641" s="13">
        <f t="shared" si="177"/>
        <v>7425008.227</v>
      </c>
      <c r="S641" s="13">
        <f t="shared" si="177"/>
        <v>7424189.3810000001</v>
      </c>
      <c r="T641" s="13">
        <f t="shared" si="177"/>
        <v>6375080.3580000009</v>
      </c>
      <c r="U641" s="13">
        <f t="shared" si="177"/>
        <v>6248005.5170000009</v>
      </c>
      <c r="V641" s="13">
        <f t="shared" si="177"/>
        <v>5789880.2150000008</v>
      </c>
      <c r="W641" s="13">
        <f t="shared" si="177"/>
        <v>5514615.0949999988</v>
      </c>
      <c r="X641" s="13">
        <f t="shared" si="177"/>
        <v>5561348.8339999998</v>
      </c>
      <c r="Y641" s="13">
        <f t="shared" si="177"/>
        <v>5398974.4979999997</v>
      </c>
      <c r="Z641" s="14">
        <f t="shared" si="177"/>
        <v>5142829.3730000006</v>
      </c>
    </row>
    <row r="642" spans="14:26" x14ac:dyDescent="0.25">
      <c r="N642" s="15" t="s">
        <v>43</v>
      </c>
      <c r="O642" s="13">
        <f>O638+O640</f>
        <v>2411108.6069999998</v>
      </c>
      <c r="P642" s="13">
        <f t="shared" ref="P642:Z642" si="178">P638+P640</f>
        <v>2663957.5030000005</v>
      </c>
      <c r="Q642" s="13">
        <f t="shared" si="178"/>
        <v>2757028.0839999998</v>
      </c>
      <c r="R642" s="13">
        <f t="shared" si="178"/>
        <v>5036553.6049999995</v>
      </c>
      <c r="S642" s="13">
        <f t="shared" si="178"/>
        <v>5157035.7560000001</v>
      </c>
      <c r="T642" s="13">
        <f t="shared" si="178"/>
        <v>5917075.4850000003</v>
      </c>
      <c r="U642" s="13">
        <f t="shared" si="178"/>
        <v>6422857.3730000006</v>
      </c>
      <c r="V642" s="13">
        <f t="shared" si="178"/>
        <v>6444489.9369999999</v>
      </c>
      <c r="W642" s="13">
        <f t="shared" si="178"/>
        <v>7192699.7889999989</v>
      </c>
      <c r="X642" s="13">
        <f t="shared" si="178"/>
        <v>6975322.5750000002</v>
      </c>
      <c r="Y642" s="13">
        <f t="shared" si="178"/>
        <v>6852731.9079999998</v>
      </c>
      <c r="Z642" s="14">
        <f t="shared" si="178"/>
        <v>6660510.0329999998</v>
      </c>
    </row>
    <row r="643" spans="14:26" x14ac:dyDescent="0.25">
      <c r="N643" s="15" t="s">
        <v>47</v>
      </c>
      <c r="O643" s="13">
        <f>SUM(O637:O638)</f>
        <v>13275300.471999999</v>
      </c>
      <c r="P643" s="13">
        <f t="shared" ref="P643:Z643" si="179">SUM(P637:P638)</f>
        <v>13270219.652000001</v>
      </c>
      <c r="Q643" s="13">
        <f t="shared" si="179"/>
        <v>12486534.002</v>
      </c>
      <c r="R643" s="13">
        <f t="shared" si="179"/>
        <v>12461561.831999999</v>
      </c>
      <c r="S643" s="13">
        <f t="shared" si="179"/>
        <v>12581225.137</v>
      </c>
      <c r="T643" s="13">
        <f t="shared" si="179"/>
        <v>9620111.9059999995</v>
      </c>
      <c r="U643" s="13">
        <f t="shared" si="179"/>
        <v>1924295.1469999999</v>
      </c>
      <c r="V643" s="13">
        <f t="shared" si="179"/>
        <v>599100.60199999996</v>
      </c>
      <c r="W643" s="13">
        <f t="shared" si="179"/>
        <v>333037.42800000001</v>
      </c>
      <c r="X643" s="13">
        <f t="shared" si="179"/>
        <v>321657.038</v>
      </c>
      <c r="Y643" s="13">
        <f t="shared" si="179"/>
        <v>204151.38</v>
      </c>
      <c r="Z643" s="14">
        <f t="shared" si="179"/>
        <v>157847.50899999999</v>
      </c>
    </row>
    <row r="644" spans="14:26" x14ac:dyDescent="0.25">
      <c r="N644" s="15" t="s">
        <v>48</v>
      </c>
      <c r="O644" s="13">
        <f>SUM(O639:O640)</f>
        <v>30</v>
      </c>
      <c r="P644" s="13">
        <f t="shared" ref="P644:Z644" si="180">SUM(P639:P640)</f>
        <v>0</v>
      </c>
      <c r="Q644" s="13">
        <f t="shared" si="180"/>
        <v>60</v>
      </c>
      <c r="R644" s="13">
        <f t="shared" si="180"/>
        <v>0</v>
      </c>
      <c r="S644" s="13">
        <f t="shared" si="180"/>
        <v>0</v>
      </c>
      <c r="T644" s="13">
        <f t="shared" si="180"/>
        <v>2672043.9369999999</v>
      </c>
      <c r="U644" s="13">
        <f t="shared" si="180"/>
        <v>10746567.743000001</v>
      </c>
      <c r="V644" s="13">
        <f t="shared" si="180"/>
        <v>11635269.550000001</v>
      </c>
      <c r="W644" s="13">
        <f t="shared" si="180"/>
        <v>12374277.455999998</v>
      </c>
      <c r="X644" s="13">
        <f t="shared" si="180"/>
        <v>12215014.370999999</v>
      </c>
      <c r="Y644" s="13">
        <f t="shared" si="180"/>
        <v>12047555.026000001</v>
      </c>
      <c r="Z644" s="14">
        <f t="shared" si="180"/>
        <v>11645491.897</v>
      </c>
    </row>
    <row r="645" spans="14:26" x14ac:dyDescent="0.25">
      <c r="N645" s="12" t="s">
        <v>41</v>
      </c>
      <c r="O645" s="13">
        <f>SUM(O643:O644)</f>
        <v>13275330.471999999</v>
      </c>
      <c r="P645" s="13">
        <f t="shared" ref="P645" si="181">SUM(P643:P644)</f>
        <v>13270219.652000001</v>
      </c>
      <c r="Q645" s="13">
        <f t="shared" ref="Q645" si="182">SUM(Q643:Q644)</f>
        <v>12486594.002</v>
      </c>
      <c r="R645" s="13">
        <f t="shared" ref="R645" si="183">SUM(R643:R644)</f>
        <v>12461561.831999999</v>
      </c>
      <c r="S645" s="13">
        <f t="shared" ref="S645" si="184">SUM(S643:S644)</f>
        <v>12581225.137</v>
      </c>
      <c r="T645" s="13">
        <f t="shared" ref="T645" si="185">SUM(T643:T644)</f>
        <v>12292155.842999998</v>
      </c>
      <c r="U645" s="13">
        <f t="shared" ref="U645" si="186">SUM(U643:U644)</f>
        <v>12670862.890000001</v>
      </c>
      <c r="V645" s="13">
        <f t="shared" ref="V645" si="187">SUM(V643:V644)</f>
        <v>12234370.152000001</v>
      </c>
      <c r="W645" s="13">
        <f t="shared" ref="W645" si="188">SUM(W643:W644)</f>
        <v>12707314.883999998</v>
      </c>
      <c r="X645" s="13">
        <f t="shared" ref="X645" si="189">SUM(X643:X644)</f>
        <v>12536671.409</v>
      </c>
      <c r="Y645" s="13">
        <f t="shared" ref="Y645" si="190">SUM(Y643:Y644)</f>
        <v>12251706.406000001</v>
      </c>
      <c r="Z645" s="14">
        <f t="shared" ref="Z645" si="191">SUM(Z643:Z644)</f>
        <v>11803339.405999999</v>
      </c>
    </row>
    <row r="646" spans="14:26" x14ac:dyDescent="0.25">
      <c r="N646" s="12" t="s">
        <v>44</v>
      </c>
      <c r="O646" s="16">
        <f>O639/(O637+O639)</f>
        <v>2.7613574513465625E-6</v>
      </c>
      <c r="P646" s="16">
        <f t="shared" ref="P646:Z646" si="192">P639/(P637+P639)</f>
        <v>0</v>
      </c>
      <c r="Q646" s="16">
        <f t="shared" si="192"/>
        <v>6.1667704916822789E-6</v>
      </c>
      <c r="R646" s="16">
        <f t="shared" si="192"/>
        <v>0</v>
      </c>
      <c r="S646" s="16">
        <f t="shared" si="192"/>
        <v>0</v>
      </c>
      <c r="T646" s="16">
        <f t="shared" si="192"/>
        <v>0.16668337892659391</v>
      </c>
      <c r="U646" s="16">
        <f t="shared" si="192"/>
        <v>0.8046079231719091</v>
      </c>
      <c r="V646" s="16">
        <f t="shared" si="192"/>
        <v>0.9501192485378559</v>
      </c>
      <c r="W646" s="16">
        <f t="shared" si="192"/>
        <v>0.97250938979631552</v>
      </c>
      <c r="X646" s="16">
        <f t="shared" si="192"/>
        <v>0.96068952973001009</v>
      </c>
      <c r="Y646" s="16">
        <f t="shared" si="192"/>
        <v>0.97491141326002251</v>
      </c>
      <c r="Z646" s="17">
        <f t="shared" si="192"/>
        <v>0.98000428819593277</v>
      </c>
    </row>
    <row r="647" spans="14:26" ht="15.75" thickBot="1" x14ac:dyDescent="0.3">
      <c r="N647" s="18" t="s">
        <v>45</v>
      </c>
      <c r="O647" s="19">
        <f>O640/(O638+O640)</f>
        <v>0</v>
      </c>
      <c r="P647" s="19">
        <f t="shared" ref="P647:Z647" si="193">P640/(P638+P640)</f>
        <v>0</v>
      </c>
      <c r="Q647" s="19">
        <f t="shared" si="193"/>
        <v>0</v>
      </c>
      <c r="R647" s="19">
        <f t="shared" si="193"/>
        <v>0</v>
      </c>
      <c r="S647" s="19">
        <f t="shared" si="193"/>
        <v>0</v>
      </c>
      <c r="T647" s="19">
        <f t="shared" si="193"/>
        <v>0.27199653039410226</v>
      </c>
      <c r="U647" s="19">
        <f t="shared" si="193"/>
        <v>0.89047174300378173</v>
      </c>
      <c r="V647" s="19">
        <f t="shared" si="193"/>
        <v>0.95185080137708356</v>
      </c>
      <c r="W647" s="19">
        <f t="shared" si="193"/>
        <v>0.97477479954363211</v>
      </c>
      <c r="X647" s="19">
        <f t="shared" si="193"/>
        <v>0.98522823870980625</v>
      </c>
      <c r="Y647" s="19">
        <f t="shared" si="193"/>
        <v>0.98997498502461478</v>
      </c>
      <c r="Z647" s="20">
        <f t="shared" si="193"/>
        <v>0.99174042607436463</v>
      </c>
    </row>
    <row r="648" spans="14:26" x14ac:dyDescent="0.25">
      <c r="N648" s="13" t="s">
        <v>64</v>
      </c>
      <c r="O648" s="16">
        <f>O642/SUM(O641:O642)</f>
        <v>0.18162324561979462</v>
      </c>
      <c r="P648" s="16">
        <f t="shared" ref="P648:Z648" si="194">P642/SUM(P641:P642)</f>
        <v>0.2007470541452949</v>
      </c>
      <c r="Q648" s="16">
        <f t="shared" si="194"/>
        <v>0.2207990492490107</v>
      </c>
      <c r="R648" s="16">
        <f t="shared" si="194"/>
        <v>0.40416712390469806</v>
      </c>
      <c r="S648" s="16">
        <f t="shared" si="194"/>
        <v>0.40989933014025198</v>
      </c>
      <c r="T648" s="16">
        <f t="shared" si="194"/>
        <v>0.48137003472581169</v>
      </c>
      <c r="U648" s="16">
        <f t="shared" si="194"/>
        <v>0.50689976118903457</v>
      </c>
      <c r="V648" s="16">
        <f t="shared" si="194"/>
        <v>0.52675289834568995</v>
      </c>
      <c r="W648" s="16">
        <f t="shared" si="194"/>
        <v>0.56602829587991499</v>
      </c>
      <c r="X648" s="16">
        <f t="shared" si="194"/>
        <v>0.55639350729033699</v>
      </c>
      <c r="Y648" s="16">
        <f t="shared" si="194"/>
        <v>0.55932877273683501</v>
      </c>
      <c r="Z648" s="16">
        <f t="shared" si="194"/>
        <v>0.56429030835241922</v>
      </c>
    </row>
    <row r="649" spans="14:26" x14ac:dyDescent="0.25">
      <c r="N649" s="21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4:26" ht="15.75" thickBot="1" x14ac:dyDescent="0.3">
      <c r="N650" s="29" t="s">
        <v>49</v>
      </c>
      <c r="O650" s="30" t="s">
        <v>63</v>
      </c>
      <c r="P650" s="30"/>
      <c r="Q650" s="30"/>
      <c r="R650" s="30"/>
      <c r="S650" s="30"/>
      <c r="T650" s="30"/>
      <c r="U650" s="30"/>
      <c r="V650" s="30"/>
      <c r="W650" s="30"/>
      <c r="X650" s="30"/>
      <c r="Y650" s="30"/>
      <c r="Z650" s="30"/>
    </row>
    <row r="651" spans="14:26" x14ac:dyDescent="0.25">
      <c r="N651" s="31"/>
      <c r="O651" s="32" t="s">
        <v>25</v>
      </c>
      <c r="P651" s="32" t="s">
        <v>26</v>
      </c>
      <c r="Q651" s="32" t="s">
        <v>27</v>
      </c>
      <c r="R651" s="32" t="s">
        <v>28</v>
      </c>
      <c r="S651" s="32" t="s">
        <v>29</v>
      </c>
      <c r="T651" s="32" t="s">
        <v>30</v>
      </c>
      <c r="U651" s="32" t="s">
        <v>31</v>
      </c>
      <c r="V651" s="32" t="s">
        <v>32</v>
      </c>
      <c r="W651" s="32" t="s">
        <v>33</v>
      </c>
      <c r="X651" s="32" t="s">
        <v>34</v>
      </c>
      <c r="Y651" s="32" t="s">
        <v>35</v>
      </c>
      <c r="Z651" s="33" t="s">
        <v>36</v>
      </c>
    </row>
    <row r="652" spans="14:26" x14ac:dyDescent="0.25">
      <c r="N652" s="12" t="s">
        <v>60</v>
      </c>
      <c r="O652" s="34">
        <f>O623/O637</f>
        <v>5.9302003159164558</v>
      </c>
      <c r="P652" s="34">
        <f t="shared" ref="P652:Z652" si="195">P623/P637</f>
        <v>6.3055385573611842</v>
      </c>
      <c r="Q652" s="34">
        <f t="shared" si="195"/>
        <v>6.2973109072937001</v>
      </c>
      <c r="R652" s="34">
        <f t="shared" si="195"/>
        <v>6.3349115370616547</v>
      </c>
      <c r="S652" s="34">
        <f t="shared" si="195"/>
        <v>6.581784327195896</v>
      </c>
      <c r="T652" s="34">
        <f t="shared" si="195"/>
        <v>6.6522174484348149</v>
      </c>
      <c r="U652" s="34">
        <f t="shared" si="195"/>
        <v>6.3720058715667918</v>
      </c>
      <c r="V652" s="34">
        <f t="shared" si="195"/>
        <v>6.3756206051963842</v>
      </c>
      <c r="W652" s="34">
        <f t="shared" si="195"/>
        <v>6.536716979419027</v>
      </c>
      <c r="X652" s="34">
        <f t="shared" si="195"/>
        <v>6.4776222484134705</v>
      </c>
      <c r="Y652" s="34">
        <f t="shared" si="195"/>
        <v>6.5435158738877304</v>
      </c>
      <c r="Z652" s="35">
        <f t="shared" si="195"/>
        <v>6.7677720988165309</v>
      </c>
    </row>
    <row r="653" spans="14:26" x14ac:dyDescent="0.25">
      <c r="N653" s="12" t="s">
        <v>61</v>
      </c>
      <c r="O653" s="34">
        <f>O624/O638</f>
        <v>6.3329300661403192</v>
      </c>
      <c r="P653" s="34">
        <f t="shared" ref="P653:Z653" si="196">P624/P638</f>
        <v>6.7544773705048096</v>
      </c>
      <c r="Q653" s="34">
        <f t="shared" si="196"/>
        <v>6.849843361987312</v>
      </c>
      <c r="R653" s="34">
        <f t="shared" si="196"/>
        <v>6.5624065128956373</v>
      </c>
      <c r="S653" s="34">
        <f t="shared" si="196"/>
        <v>6.8375901192801418</v>
      </c>
      <c r="T653" s="34">
        <f t="shared" si="196"/>
        <v>6.8480191344207686</v>
      </c>
      <c r="U653" s="34">
        <f t="shared" si="196"/>
        <v>6.5398190017790201</v>
      </c>
      <c r="V653" s="34">
        <f t="shared" si="196"/>
        <v>7.04175856329348</v>
      </c>
      <c r="W653" s="34">
        <f t="shared" si="196"/>
        <v>6.4568399041489224</v>
      </c>
      <c r="X653" s="34">
        <f t="shared" si="196"/>
        <v>8.3082159168771081</v>
      </c>
      <c r="Y653" s="34">
        <f t="shared" si="196"/>
        <v>8.0317321685958127</v>
      </c>
      <c r="Z653" s="35">
        <f t="shared" si="196"/>
        <v>6.0456406874923596</v>
      </c>
    </row>
    <row r="654" spans="14:26" x14ac:dyDescent="0.25">
      <c r="N654" s="36" t="s">
        <v>51</v>
      </c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5"/>
    </row>
    <row r="655" spans="14:26" x14ac:dyDescent="0.25">
      <c r="N655" s="12" t="s">
        <v>39</v>
      </c>
      <c r="O655" s="34">
        <f>IFERROR(O625/O639, 0)</f>
        <v>1.075</v>
      </c>
      <c r="P655" s="34">
        <f t="shared" ref="P655:Z655" si="197">IFERROR(P625/P639, 0)</f>
        <v>0</v>
      </c>
      <c r="Q655" s="34">
        <f t="shared" si="197"/>
        <v>2.2496666666666667</v>
      </c>
      <c r="R655" s="34">
        <f t="shared" si="197"/>
        <v>0</v>
      </c>
      <c r="S655" s="34">
        <f t="shared" si="197"/>
        <v>0</v>
      </c>
      <c r="T655" s="34">
        <f t="shared" si="197"/>
        <v>1.3635904637908001</v>
      </c>
      <c r="U655" s="34">
        <f t="shared" si="197"/>
        <v>0.84284599595031029</v>
      </c>
      <c r="V655" s="34">
        <f t="shared" si="197"/>
        <v>0.52813473809885592</v>
      </c>
      <c r="W655" s="34">
        <f t="shared" si="197"/>
        <v>0.51477795420604677</v>
      </c>
      <c r="X655" s="34">
        <f t="shared" si="197"/>
        <v>0.47624664963485847</v>
      </c>
      <c r="Y655" s="34">
        <f t="shared" si="197"/>
        <v>0.484501715543175</v>
      </c>
      <c r="Z655" s="35">
        <f t="shared" si="197"/>
        <v>0.4480994925875954</v>
      </c>
    </row>
    <row r="656" spans="14:26" x14ac:dyDescent="0.25">
      <c r="N656" s="12" t="s">
        <v>40</v>
      </c>
      <c r="O656" s="34">
        <f>IFERROR(O626/O640, 0)</f>
        <v>0</v>
      </c>
      <c r="P656" s="34">
        <f t="shared" ref="P656:Z656" si="198">IFERROR(P626/P640, 0)</f>
        <v>0</v>
      </c>
      <c r="Q656" s="34">
        <f t="shared" si="198"/>
        <v>0</v>
      </c>
      <c r="R656" s="34">
        <f t="shared" si="198"/>
        <v>0</v>
      </c>
      <c r="S656" s="34">
        <f t="shared" si="198"/>
        <v>0</v>
      </c>
      <c r="T656" s="34">
        <f t="shared" si="198"/>
        <v>2.4053689426709561</v>
      </c>
      <c r="U656" s="34">
        <f t="shared" si="198"/>
        <v>1.4838719191771548</v>
      </c>
      <c r="V656" s="34">
        <f t="shared" si="198"/>
        <v>1.4057239029012341</v>
      </c>
      <c r="W656" s="34">
        <f t="shared" si="198"/>
        <v>1.319904322024674</v>
      </c>
      <c r="X656" s="34">
        <f t="shared" si="198"/>
        <v>0.96870953954320071</v>
      </c>
      <c r="Y656" s="34">
        <f t="shared" si="198"/>
        <v>0.82124457708724463</v>
      </c>
      <c r="Z656" s="35">
        <f t="shared" si="198"/>
        <v>0.75556586070316578</v>
      </c>
    </row>
    <row r="657" spans="14:26" ht="15.75" thickBot="1" x14ac:dyDescent="0.3">
      <c r="N657" s="37" t="s">
        <v>52</v>
      </c>
      <c r="O657" s="38"/>
      <c r="P657" s="38"/>
      <c r="Q657" s="38"/>
      <c r="R657" s="38" t="e">
        <f t="shared" ref="R657:Z657" si="199">R630/R615</f>
        <v>#DIV/0!</v>
      </c>
      <c r="S657" s="38" t="e">
        <f t="shared" si="199"/>
        <v>#DIV/0!</v>
      </c>
      <c r="T657" s="38">
        <f t="shared" si="199"/>
        <v>60.78881307129798</v>
      </c>
      <c r="U657" s="38">
        <f t="shared" si="199"/>
        <v>36.36978119193941</v>
      </c>
      <c r="V657" s="38">
        <f t="shared" si="199"/>
        <v>30.511605047732736</v>
      </c>
      <c r="W657" s="38">
        <f t="shared" si="199"/>
        <v>30.609563108403837</v>
      </c>
      <c r="X657" s="38">
        <f t="shared" si="199"/>
        <v>23.334267097425339</v>
      </c>
      <c r="Y657" s="38">
        <f t="shared" si="199"/>
        <v>20.886198993434437</v>
      </c>
      <c r="Z657" s="39">
        <f t="shared" si="199"/>
        <v>19.262193336504147</v>
      </c>
    </row>
    <row r="658" spans="14:26" x14ac:dyDescent="0.25">
      <c r="N658" s="21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4:26" ht="15.75" thickBot="1" x14ac:dyDescent="0.3">
      <c r="N659" s="40" t="s">
        <v>53</v>
      </c>
      <c r="O659" s="41"/>
      <c r="P659" s="41"/>
      <c r="Q659" s="41"/>
      <c r="R659" s="41"/>
      <c r="S659" s="41"/>
      <c r="T659" s="41"/>
      <c r="U659" s="41"/>
      <c r="V659" s="41"/>
      <c r="W659" s="41"/>
      <c r="X659" s="41"/>
      <c r="Y659" s="41"/>
      <c r="Z659" s="41"/>
    </row>
    <row r="660" spans="14:26" x14ac:dyDescent="0.25">
      <c r="N660" s="31"/>
      <c r="O660" s="32" t="s">
        <v>25</v>
      </c>
      <c r="P660" s="32" t="s">
        <v>26</v>
      </c>
      <c r="Q660" s="32" t="s">
        <v>27</v>
      </c>
      <c r="R660" s="32" t="s">
        <v>28</v>
      </c>
      <c r="S660" s="32" t="s">
        <v>29</v>
      </c>
      <c r="T660" s="32" t="s">
        <v>30</v>
      </c>
      <c r="U660" s="32" t="s">
        <v>31</v>
      </c>
      <c r="V660" s="32" t="s">
        <v>32</v>
      </c>
      <c r="W660" s="32" t="s">
        <v>33</v>
      </c>
      <c r="X660" s="32" t="s">
        <v>34</v>
      </c>
      <c r="Y660" s="32" t="s">
        <v>35</v>
      </c>
      <c r="Z660" s="33" t="s">
        <v>36</v>
      </c>
    </row>
    <row r="661" spans="14:26" x14ac:dyDescent="0.25">
      <c r="N661" s="42" t="s">
        <v>50</v>
      </c>
      <c r="O661" s="43">
        <f>O612*(1-O618)</f>
        <v>337833</v>
      </c>
      <c r="P661" s="43">
        <f t="shared" ref="P661:Z661" si="200">P612*(1-P618)</f>
        <v>327006</v>
      </c>
      <c r="Q661" s="43">
        <f t="shared" si="200"/>
        <v>298848</v>
      </c>
      <c r="R661" s="43">
        <f t="shared" si="200"/>
        <v>231900</v>
      </c>
      <c r="S661" s="43">
        <f t="shared" si="200"/>
        <v>234848</v>
      </c>
      <c r="T661" s="43">
        <f t="shared" si="200"/>
        <v>150032.84205395522</v>
      </c>
      <c r="U661" s="43">
        <f t="shared" si="200"/>
        <v>22348.174209099696</v>
      </c>
      <c r="V661" s="43">
        <f t="shared" si="200"/>
        <v>9154.5352405343583</v>
      </c>
      <c r="W661" s="43">
        <f t="shared" si="200"/>
        <v>4313.408189435585</v>
      </c>
      <c r="X661" s="43">
        <f t="shared" si="200"/>
        <v>2637.4370128788537</v>
      </c>
      <c r="Y661" s="43">
        <f t="shared" si="200"/>
        <v>1897.530504756246</v>
      </c>
      <c r="Z661" s="44">
        <f t="shared" si="200"/>
        <v>1433.9035770040591</v>
      </c>
    </row>
    <row r="662" spans="14:26" x14ac:dyDescent="0.25">
      <c r="N662" s="42" t="s">
        <v>39</v>
      </c>
      <c r="O662" s="43">
        <f>O612*O618</f>
        <v>0</v>
      </c>
      <c r="P662" s="43">
        <f t="shared" ref="P662:Y662" si="201">P612*P618</f>
        <v>0</v>
      </c>
      <c r="Q662" s="43">
        <f t="shared" si="201"/>
        <v>0</v>
      </c>
      <c r="R662" s="43">
        <f t="shared" si="201"/>
        <v>0</v>
      </c>
      <c r="S662" s="43">
        <f t="shared" si="201"/>
        <v>0</v>
      </c>
      <c r="T662" s="43">
        <f t="shared" si="201"/>
        <v>55400.157946044783</v>
      </c>
      <c r="U662" s="43">
        <f t="shared" si="201"/>
        <v>178269.8257909003</v>
      </c>
      <c r="V662" s="43">
        <f t="shared" si="201"/>
        <v>176066.46475946566</v>
      </c>
      <c r="W662" s="43">
        <f t="shared" si="201"/>
        <v>171518.59181056442</v>
      </c>
      <c r="X662" s="43">
        <f t="shared" si="201"/>
        <v>174636.56298712114</v>
      </c>
      <c r="Y662" s="43">
        <f t="shared" si="201"/>
        <v>168810.46949524374</v>
      </c>
      <c r="Z662" s="44">
        <f>Z612*Z618</f>
        <v>160019.09642299594</v>
      </c>
    </row>
    <row r="663" spans="14:26" x14ac:dyDescent="0.25">
      <c r="N663" s="45" t="s">
        <v>42</v>
      </c>
      <c r="O663" s="43">
        <f>SUM(O661:O662)</f>
        <v>337833</v>
      </c>
      <c r="P663" s="43">
        <f t="shared" ref="P663:Y663" si="202">SUM(P661:P662)</f>
        <v>327006</v>
      </c>
      <c r="Q663" s="43">
        <f t="shared" si="202"/>
        <v>298848</v>
      </c>
      <c r="R663" s="43">
        <f t="shared" si="202"/>
        <v>231900</v>
      </c>
      <c r="S663" s="43">
        <f t="shared" si="202"/>
        <v>234848</v>
      </c>
      <c r="T663" s="43">
        <f t="shared" si="202"/>
        <v>205433</v>
      </c>
      <c r="U663" s="43">
        <f t="shared" si="202"/>
        <v>200618</v>
      </c>
      <c r="V663" s="43">
        <f t="shared" si="202"/>
        <v>185221</v>
      </c>
      <c r="W663" s="43">
        <f t="shared" si="202"/>
        <v>175832</v>
      </c>
      <c r="X663" s="43">
        <f t="shared" si="202"/>
        <v>177274</v>
      </c>
      <c r="Y663" s="43">
        <f t="shared" si="202"/>
        <v>170708</v>
      </c>
      <c r="Z663" s="44">
        <f>SUM(Z661:Z662)</f>
        <v>161453</v>
      </c>
    </row>
    <row r="664" spans="14:26" x14ac:dyDescent="0.25">
      <c r="N664" s="3" t="s">
        <v>54</v>
      </c>
      <c r="O664" s="13">
        <f>O661*O652</f>
        <v>2003417.363327004</v>
      </c>
      <c r="P664" s="13">
        <f t="shared" ref="P664:Z664" si="203">P661*P652</f>
        <v>2061948.9414884513</v>
      </c>
      <c r="Q664" s="13">
        <f t="shared" si="203"/>
        <v>1881938.7700229078</v>
      </c>
      <c r="R664" s="13">
        <f t="shared" si="203"/>
        <v>1469065.9854445977</v>
      </c>
      <c r="S664" s="13">
        <f t="shared" si="203"/>
        <v>1545718.8856733018</v>
      </c>
      <c r="T664" s="13">
        <f t="shared" si="203"/>
        <v>998051.0897495856</v>
      </c>
      <c r="U664" s="13">
        <f t="shared" si="203"/>
        <v>142402.69727918081</v>
      </c>
      <c r="V664" s="13">
        <f t="shared" si="203"/>
        <v>58365.843510547289</v>
      </c>
      <c r="W664" s="13">
        <f t="shared" si="203"/>
        <v>28195.528551048672</v>
      </c>
      <c r="X664" s="13">
        <f t="shared" si="203"/>
        <v>17084.320673413229</v>
      </c>
      <c r="Y664" s="13">
        <f t="shared" si="203"/>
        <v>12416.520979058694</v>
      </c>
      <c r="Z664" s="14">
        <f t="shared" si="203"/>
        <v>9704.3326208412927</v>
      </c>
    </row>
    <row r="665" spans="14:26" x14ac:dyDescent="0.25">
      <c r="N665" s="3" t="s">
        <v>55</v>
      </c>
      <c r="O665" s="13">
        <f>O662*O655</f>
        <v>0</v>
      </c>
      <c r="P665" s="13">
        <f t="shared" ref="P665:Z665" si="204">P662*P655</f>
        <v>0</v>
      </c>
      <c r="Q665" s="13">
        <f t="shared" si="204"/>
        <v>0</v>
      </c>
      <c r="R665" s="13">
        <f t="shared" si="204"/>
        <v>0</v>
      </c>
      <c r="S665" s="13">
        <f t="shared" si="204"/>
        <v>0</v>
      </c>
      <c r="T665" s="13">
        <f t="shared" si="204"/>
        <v>75543.127067730777</v>
      </c>
      <c r="U665" s="13">
        <f t="shared" si="204"/>
        <v>150254.00886661967</v>
      </c>
      <c r="V665" s="13">
        <f t="shared" si="204"/>
        <v>92986.816253731842</v>
      </c>
      <c r="W665" s="13">
        <f t="shared" si="204"/>
        <v>88293.989800544368</v>
      </c>
      <c r="X665" s="13">
        <f t="shared" si="204"/>
        <v>83170.078026363379</v>
      </c>
      <c r="Y665" s="13">
        <f t="shared" si="204"/>
        <v>81788.962072094408</v>
      </c>
      <c r="Z665" s="14">
        <f t="shared" si="204"/>
        <v>71704.475911469985</v>
      </c>
    </row>
    <row r="666" spans="14:26" x14ac:dyDescent="0.25">
      <c r="N666" s="36" t="s">
        <v>56</v>
      </c>
      <c r="O666" s="13">
        <f>SUM(O664:O665)</f>
        <v>2003417.363327004</v>
      </c>
      <c r="P666" s="13">
        <f t="shared" ref="P666:Z666" si="205">SUM(P664:P665)</f>
        <v>2061948.9414884513</v>
      </c>
      <c r="Q666" s="13">
        <f t="shared" si="205"/>
        <v>1881938.7700229078</v>
      </c>
      <c r="R666" s="13">
        <f t="shared" si="205"/>
        <v>1469065.9854445977</v>
      </c>
      <c r="S666" s="13">
        <f t="shared" si="205"/>
        <v>1545718.8856733018</v>
      </c>
      <c r="T666" s="13">
        <f t="shared" si="205"/>
        <v>1073594.2168173164</v>
      </c>
      <c r="U666" s="13">
        <f t="shared" si="205"/>
        <v>292656.70614580048</v>
      </c>
      <c r="V666" s="13">
        <f t="shared" si="205"/>
        <v>151352.65976427915</v>
      </c>
      <c r="W666" s="13">
        <f t="shared" si="205"/>
        <v>116489.51835159304</v>
      </c>
      <c r="X666" s="13">
        <f t="shared" si="205"/>
        <v>100254.3986997766</v>
      </c>
      <c r="Y666" s="13">
        <f t="shared" si="205"/>
        <v>94205.483051153104</v>
      </c>
      <c r="Z666" s="14">
        <f t="shared" si="205"/>
        <v>81408.808532311275</v>
      </c>
    </row>
    <row r="667" spans="14:26" ht="15.75" thickBot="1" x14ac:dyDescent="0.3">
      <c r="N667" s="28" t="s">
        <v>57</v>
      </c>
      <c r="O667" s="46">
        <f>-(O666-O627)</f>
        <v>62423448.91667299</v>
      </c>
      <c r="P667" s="46">
        <f t="shared" ref="P667:Z667" si="206">-(P666-P627)</f>
        <v>64816245.98851154</v>
      </c>
      <c r="Q667" s="46">
        <f t="shared" si="206"/>
        <v>59387919.949977092</v>
      </c>
      <c r="R667" s="46">
        <f t="shared" si="206"/>
        <v>45567704.294555403</v>
      </c>
      <c r="S667" s="46">
        <f t="shared" si="206"/>
        <v>47318694.424326703</v>
      </c>
      <c r="T667" s="46">
        <f t="shared" si="206"/>
        <v>35715026.113182679</v>
      </c>
      <c r="U667" s="46">
        <f t="shared" si="206"/>
        <v>11723507.673854198</v>
      </c>
      <c r="V667" s="46">
        <f t="shared" si="206"/>
        <v>4595259.0402357206</v>
      </c>
      <c r="W667" s="46">
        <f t="shared" si="206"/>
        <v>3635239.5216484079</v>
      </c>
      <c r="X667" s="46">
        <f t="shared" si="206"/>
        <v>3860335.5113002234</v>
      </c>
      <c r="Y667" s="46">
        <f t="shared" si="206"/>
        <v>3342316.3869488472</v>
      </c>
      <c r="Z667" s="47">
        <f t="shared" si="206"/>
        <v>2872971.0114676887</v>
      </c>
    </row>
    <row r="668" spans="14:26" x14ac:dyDescent="0.25">
      <c r="N668" s="21" t="s">
        <v>58</v>
      </c>
      <c r="O668" s="16">
        <f>O667/O666</f>
        <v>31.158484527162422</v>
      </c>
      <c r="P668" s="16">
        <f t="shared" ref="P668:Z668" si="207">P667/P666</f>
        <v>31.434457315767908</v>
      </c>
      <c r="Q668" s="16">
        <f t="shared" si="207"/>
        <v>31.556775861126553</v>
      </c>
      <c r="R668" s="16">
        <f t="shared" si="207"/>
        <v>31.01814673134972</v>
      </c>
      <c r="S668" s="16">
        <f t="shared" si="207"/>
        <v>30.612742629275107</v>
      </c>
      <c r="T668" s="16">
        <f t="shared" si="207"/>
        <v>33.266783253602398</v>
      </c>
      <c r="U668" s="16">
        <f t="shared" si="207"/>
        <v>40.058906656366148</v>
      </c>
      <c r="V668" s="16">
        <f t="shared" si="207"/>
        <v>30.361270475143979</v>
      </c>
      <c r="W668" s="16">
        <f t="shared" si="207"/>
        <v>31.206580412465879</v>
      </c>
      <c r="X668" s="16">
        <f t="shared" si="207"/>
        <v>38.505397881448019</v>
      </c>
      <c r="Y668" s="16">
        <f t="shared" si="207"/>
        <v>35.479000570847731</v>
      </c>
      <c r="Z668" s="16">
        <f t="shared" si="207"/>
        <v>35.290665264157532</v>
      </c>
    </row>
    <row r="669" spans="14:26" x14ac:dyDescent="0.25">
      <c r="N669" s="21" t="s">
        <v>59</v>
      </c>
      <c r="O669" s="16">
        <f>O667/O631</f>
        <v>0.7832670936847298</v>
      </c>
      <c r="P669" s="16">
        <f t="shared" ref="P669:Z669" si="208">P667/P631</f>
        <v>0.76369558323198972</v>
      </c>
      <c r="Q669" s="16">
        <f t="shared" si="208"/>
        <v>0.7409128394881429</v>
      </c>
      <c r="R669" s="16">
        <f t="shared" si="208"/>
        <v>0.5689655878321388</v>
      </c>
      <c r="S669" s="16">
        <f t="shared" si="208"/>
        <v>0.56247334390984882</v>
      </c>
      <c r="T669" s="16">
        <f t="shared" si="208"/>
        <v>0.50906012044234594</v>
      </c>
      <c r="U669" s="16">
        <f t="shared" si="208"/>
        <v>0.46700425972354442</v>
      </c>
      <c r="V669" s="16">
        <f t="shared" si="208"/>
        <v>0.29542708688143893</v>
      </c>
      <c r="W669" s="16">
        <f t="shared" si="208"/>
        <v>0.25641021778674572</v>
      </c>
      <c r="X669" s="16">
        <f t="shared" si="208"/>
        <v>0.33644499058396055</v>
      </c>
      <c r="Y669" s="16">
        <f t="shared" si="208"/>
        <v>0.3496277702683106</v>
      </c>
      <c r="Z669" s="16">
        <f t="shared" si="208"/>
        <v>0.34706701996742728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Plavix2011-2013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Wimmer</dc:creator>
  <cp:lastModifiedBy>EasyLoverJeremy</cp:lastModifiedBy>
  <dcterms:created xsi:type="dcterms:W3CDTF">2014-11-30T20:12:30Z</dcterms:created>
  <dcterms:modified xsi:type="dcterms:W3CDTF">2014-12-07T05:04:41Z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c25d7c51-ccd4-41bf-821c-bec0f1ad92a7</vt:lpwstr>
  </property>
</Properties>
</file>